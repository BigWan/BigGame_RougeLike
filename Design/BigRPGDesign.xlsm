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 Projects\BigRouge\Design\"/>
    </mc:Choice>
  </mc:AlternateContent>
  <xr:revisionPtr revIDLastSave="0" documentId="10_ncr:8100000_{1AFBD243-AB91-49B3-A1F6-48A6B1361DF4}" xr6:coauthVersionLast="34" xr6:coauthVersionMax="34" xr10:uidLastSave="{00000000-0000-0000-0000-000000000000}"/>
  <bookViews>
    <workbookView xWindow="0" yWindow="0" windowWidth="28800" windowHeight="12135" tabRatio="748" activeTab="5" xr2:uid="{CC14E437-CC7B-48F5-9873-59B057609D25}"/>
  </bookViews>
  <sheets>
    <sheet name="换装思路" sheetId="1" r:id="rId1"/>
    <sheet name="游戏系统" sheetId="3" r:id="rId2"/>
    <sheet name="资源表" sheetId="4" r:id="rId3"/>
    <sheet name="动作资源" sheetId="5" r:id="rId4"/>
    <sheet name="AvatarMeshTable" sheetId="6" r:id="rId5"/>
    <sheet name="TblAvatarPart" sheetId="9" r:id="rId6"/>
    <sheet name="TblAvatarPartType" sheetId="10" r:id="rId7"/>
    <sheet name="Mesh表" sheetId="7" r:id="rId8"/>
    <sheet name="Mat表" sheetId="8" r:id="rId9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4" i="8" l="1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1443" i="8"/>
  <c r="H1442" i="8"/>
  <c r="H1441" i="8"/>
  <c r="H1440" i="8"/>
  <c r="H1439" i="8"/>
  <c r="H1438" i="8"/>
  <c r="H1437" i="8"/>
  <c r="H1436" i="8"/>
  <c r="H1435" i="8"/>
  <c r="H1434" i="8"/>
  <c r="H1433" i="8"/>
  <c r="H1432" i="8"/>
  <c r="H1431" i="8"/>
  <c r="H1430" i="8"/>
  <c r="H1429" i="8"/>
  <c r="H1428" i="8"/>
  <c r="H1427" i="8"/>
  <c r="H1426" i="8"/>
  <c r="H1425" i="8"/>
  <c r="H1424" i="8"/>
  <c r="H1423" i="8"/>
  <c r="H1422" i="8"/>
  <c r="H1421" i="8"/>
  <c r="H1420" i="8"/>
  <c r="H1419" i="8"/>
  <c r="H1418" i="8"/>
  <c r="H1417" i="8"/>
  <c r="H1416" i="8"/>
  <c r="H1415" i="8"/>
  <c r="H1414" i="8"/>
  <c r="H1413" i="8"/>
  <c r="H1412" i="8"/>
  <c r="H1411" i="8"/>
  <c r="H1410" i="8"/>
  <c r="H1409" i="8"/>
  <c r="H1408" i="8"/>
  <c r="H1407" i="8"/>
  <c r="H1406" i="8"/>
  <c r="H1405" i="8"/>
  <c r="H1404" i="8"/>
  <c r="H1403" i="8"/>
  <c r="H1402" i="8"/>
  <c r="H1401" i="8"/>
  <c r="H1400" i="8"/>
  <c r="H1399" i="8"/>
  <c r="H1398" i="8"/>
  <c r="H1397" i="8"/>
  <c r="H1396" i="8"/>
  <c r="H1395" i="8"/>
  <c r="H1394" i="8"/>
  <c r="H1393" i="8"/>
  <c r="H1392" i="8"/>
  <c r="H1391" i="8"/>
  <c r="H1390" i="8"/>
  <c r="H1389" i="8"/>
  <c r="H1388" i="8"/>
  <c r="H1387" i="8"/>
  <c r="H1386" i="8"/>
  <c r="H1385" i="8"/>
  <c r="H1384" i="8"/>
  <c r="H1383" i="8"/>
  <c r="H1382" i="8"/>
  <c r="H1381" i="8"/>
  <c r="H1380" i="8"/>
  <c r="H1379" i="8"/>
  <c r="H1378" i="8"/>
  <c r="H1377" i="8"/>
  <c r="H1376" i="8"/>
  <c r="H1375" i="8"/>
  <c r="H1374" i="8"/>
  <c r="H1373" i="8"/>
  <c r="H1372" i="8"/>
  <c r="H1371" i="8"/>
  <c r="H1370" i="8"/>
  <c r="H1369" i="8"/>
  <c r="H1368" i="8"/>
  <c r="H1367" i="8"/>
  <c r="H1366" i="8"/>
  <c r="H1365" i="8"/>
  <c r="H1364" i="8"/>
  <c r="H1363" i="8"/>
  <c r="H1362" i="8"/>
  <c r="H1361" i="8"/>
  <c r="H1360" i="8"/>
  <c r="H1359" i="8"/>
  <c r="H1358" i="8"/>
  <c r="H1357" i="8"/>
  <c r="H1356" i="8"/>
  <c r="H1355" i="8"/>
  <c r="H1354" i="8"/>
  <c r="H1353" i="8"/>
  <c r="H1352" i="8"/>
  <c r="H1351" i="8"/>
  <c r="H1350" i="8"/>
  <c r="H1349" i="8"/>
  <c r="H1348" i="8"/>
  <c r="H1347" i="8"/>
  <c r="H1346" i="8"/>
  <c r="H1345" i="8"/>
  <c r="H1344" i="8"/>
  <c r="H1343" i="8"/>
  <c r="H1342" i="8"/>
  <c r="H1341" i="8"/>
  <c r="H1340" i="8"/>
  <c r="H1339" i="8"/>
  <c r="H1338" i="8"/>
  <c r="H1337" i="8"/>
  <c r="H1336" i="8"/>
  <c r="H1335" i="8"/>
  <c r="H1334" i="8"/>
  <c r="H1333" i="8"/>
  <c r="H1332" i="8"/>
  <c r="H1331" i="8"/>
  <c r="H1330" i="8"/>
  <c r="H1329" i="8"/>
  <c r="H1328" i="8"/>
  <c r="H1327" i="8"/>
  <c r="H1326" i="8"/>
  <c r="H1325" i="8"/>
  <c r="H1324" i="8"/>
  <c r="H1323" i="8"/>
  <c r="H1322" i="8"/>
  <c r="H1321" i="8"/>
  <c r="H1320" i="8"/>
  <c r="H1319" i="8"/>
  <c r="H1318" i="8"/>
  <c r="H1317" i="8"/>
  <c r="H1316" i="8"/>
  <c r="H1315" i="8"/>
  <c r="H1314" i="8"/>
  <c r="H1313" i="8"/>
  <c r="H1312" i="8"/>
  <c r="H1311" i="8"/>
  <c r="H1310" i="8"/>
  <c r="H1309" i="8"/>
  <c r="H1308" i="8"/>
  <c r="H1307" i="8"/>
  <c r="H1306" i="8"/>
  <c r="H1305" i="8"/>
  <c r="H1304" i="8"/>
  <c r="H1303" i="8"/>
  <c r="H1302" i="8"/>
  <c r="H1301" i="8"/>
  <c r="H1300" i="8"/>
  <c r="H1299" i="8"/>
  <c r="H1298" i="8"/>
  <c r="H1297" i="8"/>
  <c r="H1296" i="8"/>
  <c r="H1295" i="8"/>
  <c r="H1294" i="8"/>
  <c r="H1293" i="8"/>
  <c r="H1292" i="8"/>
  <c r="H1291" i="8"/>
  <c r="H1290" i="8"/>
  <c r="H1289" i="8"/>
  <c r="H1288" i="8"/>
  <c r="H1287" i="8"/>
  <c r="H1286" i="8"/>
  <c r="H1285" i="8"/>
  <c r="H1284" i="8"/>
  <c r="H1283" i="8"/>
  <c r="H1282" i="8"/>
  <c r="H1281" i="8"/>
  <c r="H1280" i="8"/>
  <c r="H1279" i="8"/>
  <c r="H1278" i="8"/>
  <c r="H1277" i="8"/>
  <c r="H1276" i="8"/>
  <c r="H1275" i="8"/>
  <c r="H1274" i="8"/>
  <c r="H1273" i="8"/>
  <c r="H1272" i="8"/>
  <c r="H1271" i="8"/>
  <c r="H1270" i="8"/>
  <c r="H1269" i="8"/>
  <c r="H1268" i="8"/>
  <c r="H1267" i="8"/>
  <c r="H1266" i="8"/>
  <c r="H1265" i="8"/>
  <c r="H1264" i="8"/>
  <c r="H1263" i="8"/>
  <c r="H1262" i="8"/>
  <c r="H1261" i="8"/>
  <c r="H1260" i="8"/>
  <c r="H1259" i="8"/>
  <c r="H1258" i="8"/>
  <c r="H1257" i="8"/>
  <c r="H1256" i="8"/>
  <c r="H1255" i="8"/>
  <c r="H1254" i="8"/>
  <c r="H1253" i="8"/>
  <c r="H1252" i="8"/>
  <c r="H1251" i="8"/>
  <c r="H1250" i="8"/>
  <c r="H1249" i="8"/>
  <c r="H1248" i="8"/>
  <c r="H1247" i="8"/>
  <c r="H1246" i="8"/>
  <c r="H1245" i="8"/>
  <c r="H1244" i="8"/>
  <c r="H1243" i="8"/>
  <c r="H1242" i="8"/>
  <c r="H1241" i="8"/>
  <c r="H1240" i="8"/>
  <c r="H1239" i="8"/>
  <c r="H1238" i="8"/>
  <c r="H1237" i="8"/>
  <c r="H1236" i="8"/>
  <c r="H1235" i="8"/>
  <c r="H1234" i="8"/>
  <c r="H1233" i="8"/>
  <c r="H1232" i="8"/>
  <c r="H1231" i="8"/>
  <c r="H1230" i="8"/>
  <c r="H1229" i="8"/>
  <c r="H1228" i="8"/>
  <c r="H1227" i="8"/>
  <c r="H1226" i="8"/>
  <c r="H1225" i="8"/>
  <c r="H1224" i="8"/>
  <c r="H1223" i="8"/>
  <c r="H1222" i="8"/>
  <c r="H1221" i="8"/>
  <c r="H1220" i="8"/>
  <c r="H1219" i="8"/>
  <c r="H1218" i="8"/>
  <c r="H1217" i="8"/>
  <c r="H1216" i="8"/>
  <c r="H1215" i="8"/>
  <c r="H1214" i="8"/>
  <c r="H1213" i="8"/>
  <c r="H1212" i="8"/>
  <c r="H1211" i="8"/>
  <c r="H1210" i="8"/>
  <c r="H1209" i="8"/>
  <c r="H1208" i="8"/>
  <c r="H1207" i="8"/>
  <c r="H1206" i="8"/>
  <c r="H1205" i="8"/>
  <c r="H1204" i="8"/>
  <c r="H1203" i="8"/>
  <c r="H1202" i="8"/>
  <c r="H1201" i="8"/>
  <c r="H1200" i="8"/>
  <c r="H1199" i="8"/>
  <c r="H1198" i="8"/>
  <c r="H1197" i="8"/>
  <c r="H1196" i="8"/>
  <c r="H1195" i="8"/>
  <c r="H1194" i="8"/>
  <c r="H1193" i="8"/>
  <c r="H1192" i="8"/>
  <c r="H1191" i="8"/>
  <c r="H1190" i="8"/>
  <c r="H1189" i="8"/>
  <c r="H1188" i="8"/>
  <c r="H1187" i="8"/>
  <c r="H1186" i="8"/>
  <c r="H1185" i="8"/>
  <c r="H1184" i="8"/>
  <c r="H1183" i="8"/>
  <c r="H1182" i="8"/>
  <c r="H1181" i="8"/>
  <c r="H1180" i="8"/>
  <c r="H1179" i="8"/>
  <c r="H1178" i="8"/>
  <c r="H1177" i="8"/>
  <c r="H1176" i="8"/>
  <c r="H1175" i="8"/>
  <c r="H1174" i="8"/>
  <c r="H1173" i="8"/>
  <c r="H1172" i="8"/>
  <c r="H1171" i="8"/>
  <c r="H1170" i="8"/>
  <c r="H1169" i="8"/>
  <c r="H1168" i="8"/>
  <c r="H1167" i="8"/>
  <c r="H1166" i="8"/>
  <c r="H1165" i="8"/>
  <c r="H1164" i="8"/>
  <c r="H1163" i="8"/>
  <c r="H1162" i="8"/>
  <c r="H1161" i="8"/>
  <c r="H1160" i="8"/>
  <c r="H1159" i="8"/>
  <c r="H1158" i="8"/>
  <c r="H1157" i="8"/>
  <c r="H1156" i="8"/>
  <c r="H1155" i="8"/>
  <c r="H1154" i="8"/>
  <c r="H1153" i="8"/>
  <c r="H1152" i="8"/>
  <c r="H1151" i="8"/>
  <c r="H1150" i="8"/>
  <c r="H1149" i="8"/>
  <c r="H1148" i="8"/>
  <c r="H1147" i="8"/>
  <c r="H1146" i="8"/>
  <c r="H1145" i="8"/>
  <c r="H1144" i="8"/>
  <c r="H1143" i="8"/>
  <c r="H1142" i="8"/>
  <c r="H1141" i="8"/>
  <c r="H1140" i="8"/>
  <c r="H1139" i="8"/>
  <c r="H1138" i="8"/>
  <c r="H1137" i="8"/>
  <c r="H1136" i="8"/>
  <c r="H1135" i="8"/>
  <c r="H1134" i="8"/>
  <c r="H1133" i="8"/>
  <c r="H1132" i="8"/>
  <c r="H1131" i="8"/>
  <c r="H1130" i="8"/>
  <c r="H1129" i="8"/>
  <c r="H1128" i="8"/>
  <c r="H1127" i="8"/>
  <c r="H1126" i="8"/>
  <c r="H1125" i="8"/>
  <c r="H1124" i="8"/>
  <c r="H1123" i="8"/>
  <c r="H1122" i="8"/>
  <c r="H1121" i="8"/>
  <c r="H1120" i="8"/>
  <c r="H1119" i="8"/>
  <c r="H1118" i="8"/>
  <c r="H1117" i="8"/>
  <c r="H1116" i="8"/>
  <c r="H1115" i="8"/>
  <c r="H1114" i="8"/>
  <c r="H1113" i="8"/>
  <c r="H1112" i="8"/>
  <c r="H1111" i="8"/>
  <c r="H1110" i="8"/>
  <c r="H1109" i="8"/>
  <c r="H1108" i="8"/>
  <c r="H1107" i="8"/>
  <c r="H1106" i="8"/>
  <c r="H1105" i="8"/>
  <c r="H1104" i="8"/>
  <c r="H1103" i="8"/>
  <c r="H1102" i="8"/>
  <c r="H1101" i="8"/>
  <c r="H1100" i="8"/>
  <c r="H1099" i="8"/>
  <c r="H1098" i="8"/>
  <c r="H1097" i="8"/>
  <c r="H1096" i="8"/>
  <c r="H1095" i="8"/>
  <c r="H1094" i="8"/>
  <c r="H1093" i="8"/>
  <c r="H1092" i="8"/>
  <c r="H1091" i="8"/>
  <c r="H1090" i="8"/>
  <c r="H1089" i="8"/>
  <c r="H1088" i="8"/>
  <c r="H1087" i="8"/>
  <c r="H1086" i="8"/>
  <c r="H1085" i="8"/>
  <c r="H1084" i="8"/>
  <c r="H1083" i="8"/>
  <c r="H1082" i="8"/>
  <c r="H1081" i="8"/>
  <c r="H1080" i="8"/>
  <c r="H1079" i="8"/>
  <c r="H1078" i="8"/>
  <c r="H1077" i="8"/>
  <c r="H1076" i="8"/>
  <c r="H1075" i="8"/>
  <c r="H1074" i="8"/>
  <c r="H1073" i="8"/>
  <c r="H1072" i="8"/>
  <c r="H1071" i="8"/>
  <c r="H1070" i="8"/>
  <c r="H1069" i="8"/>
  <c r="H1068" i="8"/>
  <c r="H1067" i="8"/>
  <c r="H1066" i="8"/>
  <c r="H1065" i="8"/>
  <c r="H1064" i="8"/>
  <c r="H1063" i="8"/>
  <c r="H1062" i="8"/>
  <c r="H1061" i="8"/>
  <c r="H1060" i="8"/>
  <c r="H1059" i="8"/>
  <c r="H1058" i="8"/>
  <c r="H1057" i="8"/>
  <c r="H1056" i="8"/>
  <c r="H1055" i="8"/>
  <c r="H1054" i="8"/>
  <c r="H1053" i="8"/>
  <c r="H1052" i="8"/>
  <c r="H1051" i="8"/>
  <c r="H1050" i="8"/>
  <c r="H1049" i="8"/>
  <c r="H1048" i="8"/>
  <c r="H1047" i="8"/>
  <c r="H1046" i="8"/>
  <c r="H1045" i="8"/>
  <c r="H1044" i="8"/>
  <c r="H1043" i="8"/>
  <c r="H1042" i="8"/>
  <c r="H1041" i="8"/>
  <c r="H1040" i="8"/>
  <c r="H1039" i="8"/>
  <c r="H1038" i="8"/>
  <c r="H1037" i="8"/>
  <c r="H1036" i="8"/>
  <c r="H1035" i="8"/>
  <c r="H1034" i="8"/>
  <c r="H1033" i="8"/>
  <c r="H1032" i="8"/>
  <c r="H1031" i="8"/>
  <c r="H1030" i="8"/>
  <c r="H1029" i="8"/>
  <c r="H1028" i="8"/>
  <c r="H1027" i="8"/>
  <c r="H1026" i="8"/>
  <c r="H1025" i="8"/>
  <c r="H1024" i="8"/>
  <c r="H1023" i="8"/>
  <c r="H1022" i="8"/>
  <c r="H1021" i="8"/>
  <c r="H1020" i="8"/>
  <c r="H1019" i="8"/>
  <c r="H1018" i="8"/>
  <c r="H1017" i="8"/>
  <c r="H1016" i="8"/>
  <c r="H1015" i="8"/>
  <c r="H1014" i="8"/>
  <c r="H1013" i="8"/>
  <c r="H1012" i="8"/>
  <c r="H1011" i="8"/>
  <c r="H1010" i="8"/>
  <c r="H1009" i="8"/>
  <c r="H1008" i="8"/>
  <c r="H1007" i="8"/>
  <c r="H1006" i="8"/>
  <c r="H1005" i="8"/>
  <c r="H1004" i="8"/>
  <c r="H1003" i="8"/>
  <c r="H1002" i="8"/>
  <c r="H1001" i="8"/>
  <c r="H1000" i="8"/>
  <c r="H999" i="8"/>
  <c r="H998" i="8"/>
  <c r="H997" i="8"/>
  <c r="H996" i="8"/>
  <c r="H995" i="8"/>
  <c r="H994" i="8"/>
  <c r="H993" i="8"/>
  <c r="H992" i="8"/>
  <c r="H991" i="8"/>
  <c r="H990" i="8"/>
  <c r="H989" i="8"/>
  <c r="H988" i="8"/>
  <c r="H987" i="8"/>
  <c r="H986" i="8"/>
  <c r="H985" i="8"/>
  <c r="H984" i="8"/>
  <c r="H983" i="8"/>
  <c r="H982" i="8"/>
  <c r="H981" i="8"/>
  <c r="H980" i="8"/>
  <c r="H979" i="8"/>
  <c r="H978" i="8"/>
  <c r="H977" i="8"/>
  <c r="H976" i="8"/>
  <c r="H975" i="8"/>
  <c r="H974" i="8"/>
  <c r="H973" i="8"/>
  <c r="H972" i="8"/>
  <c r="H971" i="8"/>
  <c r="H970" i="8"/>
  <c r="H969" i="8"/>
  <c r="H968" i="8"/>
  <c r="H967" i="8"/>
  <c r="H966" i="8"/>
  <c r="H965" i="8"/>
  <c r="H964" i="8"/>
  <c r="H963" i="8"/>
  <c r="H962" i="8"/>
  <c r="H961" i="8"/>
  <c r="H960" i="8"/>
  <c r="H959" i="8"/>
  <c r="H958" i="8"/>
  <c r="H957" i="8"/>
  <c r="H956" i="8"/>
  <c r="H955" i="8"/>
  <c r="H954" i="8"/>
  <c r="H953" i="8"/>
  <c r="H952" i="8"/>
  <c r="H951" i="8"/>
  <c r="H950" i="8"/>
  <c r="H949" i="8"/>
  <c r="H948" i="8"/>
  <c r="H947" i="8"/>
  <c r="H946" i="8"/>
  <c r="H945" i="8"/>
  <c r="H944" i="8"/>
  <c r="H943" i="8"/>
  <c r="H942" i="8"/>
  <c r="H941" i="8"/>
  <c r="H940" i="8"/>
  <c r="H939" i="8"/>
  <c r="H938" i="8"/>
  <c r="H937" i="8"/>
  <c r="H936" i="8"/>
  <c r="H935" i="8"/>
  <c r="H934" i="8"/>
  <c r="H933" i="8"/>
  <c r="H932" i="8"/>
  <c r="H931" i="8"/>
  <c r="H930" i="8"/>
  <c r="H929" i="8"/>
  <c r="H928" i="8"/>
  <c r="H927" i="8"/>
  <c r="H926" i="8"/>
  <c r="H925" i="8"/>
  <c r="H924" i="8"/>
  <c r="H923" i="8"/>
  <c r="H922" i="8"/>
  <c r="H921" i="8"/>
  <c r="H920" i="8"/>
  <c r="H919" i="8"/>
  <c r="H918" i="8"/>
  <c r="H917" i="8"/>
  <c r="H916" i="8"/>
  <c r="H915" i="8"/>
  <c r="H914" i="8"/>
  <c r="H913" i="8"/>
  <c r="H912" i="8"/>
  <c r="H911" i="8"/>
  <c r="H910" i="8"/>
  <c r="H909" i="8"/>
  <c r="H908" i="8"/>
  <c r="H907" i="8"/>
  <c r="H906" i="8"/>
  <c r="H905" i="8"/>
  <c r="H904" i="8"/>
  <c r="H903" i="8"/>
  <c r="H902" i="8"/>
  <c r="H901" i="8"/>
  <c r="H900" i="8"/>
  <c r="H899" i="8"/>
  <c r="H898" i="8"/>
  <c r="H897" i="8"/>
  <c r="H896" i="8"/>
  <c r="H895" i="8"/>
  <c r="H894" i="8"/>
  <c r="H893" i="8"/>
  <c r="H892" i="8"/>
  <c r="H891" i="8"/>
  <c r="H890" i="8"/>
  <c r="H889" i="8"/>
  <c r="H888" i="8"/>
  <c r="H887" i="8"/>
  <c r="H886" i="8"/>
  <c r="H885" i="8"/>
  <c r="H884" i="8"/>
  <c r="H883" i="8"/>
  <c r="H882" i="8"/>
  <c r="H881" i="8"/>
  <c r="H880" i="8"/>
  <c r="H879" i="8"/>
  <c r="H878" i="8"/>
  <c r="H877" i="8"/>
  <c r="H876" i="8"/>
  <c r="H875" i="8"/>
  <c r="H874" i="8"/>
  <c r="H873" i="8"/>
  <c r="H872" i="8"/>
  <c r="H871" i="8"/>
  <c r="H870" i="8"/>
  <c r="H869" i="8"/>
  <c r="H868" i="8"/>
  <c r="H867" i="8"/>
  <c r="H866" i="8"/>
  <c r="H865" i="8"/>
  <c r="H864" i="8"/>
  <c r="H863" i="8"/>
  <c r="H862" i="8"/>
  <c r="H861" i="8"/>
  <c r="H860" i="8"/>
  <c r="H859" i="8"/>
  <c r="H858" i="8"/>
  <c r="H857" i="8"/>
  <c r="H856" i="8"/>
  <c r="H855" i="8"/>
  <c r="H854" i="8"/>
  <c r="H853" i="8"/>
  <c r="H852" i="8"/>
  <c r="H851" i="8"/>
  <c r="H850" i="8"/>
  <c r="H849" i="8"/>
  <c r="H848" i="8"/>
  <c r="H847" i="8"/>
  <c r="H846" i="8"/>
  <c r="H845" i="8"/>
  <c r="H844" i="8"/>
  <c r="H843" i="8"/>
  <c r="H842" i="8"/>
  <c r="H841" i="8"/>
  <c r="H840" i="8"/>
  <c r="H839" i="8"/>
  <c r="H838" i="8"/>
  <c r="H837" i="8"/>
  <c r="H836" i="8"/>
  <c r="H835" i="8"/>
  <c r="H834" i="8"/>
  <c r="H833" i="8"/>
  <c r="H832" i="8"/>
  <c r="H831" i="8"/>
  <c r="H830" i="8"/>
  <c r="H829" i="8"/>
  <c r="H828" i="8"/>
  <c r="H827" i="8"/>
  <c r="H826" i="8"/>
  <c r="H825" i="8"/>
  <c r="H824" i="8"/>
  <c r="H823" i="8"/>
  <c r="H822" i="8"/>
  <c r="H821" i="8"/>
  <c r="H820" i="8"/>
  <c r="H819" i="8"/>
  <c r="H818" i="8"/>
  <c r="H817" i="8"/>
  <c r="H816" i="8"/>
  <c r="H815" i="8"/>
  <c r="H814" i="8"/>
  <c r="H813" i="8"/>
  <c r="H812" i="8"/>
  <c r="H811" i="8"/>
  <c r="H810" i="8"/>
  <c r="H809" i="8"/>
  <c r="H808" i="8"/>
  <c r="H807" i="8"/>
  <c r="H806" i="8"/>
  <c r="H805" i="8"/>
  <c r="H804" i="8"/>
  <c r="H803" i="8"/>
  <c r="H802" i="8"/>
  <c r="H801" i="8"/>
  <c r="H800" i="8"/>
  <c r="H799" i="8"/>
  <c r="H798" i="8"/>
  <c r="H797" i="8"/>
  <c r="H796" i="8"/>
  <c r="H795" i="8"/>
  <c r="H794" i="8"/>
  <c r="H793" i="8"/>
  <c r="H792" i="8"/>
  <c r="H791" i="8"/>
  <c r="H790" i="8"/>
  <c r="H789" i="8"/>
  <c r="H788" i="8"/>
  <c r="H787" i="8"/>
  <c r="H786" i="8"/>
  <c r="H785" i="8"/>
  <c r="H784" i="8"/>
  <c r="H783" i="8"/>
  <c r="H782" i="8"/>
  <c r="H781" i="8"/>
  <c r="H780" i="8"/>
  <c r="H779" i="8"/>
  <c r="H778" i="8"/>
  <c r="H777" i="8"/>
  <c r="H776" i="8"/>
  <c r="H775" i="8"/>
  <c r="H774" i="8"/>
  <c r="H773" i="8"/>
  <c r="H772" i="8"/>
  <c r="H771" i="8"/>
  <c r="H770" i="8"/>
  <c r="H769" i="8"/>
  <c r="H768" i="8"/>
  <c r="H767" i="8"/>
  <c r="H766" i="8"/>
  <c r="H765" i="8"/>
  <c r="H764" i="8"/>
  <c r="H763" i="8"/>
  <c r="H762" i="8"/>
  <c r="H761" i="8"/>
  <c r="H760" i="8"/>
  <c r="H759" i="8"/>
  <c r="H758" i="8"/>
  <c r="H757" i="8"/>
  <c r="H756" i="8"/>
  <c r="H755" i="8"/>
  <c r="H754" i="8"/>
  <c r="H753" i="8"/>
  <c r="H752" i="8"/>
  <c r="H751" i="8"/>
  <c r="H750" i="8"/>
  <c r="H749" i="8"/>
  <c r="H748" i="8"/>
  <c r="H747" i="8"/>
  <c r="H746" i="8"/>
  <c r="H745" i="8"/>
  <c r="H744" i="8"/>
  <c r="H743" i="8"/>
  <c r="H742" i="8"/>
  <c r="H741" i="8"/>
  <c r="H740" i="8"/>
  <c r="H739" i="8"/>
  <c r="H738" i="8"/>
  <c r="H737" i="8"/>
  <c r="H736" i="8"/>
  <c r="H735" i="8"/>
  <c r="H734" i="8"/>
  <c r="H733" i="8"/>
  <c r="H732" i="8"/>
  <c r="H731" i="8"/>
  <c r="H730" i="8"/>
  <c r="H729" i="8"/>
  <c r="H728" i="8"/>
  <c r="H727" i="8"/>
  <c r="H726" i="8"/>
  <c r="H725" i="8"/>
  <c r="H724" i="8"/>
  <c r="H723" i="8"/>
  <c r="H722" i="8"/>
  <c r="H721" i="8"/>
  <c r="H720" i="8"/>
  <c r="H719" i="8"/>
  <c r="H718" i="8"/>
  <c r="H717" i="8"/>
  <c r="H716" i="8"/>
  <c r="H715" i="8"/>
  <c r="H714" i="8"/>
  <c r="H713" i="8"/>
  <c r="H712" i="8"/>
  <c r="H711" i="8"/>
  <c r="H710" i="8"/>
  <c r="H709" i="8"/>
  <c r="H708" i="8"/>
  <c r="H707" i="8"/>
  <c r="H706" i="8"/>
  <c r="H705" i="8"/>
  <c r="H704" i="8"/>
  <c r="H703" i="8"/>
  <c r="H702" i="8"/>
  <c r="H701" i="8"/>
  <c r="H700" i="8"/>
  <c r="H699" i="8"/>
  <c r="H698" i="8"/>
  <c r="H697" i="8"/>
  <c r="H696" i="8"/>
  <c r="H695" i="8"/>
  <c r="H694" i="8"/>
  <c r="H693" i="8"/>
  <c r="H692" i="8"/>
  <c r="H691" i="8"/>
  <c r="H690" i="8"/>
  <c r="H689" i="8"/>
  <c r="H688" i="8"/>
  <c r="H687" i="8"/>
  <c r="H686" i="8"/>
  <c r="H685" i="8"/>
  <c r="H684" i="8"/>
  <c r="H683" i="8"/>
  <c r="H682" i="8"/>
  <c r="H681" i="8"/>
  <c r="H680" i="8"/>
  <c r="H679" i="8"/>
  <c r="H678" i="8"/>
  <c r="H677" i="8"/>
  <c r="H676" i="8"/>
  <c r="H675" i="8"/>
  <c r="H674" i="8"/>
  <c r="H673" i="8"/>
  <c r="H672" i="8"/>
  <c r="H671" i="8"/>
  <c r="H670" i="8"/>
  <c r="H669" i="8"/>
  <c r="H668" i="8"/>
  <c r="H667" i="8"/>
  <c r="H666" i="8"/>
  <c r="H665" i="8"/>
  <c r="H664" i="8"/>
  <c r="H663" i="8"/>
  <c r="H662" i="8"/>
  <c r="H661" i="8"/>
  <c r="H660" i="8"/>
  <c r="H659" i="8"/>
  <c r="H658" i="8"/>
  <c r="H657" i="8"/>
  <c r="H656" i="8"/>
  <c r="H655" i="8"/>
  <c r="H654" i="8"/>
  <c r="H653" i="8"/>
  <c r="H652" i="8"/>
  <c r="H651" i="8"/>
  <c r="H650" i="8"/>
  <c r="H649" i="8"/>
  <c r="H648" i="8"/>
  <c r="H647" i="8"/>
  <c r="H646" i="8"/>
  <c r="H645" i="8"/>
  <c r="H644" i="8"/>
  <c r="H643" i="8"/>
  <c r="H642" i="8"/>
  <c r="H641" i="8"/>
  <c r="H640" i="8"/>
  <c r="H639" i="8"/>
  <c r="H638" i="8"/>
  <c r="H637" i="8"/>
  <c r="H636" i="8"/>
  <c r="H635" i="8"/>
  <c r="H634" i="8"/>
  <c r="H633" i="8"/>
  <c r="H632" i="8"/>
  <c r="H631" i="8"/>
  <c r="H630" i="8"/>
  <c r="H629" i="8"/>
  <c r="H628" i="8"/>
  <c r="H627" i="8"/>
  <c r="H626" i="8"/>
  <c r="H625" i="8"/>
  <c r="H624" i="8"/>
  <c r="H623" i="8"/>
  <c r="H622" i="8"/>
  <c r="H621" i="8"/>
  <c r="H620" i="8"/>
  <c r="H619" i="8"/>
  <c r="H618" i="8"/>
  <c r="H617" i="8"/>
  <c r="H616" i="8"/>
  <c r="H615" i="8"/>
  <c r="H614" i="8"/>
  <c r="H613" i="8"/>
  <c r="H612" i="8"/>
  <c r="H611" i="8"/>
  <c r="H610" i="8"/>
  <c r="H609" i="8"/>
  <c r="H608" i="8"/>
  <c r="H607" i="8"/>
  <c r="H606" i="8"/>
  <c r="H605" i="8"/>
  <c r="H604" i="8"/>
  <c r="H603" i="8"/>
  <c r="H602" i="8"/>
  <c r="H601" i="8"/>
  <c r="H600" i="8"/>
  <c r="H599" i="8"/>
  <c r="H598" i="8"/>
  <c r="H597" i="8"/>
  <c r="H596" i="8"/>
  <c r="H595" i="8"/>
  <c r="H594" i="8"/>
  <c r="H593" i="8"/>
  <c r="H592" i="8"/>
  <c r="H591" i="8"/>
  <c r="H590" i="8"/>
  <c r="H589" i="8"/>
  <c r="H588" i="8"/>
  <c r="H587" i="8"/>
  <c r="H586" i="8"/>
  <c r="H585" i="8"/>
  <c r="H584" i="8"/>
  <c r="H583" i="8"/>
  <c r="H582" i="8"/>
  <c r="H581" i="8"/>
  <c r="H580" i="8"/>
  <c r="H579" i="8"/>
  <c r="H578" i="8"/>
  <c r="H577" i="8"/>
  <c r="H576" i="8"/>
  <c r="H575" i="8"/>
  <c r="H574" i="8"/>
  <c r="H573" i="8"/>
  <c r="H572" i="8"/>
  <c r="H571" i="8"/>
  <c r="H570" i="8"/>
  <c r="H569" i="8"/>
  <c r="H568" i="8"/>
  <c r="H567" i="8"/>
  <c r="H566" i="8"/>
  <c r="H565" i="8"/>
  <c r="H564" i="8"/>
  <c r="H563" i="8"/>
  <c r="H562" i="8"/>
  <c r="H561" i="8"/>
  <c r="H560" i="8"/>
  <c r="H559" i="8"/>
  <c r="H558" i="8"/>
  <c r="H557" i="8"/>
  <c r="H556" i="8"/>
  <c r="H555" i="8"/>
  <c r="H554" i="8"/>
  <c r="H553" i="8"/>
  <c r="H552" i="8"/>
  <c r="H551" i="8"/>
  <c r="H550" i="8"/>
  <c r="H549" i="8"/>
  <c r="H548" i="8"/>
  <c r="H547" i="8"/>
  <c r="H546" i="8"/>
  <c r="H545" i="8"/>
  <c r="H544" i="8"/>
  <c r="H543" i="8"/>
  <c r="H542" i="8"/>
  <c r="H541" i="8"/>
  <c r="H540" i="8"/>
  <c r="H539" i="8"/>
  <c r="H538" i="8"/>
  <c r="H537" i="8"/>
  <c r="H536" i="8"/>
  <c r="H535" i="8"/>
  <c r="H534" i="8"/>
  <c r="H533" i="8"/>
  <c r="H532" i="8"/>
  <c r="H531" i="8"/>
  <c r="H530" i="8"/>
  <c r="H529" i="8"/>
  <c r="H528" i="8"/>
  <c r="H527" i="8"/>
  <c r="H526" i="8"/>
  <c r="H525" i="8"/>
  <c r="H524" i="8"/>
  <c r="H523" i="8"/>
  <c r="H522" i="8"/>
  <c r="H521" i="8"/>
  <c r="H520" i="8"/>
  <c r="H519" i="8"/>
  <c r="H518" i="8"/>
  <c r="H517" i="8"/>
  <c r="H516" i="8"/>
  <c r="H515" i="8"/>
  <c r="H514" i="8"/>
  <c r="H513" i="8"/>
  <c r="H512" i="8"/>
  <c r="H511" i="8"/>
  <c r="H510" i="8"/>
  <c r="H509" i="8"/>
  <c r="H508" i="8"/>
  <c r="H507" i="8"/>
  <c r="H506" i="8"/>
  <c r="H505" i="8"/>
  <c r="H504" i="8"/>
  <c r="H503" i="8"/>
  <c r="H502" i="8"/>
  <c r="H501" i="8"/>
  <c r="H500" i="8"/>
  <c r="H499" i="8"/>
  <c r="H498" i="8"/>
  <c r="H497" i="8"/>
  <c r="H496" i="8"/>
  <c r="H495" i="8"/>
  <c r="H494" i="8"/>
  <c r="H493" i="8"/>
  <c r="H492" i="8"/>
  <c r="H491" i="8"/>
  <c r="H490" i="8"/>
  <c r="H489" i="8"/>
  <c r="H488" i="8"/>
  <c r="H487" i="8"/>
  <c r="H486" i="8"/>
  <c r="H485" i="8"/>
  <c r="H484" i="8"/>
  <c r="H483" i="8"/>
  <c r="H482" i="8"/>
  <c r="H481" i="8"/>
  <c r="H480" i="8"/>
  <c r="H479" i="8"/>
  <c r="H478" i="8"/>
  <c r="H477" i="8"/>
  <c r="H476" i="8"/>
  <c r="H475" i="8"/>
  <c r="H474" i="8"/>
  <c r="H473" i="8"/>
  <c r="H472" i="8"/>
  <c r="H471" i="8"/>
  <c r="H470" i="8"/>
  <c r="H469" i="8"/>
  <c r="H468" i="8"/>
  <c r="H467" i="8"/>
  <c r="H466" i="8"/>
  <c r="H465" i="8"/>
  <c r="H464" i="8"/>
  <c r="H463" i="8"/>
  <c r="H462" i="8"/>
  <c r="H461" i="8"/>
  <c r="H460" i="8"/>
  <c r="H459" i="8"/>
  <c r="H458" i="8"/>
  <c r="H457" i="8"/>
  <c r="H456" i="8"/>
  <c r="H455" i="8"/>
  <c r="H454" i="8"/>
  <c r="H453" i="8"/>
  <c r="H452" i="8"/>
  <c r="H451" i="8"/>
  <c r="H450" i="8"/>
  <c r="H449" i="8"/>
  <c r="H448" i="8"/>
  <c r="H447" i="8"/>
  <c r="H446" i="8"/>
  <c r="H445" i="8"/>
  <c r="H444" i="8"/>
  <c r="H443" i="8"/>
  <c r="H442" i="8"/>
  <c r="H441" i="8"/>
  <c r="H440" i="8"/>
  <c r="H439" i="8"/>
  <c r="H438" i="8"/>
  <c r="H437" i="8"/>
  <c r="H436" i="8"/>
  <c r="H435" i="8"/>
  <c r="H434" i="8"/>
  <c r="H433" i="8"/>
  <c r="H432" i="8"/>
  <c r="H431" i="8"/>
  <c r="H430" i="8"/>
  <c r="H429" i="8"/>
  <c r="H428" i="8"/>
  <c r="H427" i="8"/>
  <c r="H426" i="8"/>
  <c r="H425" i="8"/>
  <c r="H424" i="8"/>
  <c r="H423" i="8"/>
  <c r="H422" i="8"/>
  <c r="H421" i="8"/>
  <c r="H420" i="8"/>
  <c r="H419" i="8"/>
  <c r="H418" i="8"/>
  <c r="H417" i="8"/>
  <c r="H416" i="8"/>
  <c r="H415" i="8"/>
  <c r="H414" i="8"/>
  <c r="H413" i="8"/>
  <c r="H412" i="8"/>
  <c r="H411" i="8"/>
  <c r="H410" i="8"/>
  <c r="H409" i="8"/>
  <c r="H408" i="8"/>
  <c r="H407" i="8"/>
  <c r="H406" i="8"/>
  <c r="H405" i="8"/>
  <c r="H404" i="8"/>
  <c r="H403" i="8"/>
  <c r="H402" i="8"/>
  <c r="H401" i="8"/>
  <c r="H400" i="8"/>
  <c r="H399" i="8"/>
  <c r="H398" i="8"/>
  <c r="H397" i="8"/>
  <c r="H396" i="8"/>
  <c r="H395" i="8"/>
  <c r="H394" i="8"/>
  <c r="H393" i="8"/>
  <c r="H392" i="8"/>
  <c r="H391" i="8"/>
  <c r="H390" i="8"/>
  <c r="H389" i="8"/>
  <c r="H388" i="8"/>
  <c r="H387" i="8"/>
  <c r="H386" i="8"/>
  <c r="H385" i="8"/>
  <c r="H384" i="8"/>
  <c r="H383" i="8"/>
  <c r="H382" i="8"/>
  <c r="H381" i="8"/>
  <c r="H380" i="8"/>
  <c r="H379" i="8"/>
  <c r="H378" i="8"/>
  <c r="H377" i="8"/>
  <c r="H376" i="8"/>
  <c r="H375" i="8"/>
  <c r="H374" i="8"/>
  <c r="H373" i="8"/>
  <c r="H372" i="8"/>
  <c r="H371" i="8"/>
  <c r="H370" i="8"/>
  <c r="H369" i="8"/>
  <c r="H368" i="8"/>
  <c r="H367" i="8"/>
  <c r="H366" i="8"/>
  <c r="H365" i="8"/>
  <c r="H364" i="8"/>
  <c r="H363" i="8"/>
  <c r="H362" i="8"/>
  <c r="H361" i="8"/>
  <c r="H360" i="8"/>
  <c r="H359" i="8"/>
  <c r="H358" i="8"/>
  <c r="H357" i="8"/>
  <c r="H356" i="8"/>
  <c r="H355" i="8"/>
  <c r="H354" i="8"/>
  <c r="H353" i="8"/>
  <c r="H352" i="8"/>
  <c r="H351" i="8"/>
  <c r="H350" i="8"/>
  <c r="H349" i="8"/>
  <c r="H348" i="8"/>
  <c r="H347" i="8"/>
  <c r="H346" i="8"/>
  <c r="H345" i="8"/>
  <c r="H344" i="8"/>
  <c r="H343" i="8"/>
  <c r="H342" i="8"/>
  <c r="H341" i="8"/>
  <c r="H340" i="8"/>
  <c r="H339" i="8"/>
  <c r="H338" i="8"/>
  <c r="H337" i="8"/>
  <c r="H336" i="8"/>
  <c r="H335" i="8"/>
  <c r="H334" i="8"/>
  <c r="H333" i="8"/>
  <c r="H332" i="8"/>
  <c r="H331" i="8"/>
  <c r="H330" i="8"/>
  <c r="H329" i="8"/>
  <c r="H328" i="8"/>
  <c r="H327" i="8"/>
  <c r="H326" i="8"/>
  <c r="H325" i="8"/>
  <c r="H324" i="8"/>
  <c r="H323" i="8"/>
  <c r="H322" i="8"/>
  <c r="H321" i="8"/>
  <c r="H320" i="8"/>
  <c r="H319" i="8"/>
  <c r="H318" i="8"/>
  <c r="H317" i="8"/>
  <c r="H316" i="8"/>
  <c r="H315" i="8"/>
  <c r="H314" i="8"/>
  <c r="H313" i="8"/>
  <c r="H312" i="8"/>
  <c r="H311" i="8"/>
  <c r="H310" i="8"/>
  <c r="H309" i="8"/>
  <c r="H308" i="8"/>
  <c r="H307" i="8"/>
  <c r="H306" i="8"/>
  <c r="H305" i="8"/>
  <c r="H304" i="8"/>
  <c r="H303" i="8"/>
  <c r="H302" i="8"/>
  <c r="H301" i="8"/>
  <c r="H300" i="8"/>
  <c r="H299" i="8"/>
  <c r="H298" i="8"/>
  <c r="H297" i="8"/>
  <c r="H296" i="8"/>
  <c r="H295" i="8"/>
  <c r="H294" i="8"/>
  <c r="H293" i="8"/>
  <c r="H292" i="8"/>
  <c r="H291" i="8"/>
  <c r="H290" i="8"/>
  <c r="H289" i="8"/>
  <c r="H288" i="8"/>
  <c r="H287" i="8"/>
  <c r="H286" i="8"/>
  <c r="H285" i="8"/>
  <c r="H284" i="8"/>
  <c r="H283" i="8"/>
  <c r="H282" i="8"/>
  <c r="H281" i="8"/>
  <c r="H280" i="8"/>
  <c r="H279" i="8"/>
  <c r="H278" i="8"/>
  <c r="H277" i="8"/>
  <c r="H276" i="8"/>
  <c r="H275" i="8"/>
  <c r="H274" i="8"/>
  <c r="H273" i="8"/>
  <c r="H272" i="8"/>
  <c r="H271" i="8"/>
  <c r="H270" i="8"/>
  <c r="H269" i="8"/>
  <c r="H268" i="8"/>
  <c r="H267" i="8"/>
  <c r="H266" i="8"/>
  <c r="H265" i="8"/>
  <c r="H264" i="8"/>
  <c r="H263" i="8"/>
  <c r="H262" i="8"/>
  <c r="H261" i="8"/>
  <c r="H260" i="8"/>
  <c r="H259" i="8"/>
  <c r="H258" i="8"/>
  <c r="H257" i="8"/>
  <c r="H256" i="8"/>
  <c r="H255" i="8"/>
  <c r="H254" i="8"/>
  <c r="H253" i="8"/>
  <c r="H252" i="8"/>
  <c r="H251" i="8"/>
  <c r="H250" i="8"/>
  <c r="H249" i="8"/>
  <c r="H248" i="8"/>
  <c r="H247" i="8"/>
  <c r="H246" i="8"/>
  <c r="H245" i="8"/>
  <c r="H244" i="8"/>
  <c r="H243" i="8"/>
  <c r="H242" i="8"/>
  <c r="H241" i="8"/>
  <c r="H240" i="8"/>
  <c r="H239" i="8"/>
  <c r="H238" i="8"/>
  <c r="H237" i="8"/>
  <c r="H236" i="8"/>
  <c r="H235" i="8"/>
  <c r="H234" i="8"/>
  <c r="H233" i="8"/>
  <c r="H232" i="8"/>
  <c r="H231" i="8"/>
  <c r="H230" i="8"/>
  <c r="H229" i="8"/>
  <c r="H228" i="8"/>
  <c r="H227" i="8"/>
  <c r="H226" i="8"/>
  <c r="H225" i="8"/>
  <c r="H224" i="8"/>
  <c r="H223" i="8"/>
  <c r="H222" i="8"/>
  <c r="H221" i="8"/>
  <c r="H220" i="8"/>
  <c r="H219" i="8"/>
  <c r="H218" i="8"/>
  <c r="H217" i="8"/>
  <c r="H216" i="8"/>
  <c r="H215" i="8"/>
  <c r="H214" i="8"/>
  <c r="H213" i="8"/>
  <c r="H212" i="8"/>
  <c r="H211" i="8"/>
  <c r="H210" i="8"/>
  <c r="H209" i="8"/>
  <c r="H208" i="8"/>
  <c r="H207" i="8"/>
  <c r="H206" i="8"/>
  <c r="H205" i="8"/>
  <c r="H204" i="8"/>
  <c r="H203" i="8"/>
  <c r="H202" i="8"/>
  <c r="H201" i="8"/>
  <c r="H200" i="8"/>
  <c r="H199" i="8"/>
  <c r="H198" i="8"/>
  <c r="H197" i="8"/>
  <c r="H196" i="8"/>
  <c r="H195" i="8"/>
  <c r="H194" i="8"/>
  <c r="H193" i="8"/>
  <c r="H192" i="8"/>
  <c r="H191" i="8"/>
  <c r="H190" i="8"/>
  <c r="H189" i="8"/>
  <c r="H188" i="8"/>
  <c r="H187" i="8"/>
  <c r="H186" i="8"/>
  <c r="H185" i="8"/>
  <c r="H184" i="8"/>
  <c r="H183" i="8"/>
  <c r="H182" i="8"/>
  <c r="H181" i="8"/>
  <c r="H180" i="8"/>
  <c r="H179" i="8"/>
  <c r="H178" i="8"/>
  <c r="H177" i="8"/>
  <c r="H176" i="8"/>
  <c r="H175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2" i="8"/>
  <c r="H31" i="8"/>
  <c r="H30" i="8"/>
  <c r="H29" i="8"/>
  <c r="H28" i="8"/>
  <c r="H27" i="8"/>
  <c r="H38" i="8"/>
  <c r="H26" i="8"/>
  <c r="H25" i="8"/>
  <c r="H35" i="8"/>
  <c r="H37" i="8"/>
  <c r="H36" i="8"/>
  <c r="H34" i="8"/>
  <c r="H33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G104" i="8"/>
  <c r="F104" i="8" s="1"/>
  <c r="G103" i="8"/>
  <c r="F103" i="8" s="1"/>
  <c r="G102" i="8"/>
  <c r="F102" i="8" s="1"/>
  <c r="G101" i="8"/>
  <c r="G100" i="8"/>
  <c r="F100" i="8" s="1"/>
  <c r="G99" i="8"/>
  <c r="F99" i="8" s="1"/>
  <c r="G98" i="8"/>
  <c r="F98" i="8" s="1"/>
  <c r="G97" i="8"/>
  <c r="G96" i="8"/>
  <c r="F96" i="8" s="1"/>
  <c r="G95" i="8"/>
  <c r="F95" i="8" s="1"/>
  <c r="G94" i="8"/>
  <c r="F94" i="8" s="1"/>
  <c r="G93" i="8"/>
  <c r="G92" i="8"/>
  <c r="F92" i="8" s="1"/>
  <c r="G91" i="8"/>
  <c r="F91" i="8" s="1"/>
  <c r="G90" i="8"/>
  <c r="F90" i="8" s="1"/>
  <c r="G89" i="8"/>
  <c r="G88" i="8"/>
  <c r="F88" i="8" s="1"/>
  <c r="G87" i="8"/>
  <c r="F87" i="8" s="1"/>
  <c r="G86" i="8"/>
  <c r="F86" i="8" s="1"/>
  <c r="G85" i="8"/>
  <c r="G84" i="8"/>
  <c r="F84" i="8" s="1"/>
  <c r="G83" i="8"/>
  <c r="F83" i="8" s="1"/>
  <c r="G82" i="8"/>
  <c r="F82" i="8" s="1"/>
  <c r="G81" i="8"/>
  <c r="G80" i="8"/>
  <c r="F80" i="8" s="1"/>
  <c r="G79" i="8"/>
  <c r="F79" i="8" s="1"/>
  <c r="G78" i="8"/>
  <c r="F78" i="8" s="1"/>
  <c r="G77" i="8"/>
  <c r="G76" i="8"/>
  <c r="F76" i="8" s="1"/>
  <c r="G75" i="8"/>
  <c r="F75" i="8" s="1"/>
  <c r="G74" i="8"/>
  <c r="F74" i="8" s="1"/>
  <c r="G73" i="8"/>
  <c r="G72" i="8"/>
  <c r="F72" i="8" s="1"/>
  <c r="G71" i="8"/>
  <c r="F71" i="8" s="1"/>
  <c r="G70" i="8"/>
  <c r="F70" i="8" s="1"/>
  <c r="G69" i="8"/>
  <c r="G68" i="8"/>
  <c r="F68" i="8" s="1"/>
  <c r="G67" i="8"/>
  <c r="F67" i="8" s="1"/>
  <c r="G66" i="8"/>
  <c r="F66" i="8" s="1"/>
  <c r="G65" i="8"/>
  <c r="G1443" i="8"/>
  <c r="F1443" i="8" s="1"/>
  <c r="G1442" i="8"/>
  <c r="F1442" i="8" s="1"/>
  <c r="G1441" i="8"/>
  <c r="F1441" i="8" s="1"/>
  <c r="G1440" i="8"/>
  <c r="G1439" i="8"/>
  <c r="F1439" i="8" s="1"/>
  <c r="G1438" i="8"/>
  <c r="F1438" i="8" s="1"/>
  <c r="G1437" i="8"/>
  <c r="F1437" i="8" s="1"/>
  <c r="G1436" i="8"/>
  <c r="G1435" i="8"/>
  <c r="F1435" i="8" s="1"/>
  <c r="G1434" i="8"/>
  <c r="F1434" i="8" s="1"/>
  <c r="G1433" i="8"/>
  <c r="F1433" i="8" s="1"/>
  <c r="G1432" i="8"/>
  <c r="G1431" i="8"/>
  <c r="F1431" i="8" s="1"/>
  <c r="G1430" i="8"/>
  <c r="F1430" i="8" s="1"/>
  <c r="G1429" i="8"/>
  <c r="F1429" i="8" s="1"/>
  <c r="G1428" i="8"/>
  <c r="G1427" i="8"/>
  <c r="F1427" i="8" s="1"/>
  <c r="G1426" i="8"/>
  <c r="F1426" i="8" s="1"/>
  <c r="G1425" i="8"/>
  <c r="F1425" i="8" s="1"/>
  <c r="G1424" i="8"/>
  <c r="G1423" i="8"/>
  <c r="F1423" i="8" s="1"/>
  <c r="G1422" i="8"/>
  <c r="F1422" i="8" s="1"/>
  <c r="G1421" i="8"/>
  <c r="F1421" i="8" s="1"/>
  <c r="G1420" i="8"/>
  <c r="G1419" i="8"/>
  <c r="F1419" i="8" s="1"/>
  <c r="G1418" i="8"/>
  <c r="F1418" i="8" s="1"/>
  <c r="G1417" i="8"/>
  <c r="F1417" i="8" s="1"/>
  <c r="G1416" i="8"/>
  <c r="G1415" i="8"/>
  <c r="F1415" i="8" s="1"/>
  <c r="G1414" i="8"/>
  <c r="F1414" i="8" s="1"/>
  <c r="G1413" i="8"/>
  <c r="F1413" i="8" s="1"/>
  <c r="G1412" i="8"/>
  <c r="G1411" i="8"/>
  <c r="F1411" i="8" s="1"/>
  <c r="G1410" i="8"/>
  <c r="F1410" i="8" s="1"/>
  <c r="G1409" i="8"/>
  <c r="F1409" i="8" s="1"/>
  <c r="G1408" i="8"/>
  <c r="G1407" i="8"/>
  <c r="F1407" i="8" s="1"/>
  <c r="G1406" i="8"/>
  <c r="F1406" i="8" s="1"/>
  <c r="G1405" i="8"/>
  <c r="F1405" i="8" s="1"/>
  <c r="G1404" i="8"/>
  <c r="G1403" i="8"/>
  <c r="F1403" i="8" s="1"/>
  <c r="G1402" i="8"/>
  <c r="F1402" i="8" s="1"/>
  <c r="G1401" i="8"/>
  <c r="F1401" i="8" s="1"/>
  <c r="G1400" i="8"/>
  <c r="G1399" i="8"/>
  <c r="F1399" i="8" s="1"/>
  <c r="G1398" i="8"/>
  <c r="F1398" i="8" s="1"/>
  <c r="G1397" i="8"/>
  <c r="F1397" i="8" s="1"/>
  <c r="G1396" i="8"/>
  <c r="G1395" i="8"/>
  <c r="F1395" i="8" s="1"/>
  <c r="G1394" i="8"/>
  <c r="F1394" i="8" s="1"/>
  <c r="G1393" i="8"/>
  <c r="F1393" i="8" s="1"/>
  <c r="G1392" i="8"/>
  <c r="G1391" i="8"/>
  <c r="F1391" i="8" s="1"/>
  <c r="G1390" i="8"/>
  <c r="F1390" i="8" s="1"/>
  <c r="G1389" i="8"/>
  <c r="F1389" i="8" s="1"/>
  <c r="G1388" i="8"/>
  <c r="G1387" i="8"/>
  <c r="F1387" i="8" s="1"/>
  <c r="G1386" i="8"/>
  <c r="F1386" i="8" s="1"/>
  <c r="G1385" i="8"/>
  <c r="F1385" i="8" s="1"/>
  <c r="G1384" i="8"/>
  <c r="G1383" i="8"/>
  <c r="F1383" i="8" s="1"/>
  <c r="G1382" i="8"/>
  <c r="F1382" i="8" s="1"/>
  <c r="G1381" i="8"/>
  <c r="F1381" i="8" s="1"/>
  <c r="G1380" i="8"/>
  <c r="G1379" i="8"/>
  <c r="F1379" i="8" s="1"/>
  <c r="G1378" i="8"/>
  <c r="F1378" i="8" s="1"/>
  <c r="G1377" i="8"/>
  <c r="F1377" i="8" s="1"/>
  <c r="G1376" i="8"/>
  <c r="G1375" i="8"/>
  <c r="F1375" i="8" s="1"/>
  <c r="G1374" i="8"/>
  <c r="F1374" i="8" s="1"/>
  <c r="G1373" i="8"/>
  <c r="F1373" i="8" s="1"/>
  <c r="G1372" i="8"/>
  <c r="G1371" i="8"/>
  <c r="F1371" i="8" s="1"/>
  <c r="G1370" i="8"/>
  <c r="F1370" i="8" s="1"/>
  <c r="G1369" i="8"/>
  <c r="F1369" i="8" s="1"/>
  <c r="G1368" i="8"/>
  <c r="G1367" i="8"/>
  <c r="F1367" i="8" s="1"/>
  <c r="G1366" i="8"/>
  <c r="F1366" i="8" s="1"/>
  <c r="G1365" i="8"/>
  <c r="F1365" i="8" s="1"/>
  <c r="G1364" i="8"/>
  <c r="G1363" i="8"/>
  <c r="F1363" i="8" s="1"/>
  <c r="G1362" i="8"/>
  <c r="F1362" i="8" s="1"/>
  <c r="G1361" i="8"/>
  <c r="F1361" i="8" s="1"/>
  <c r="G1360" i="8"/>
  <c r="G1359" i="8"/>
  <c r="F1359" i="8" s="1"/>
  <c r="G1358" i="8"/>
  <c r="F1358" i="8" s="1"/>
  <c r="G1357" i="8"/>
  <c r="F1357" i="8" s="1"/>
  <c r="G1356" i="8"/>
  <c r="G1355" i="8"/>
  <c r="F1355" i="8" s="1"/>
  <c r="G1354" i="8"/>
  <c r="F1354" i="8" s="1"/>
  <c r="G1353" i="8"/>
  <c r="F1353" i="8" s="1"/>
  <c r="G1352" i="8"/>
  <c r="G1351" i="8"/>
  <c r="F1351" i="8" s="1"/>
  <c r="G1350" i="8"/>
  <c r="F1350" i="8" s="1"/>
  <c r="G1349" i="8"/>
  <c r="F1349" i="8" s="1"/>
  <c r="G1348" i="8"/>
  <c r="G1347" i="8"/>
  <c r="F1347" i="8" s="1"/>
  <c r="G1346" i="8"/>
  <c r="F1346" i="8" s="1"/>
  <c r="G1345" i="8"/>
  <c r="F1345" i="8" s="1"/>
  <c r="G1344" i="8"/>
  <c r="G1343" i="8"/>
  <c r="F1343" i="8" s="1"/>
  <c r="G1342" i="8"/>
  <c r="F1342" i="8" s="1"/>
  <c r="G1341" i="8"/>
  <c r="F1341" i="8" s="1"/>
  <c r="G1340" i="8"/>
  <c r="G1339" i="8"/>
  <c r="F1339" i="8" s="1"/>
  <c r="G1338" i="8"/>
  <c r="F1338" i="8" s="1"/>
  <c r="G1337" i="8"/>
  <c r="F1337" i="8" s="1"/>
  <c r="G1336" i="8"/>
  <c r="G1335" i="8"/>
  <c r="F1335" i="8" s="1"/>
  <c r="G1334" i="8"/>
  <c r="F1334" i="8" s="1"/>
  <c r="G1333" i="8"/>
  <c r="F1333" i="8" s="1"/>
  <c r="G1332" i="8"/>
  <c r="G1331" i="8"/>
  <c r="F1331" i="8" s="1"/>
  <c r="G1330" i="8"/>
  <c r="F1330" i="8" s="1"/>
  <c r="G1329" i="8"/>
  <c r="F1329" i="8" s="1"/>
  <c r="G1328" i="8"/>
  <c r="G1327" i="8"/>
  <c r="F1327" i="8" s="1"/>
  <c r="G1326" i="8"/>
  <c r="F1326" i="8" s="1"/>
  <c r="G1325" i="8"/>
  <c r="F1325" i="8" s="1"/>
  <c r="G1324" i="8"/>
  <c r="G1323" i="8"/>
  <c r="F1323" i="8" s="1"/>
  <c r="G1322" i="8"/>
  <c r="F1322" i="8" s="1"/>
  <c r="G1321" i="8"/>
  <c r="F1321" i="8" s="1"/>
  <c r="G1320" i="8"/>
  <c r="G1319" i="8"/>
  <c r="F1319" i="8" s="1"/>
  <c r="G1318" i="8"/>
  <c r="F1318" i="8" s="1"/>
  <c r="G1317" i="8"/>
  <c r="F1317" i="8" s="1"/>
  <c r="G1316" i="8"/>
  <c r="G1315" i="8"/>
  <c r="F1315" i="8" s="1"/>
  <c r="G1314" i="8"/>
  <c r="F1314" i="8" s="1"/>
  <c r="G1313" i="8"/>
  <c r="F1313" i="8" s="1"/>
  <c r="G1312" i="8"/>
  <c r="G1311" i="8"/>
  <c r="F1311" i="8" s="1"/>
  <c r="G1310" i="8"/>
  <c r="F1310" i="8" s="1"/>
  <c r="G1309" i="8"/>
  <c r="F1309" i="8" s="1"/>
  <c r="G1308" i="8"/>
  <c r="G1307" i="8"/>
  <c r="F1307" i="8" s="1"/>
  <c r="G1306" i="8"/>
  <c r="F1306" i="8" s="1"/>
  <c r="G1305" i="8"/>
  <c r="F1305" i="8" s="1"/>
  <c r="G1304" i="8"/>
  <c r="G1303" i="8"/>
  <c r="F1303" i="8" s="1"/>
  <c r="G1302" i="8"/>
  <c r="F1302" i="8" s="1"/>
  <c r="G1301" i="8"/>
  <c r="F1301" i="8" s="1"/>
  <c r="G1300" i="8"/>
  <c r="G1299" i="8"/>
  <c r="F1299" i="8" s="1"/>
  <c r="G1298" i="8"/>
  <c r="F1298" i="8" s="1"/>
  <c r="G1297" i="8"/>
  <c r="F1297" i="8" s="1"/>
  <c r="G1296" i="8"/>
  <c r="G1295" i="8"/>
  <c r="F1295" i="8" s="1"/>
  <c r="G1294" i="8"/>
  <c r="F1294" i="8" s="1"/>
  <c r="G1293" i="8"/>
  <c r="F1293" i="8" s="1"/>
  <c r="G1292" i="8"/>
  <c r="G1291" i="8"/>
  <c r="F1291" i="8" s="1"/>
  <c r="G1290" i="8"/>
  <c r="F1290" i="8" s="1"/>
  <c r="G1289" i="8"/>
  <c r="F1289" i="8" s="1"/>
  <c r="G1288" i="8"/>
  <c r="G1287" i="8"/>
  <c r="F1287" i="8" s="1"/>
  <c r="G1286" i="8"/>
  <c r="F1286" i="8" s="1"/>
  <c r="G1285" i="8"/>
  <c r="F1285" i="8" s="1"/>
  <c r="G1284" i="8"/>
  <c r="G1283" i="8"/>
  <c r="F1283" i="8" s="1"/>
  <c r="G1282" i="8"/>
  <c r="F1282" i="8" s="1"/>
  <c r="G1281" i="8"/>
  <c r="F1281" i="8" s="1"/>
  <c r="G1280" i="8"/>
  <c r="G1279" i="8"/>
  <c r="F1279" i="8" s="1"/>
  <c r="G1278" i="8"/>
  <c r="F1278" i="8" s="1"/>
  <c r="G1277" i="8"/>
  <c r="F1277" i="8" s="1"/>
  <c r="G1276" i="8"/>
  <c r="G1275" i="8"/>
  <c r="F1275" i="8" s="1"/>
  <c r="G1274" i="8"/>
  <c r="F1274" i="8" s="1"/>
  <c r="G1273" i="8"/>
  <c r="F1273" i="8" s="1"/>
  <c r="G1272" i="8"/>
  <c r="G1271" i="8"/>
  <c r="F1271" i="8" s="1"/>
  <c r="G1270" i="8"/>
  <c r="F1270" i="8" s="1"/>
  <c r="G1269" i="8"/>
  <c r="F1269" i="8" s="1"/>
  <c r="G1268" i="8"/>
  <c r="G1267" i="8"/>
  <c r="F1267" i="8" s="1"/>
  <c r="G1266" i="8"/>
  <c r="F1266" i="8" s="1"/>
  <c r="G1265" i="8"/>
  <c r="F1265" i="8" s="1"/>
  <c r="G1264" i="8"/>
  <c r="G1263" i="8"/>
  <c r="F1263" i="8" s="1"/>
  <c r="G1262" i="8"/>
  <c r="F1262" i="8" s="1"/>
  <c r="G1261" i="8"/>
  <c r="F1261" i="8" s="1"/>
  <c r="G1260" i="8"/>
  <c r="G1259" i="8"/>
  <c r="F1259" i="8" s="1"/>
  <c r="G1258" i="8"/>
  <c r="F1258" i="8" s="1"/>
  <c r="G1257" i="8"/>
  <c r="F1257" i="8" s="1"/>
  <c r="G1256" i="8"/>
  <c r="G1255" i="8"/>
  <c r="F1255" i="8" s="1"/>
  <c r="G1254" i="8"/>
  <c r="F1254" i="8" s="1"/>
  <c r="G1253" i="8"/>
  <c r="F1253" i="8" s="1"/>
  <c r="G1252" i="8"/>
  <c r="G1251" i="8"/>
  <c r="F1251" i="8" s="1"/>
  <c r="G1250" i="8"/>
  <c r="F1250" i="8" s="1"/>
  <c r="G1249" i="8"/>
  <c r="F1249" i="8" s="1"/>
  <c r="G1248" i="8"/>
  <c r="G1247" i="8"/>
  <c r="F1247" i="8" s="1"/>
  <c r="G1246" i="8"/>
  <c r="F1246" i="8" s="1"/>
  <c r="G1245" i="8"/>
  <c r="F1245" i="8" s="1"/>
  <c r="G1244" i="8"/>
  <c r="G1243" i="8"/>
  <c r="F1243" i="8" s="1"/>
  <c r="G1242" i="8"/>
  <c r="F1242" i="8" s="1"/>
  <c r="G1241" i="8"/>
  <c r="F1241" i="8" s="1"/>
  <c r="G1240" i="8"/>
  <c r="G1239" i="8"/>
  <c r="F1239" i="8" s="1"/>
  <c r="G1238" i="8"/>
  <c r="F1238" i="8" s="1"/>
  <c r="G1237" i="8"/>
  <c r="F1237" i="8" s="1"/>
  <c r="G1236" i="8"/>
  <c r="G1235" i="8"/>
  <c r="F1235" i="8" s="1"/>
  <c r="G1234" i="8"/>
  <c r="F1234" i="8" s="1"/>
  <c r="G1233" i="8"/>
  <c r="F1233" i="8" s="1"/>
  <c r="G1232" i="8"/>
  <c r="G1231" i="8"/>
  <c r="F1231" i="8" s="1"/>
  <c r="G1230" i="8"/>
  <c r="F1230" i="8" s="1"/>
  <c r="G1229" i="8"/>
  <c r="F1229" i="8" s="1"/>
  <c r="G1228" i="8"/>
  <c r="G1227" i="8"/>
  <c r="F1227" i="8" s="1"/>
  <c r="G1226" i="8"/>
  <c r="F1226" i="8" s="1"/>
  <c r="G1225" i="8"/>
  <c r="F1225" i="8" s="1"/>
  <c r="G1224" i="8"/>
  <c r="G1223" i="8"/>
  <c r="F1223" i="8" s="1"/>
  <c r="G1222" i="8"/>
  <c r="F1222" i="8" s="1"/>
  <c r="G1221" i="8"/>
  <c r="F1221" i="8" s="1"/>
  <c r="G1220" i="8"/>
  <c r="G1219" i="8"/>
  <c r="F1219" i="8" s="1"/>
  <c r="G1218" i="8"/>
  <c r="F1218" i="8" s="1"/>
  <c r="G1217" i="8"/>
  <c r="F1217" i="8" s="1"/>
  <c r="G1216" i="8"/>
  <c r="G1215" i="8"/>
  <c r="F1215" i="8" s="1"/>
  <c r="G1214" i="8"/>
  <c r="F1214" i="8" s="1"/>
  <c r="G1213" i="8"/>
  <c r="F1213" i="8" s="1"/>
  <c r="G1212" i="8"/>
  <c r="G1211" i="8"/>
  <c r="F1211" i="8" s="1"/>
  <c r="G1210" i="8"/>
  <c r="F1210" i="8" s="1"/>
  <c r="G1209" i="8"/>
  <c r="F1209" i="8" s="1"/>
  <c r="G1208" i="8"/>
  <c r="G1207" i="8"/>
  <c r="F1207" i="8" s="1"/>
  <c r="G1206" i="8"/>
  <c r="F1206" i="8" s="1"/>
  <c r="G1205" i="8"/>
  <c r="F1205" i="8" s="1"/>
  <c r="G1204" i="8"/>
  <c r="G1203" i="8"/>
  <c r="F1203" i="8" s="1"/>
  <c r="G1202" i="8"/>
  <c r="F1202" i="8" s="1"/>
  <c r="G1201" i="8"/>
  <c r="F1201" i="8" s="1"/>
  <c r="G1200" i="8"/>
  <c r="G1199" i="8"/>
  <c r="F1199" i="8" s="1"/>
  <c r="G1198" i="8"/>
  <c r="F1198" i="8" s="1"/>
  <c r="G1197" i="8"/>
  <c r="F1197" i="8" s="1"/>
  <c r="G1196" i="8"/>
  <c r="G1195" i="8"/>
  <c r="F1195" i="8" s="1"/>
  <c r="G1194" i="8"/>
  <c r="F1194" i="8" s="1"/>
  <c r="G1193" i="8"/>
  <c r="F1193" i="8" s="1"/>
  <c r="G1192" i="8"/>
  <c r="G1191" i="8"/>
  <c r="F1191" i="8" s="1"/>
  <c r="G1190" i="8"/>
  <c r="F1190" i="8" s="1"/>
  <c r="G1189" i="8"/>
  <c r="F1189" i="8" s="1"/>
  <c r="G1188" i="8"/>
  <c r="G1187" i="8"/>
  <c r="F1187" i="8" s="1"/>
  <c r="G1186" i="8"/>
  <c r="F1186" i="8" s="1"/>
  <c r="G1185" i="8"/>
  <c r="F1185" i="8" s="1"/>
  <c r="G1184" i="8"/>
  <c r="G1183" i="8"/>
  <c r="F1183" i="8" s="1"/>
  <c r="G1182" i="8"/>
  <c r="F1182" i="8" s="1"/>
  <c r="G1181" i="8"/>
  <c r="F1181" i="8" s="1"/>
  <c r="G1180" i="8"/>
  <c r="G1179" i="8"/>
  <c r="F1179" i="8" s="1"/>
  <c r="G1178" i="8"/>
  <c r="F1178" i="8" s="1"/>
  <c r="G1177" i="8"/>
  <c r="F1177" i="8" s="1"/>
  <c r="G1176" i="8"/>
  <c r="G1175" i="8"/>
  <c r="F1175" i="8" s="1"/>
  <c r="G1174" i="8"/>
  <c r="F1174" i="8" s="1"/>
  <c r="G1173" i="8"/>
  <c r="F1173" i="8" s="1"/>
  <c r="G1172" i="8"/>
  <c r="G1171" i="8"/>
  <c r="F1171" i="8" s="1"/>
  <c r="G1170" i="8"/>
  <c r="F1170" i="8" s="1"/>
  <c r="G1169" i="8"/>
  <c r="F1169" i="8" s="1"/>
  <c r="G1168" i="8"/>
  <c r="G1167" i="8"/>
  <c r="F1167" i="8" s="1"/>
  <c r="G1166" i="8"/>
  <c r="F1166" i="8" s="1"/>
  <c r="G1165" i="8"/>
  <c r="F1165" i="8" s="1"/>
  <c r="G1164" i="8"/>
  <c r="G1163" i="8"/>
  <c r="F1163" i="8" s="1"/>
  <c r="G1162" i="8"/>
  <c r="F1162" i="8" s="1"/>
  <c r="G1161" i="8"/>
  <c r="F1161" i="8" s="1"/>
  <c r="G1160" i="8"/>
  <c r="G1159" i="8"/>
  <c r="F1159" i="8" s="1"/>
  <c r="G1158" i="8"/>
  <c r="F1158" i="8" s="1"/>
  <c r="G1157" i="8"/>
  <c r="F1157" i="8" s="1"/>
  <c r="G1156" i="8"/>
  <c r="G1155" i="8"/>
  <c r="F1155" i="8" s="1"/>
  <c r="G1154" i="8"/>
  <c r="F1154" i="8" s="1"/>
  <c r="G1153" i="8"/>
  <c r="F1153" i="8" s="1"/>
  <c r="G1152" i="8"/>
  <c r="G1151" i="8"/>
  <c r="F1151" i="8" s="1"/>
  <c r="G1150" i="8"/>
  <c r="F1150" i="8" s="1"/>
  <c r="G1149" i="8"/>
  <c r="F1149" i="8" s="1"/>
  <c r="G1148" i="8"/>
  <c r="G1147" i="8"/>
  <c r="F1147" i="8" s="1"/>
  <c r="G1146" i="8"/>
  <c r="F1146" i="8" s="1"/>
  <c r="G1145" i="8"/>
  <c r="F1145" i="8" s="1"/>
  <c r="G1144" i="8"/>
  <c r="G1143" i="8"/>
  <c r="F1143" i="8" s="1"/>
  <c r="G1142" i="8"/>
  <c r="F1142" i="8" s="1"/>
  <c r="G1141" i="8"/>
  <c r="F1141" i="8" s="1"/>
  <c r="G1140" i="8"/>
  <c r="G1139" i="8"/>
  <c r="F1139" i="8" s="1"/>
  <c r="G1138" i="8"/>
  <c r="F1138" i="8" s="1"/>
  <c r="G1137" i="8"/>
  <c r="F1137" i="8" s="1"/>
  <c r="G1136" i="8"/>
  <c r="G1135" i="8"/>
  <c r="F1135" i="8" s="1"/>
  <c r="G1134" i="8"/>
  <c r="F1134" i="8" s="1"/>
  <c r="G1133" i="8"/>
  <c r="F1133" i="8" s="1"/>
  <c r="G1132" i="8"/>
  <c r="G1131" i="8"/>
  <c r="F1131" i="8" s="1"/>
  <c r="G1130" i="8"/>
  <c r="F1130" i="8" s="1"/>
  <c r="G1129" i="8"/>
  <c r="F1129" i="8" s="1"/>
  <c r="G1128" i="8"/>
  <c r="G1127" i="8"/>
  <c r="F1127" i="8" s="1"/>
  <c r="G1126" i="8"/>
  <c r="F1126" i="8" s="1"/>
  <c r="G1125" i="8"/>
  <c r="F1125" i="8" s="1"/>
  <c r="G1124" i="8"/>
  <c r="G1123" i="8"/>
  <c r="F1123" i="8" s="1"/>
  <c r="G1122" i="8"/>
  <c r="F1122" i="8" s="1"/>
  <c r="G1121" i="8"/>
  <c r="F1121" i="8" s="1"/>
  <c r="G1120" i="8"/>
  <c r="G1119" i="8"/>
  <c r="F1119" i="8" s="1"/>
  <c r="G1118" i="8"/>
  <c r="F1118" i="8" s="1"/>
  <c r="G1117" i="8"/>
  <c r="F1117" i="8" s="1"/>
  <c r="G1116" i="8"/>
  <c r="G1115" i="8"/>
  <c r="F1115" i="8" s="1"/>
  <c r="G1114" i="8"/>
  <c r="F1114" i="8" s="1"/>
  <c r="G1113" i="8"/>
  <c r="F1113" i="8" s="1"/>
  <c r="G1112" i="8"/>
  <c r="G1111" i="8"/>
  <c r="F1111" i="8" s="1"/>
  <c r="G1110" i="8"/>
  <c r="F1110" i="8" s="1"/>
  <c r="G1109" i="8"/>
  <c r="F1109" i="8" s="1"/>
  <c r="G1108" i="8"/>
  <c r="G1107" i="8"/>
  <c r="F1107" i="8" s="1"/>
  <c r="G1106" i="8"/>
  <c r="F1106" i="8" s="1"/>
  <c r="G1105" i="8"/>
  <c r="F1105" i="8" s="1"/>
  <c r="G1104" i="8"/>
  <c r="G1103" i="8"/>
  <c r="F1103" i="8" s="1"/>
  <c r="G1102" i="8"/>
  <c r="F1102" i="8" s="1"/>
  <c r="G1101" i="8"/>
  <c r="F1101" i="8" s="1"/>
  <c r="G1100" i="8"/>
  <c r="G1099" i="8"/>
  <c r="F1099" i="8" s="1"/>
  <c r="G1098" i="8"/>
  <c r="F1098" i="8" s="1"/>
  <c r="G1097" i="8"/>
  <c r="F1097" i="8" s="1"/>
  <c r="G1096" i="8"/>
  <c r="G1095" i="8"/>
  <c r="F1095" i="8" s="1"/>
  <c r="G1094" i="8"/>
  <c r="F1094" i="8" s="1"/>
  <c r="G1093" i="8"/>
  <c r="F1093" i="8" s="1"/>
  <c r="G1092" i="8"/>
  <c r="G1091" i="8"/>
  <c r="F1091" i="8" s="1"/>
  <c r="G1090" i="8"/>
  <c r="F1090" i="8" s="1"/>
  <c r="G1089" i="8"/>
  <c r="F1089" i="8" s="1"/>
  <c r="G1088" i="8"/>
  <c r="G1087" i="8"/>
  <c r="F1087" i="8" s="1"/>
  <c r="G1086" i="8"/>
  <c r="F1086" i="8" s="1"/>
  <c r="G1085" i="8"/>
  <c r="F1085" i="8" s="1"/>
  <c r="G1084" i="8"/>
  <c r="G1083" i="8"/>
  <c r="F1083" i="8" s="1"/>
  <c r="G1082" i="8"/>
  <c r="F1082" i="8" s="1"/>
  <c r="G1081" i="8"/>
  <c r="F1081" i="8" s="1"/>
  <c r="G1080" i="8"/>
  <c r="G1079" i="8"/>
  <c r="F1079" i="8" s="1"/>
  <c r="G1078" i="8"/>
  <c r="F1078" i="8" s="1"/>
  <c r="G1077" i="8"/>
  <c r="F1077" i="8" s="1"/>
  <c r="G1076" i="8"/>
  <c r="G1075" i="8"/>
  <c r="F1075" i="8" s="1"/>
  <c r="G1074" i="8"/>
  <c r="F1074" i="8" s="1"/>
  <c r="G1073" i="8"/>
  <c r="F1073" i="8" s="1"/>
  <c r="G1072" i="8"/>
  <c r="G1071" i="8"/>
  <c r="F1071" i="8" s="1"/>
  <c r="G1070" i="8"/>
  <c r="F1070" i="8" s="1"/>
  <c r="G1069" i="8"/>
  <c r="F1069" i="8" s="1"/>
  <c r="G1068" i="8"/>
  <c r="G1067" i="8"/>
  <c r="F1067" i="8" s="1"/>
  <c r="G1066" i="8"/>
  <c r="F1066" i="8" s="1"/>
  <c r="G1065" i="8"/>
  <c r="F1065" i="8" s="1"/>
  <c r="G1064" i="8"/>
  <c r="G1063" i="8"/>
  <c r="F1063" i="8" s="1"/>
  <c r="G1062" i="8"/>
  <c r="F1062" i="8" s="1"/>
  <c r="G1061" i="8"/>
  <c r="F1061" i="8" s="1"/>
  <c r="G1060" i="8"/>
  <c r="G1059" i="8"/>
  <c r="F1059" i="8" s="1"/>
  <c r="G1058" i="8"/>
  <c r="F1058" i="8" s="1"/>
  <c r="G1057" i="8"/>
  <c r="F1057" i="8" s="1"/>
  <c r="G1056" i="8"/>
  <c r="G1055" i="8"/>
  <c r="F1055" i="8" s="1"/>
  <c r="G1054" i="8"/>
  <c r="F1054" i="8" s="1"/>
  <c r="G1053" i="8"/>
  <c r="F1053" i="8" s="1"/>
  <c r="G1052" i="8"/>
  <c r="G1051" i="8"/>
  <c r="F1051" i="8" s="1"/>
  <c r="G1050" i="8"/>
  <c r="F1050" i="8" s="1"/>
  <c r="G1049" i="8"/>
  <c r="F1049" i="8" s="1"/>
  <c r="G1048" i="8"/>
  <c r="G1047" i="8"/>
  <c r="F1047" i="8" s="1"/>
  <c r="G1046" i="8"/>
  <c r="F1046" i="8" s="1"/>
  <c r="G1045" i="8"/>
  <c r="F1045" i="8" s="1"/>
  <c r="G1044" i="8"/>
  <c r="G1043" i="8"/>
  <c r="F1043" i="8" s="1"/>
  <c r="G1042" i="8"/>
  <c r="F1042" i="8" s="1"/>
  <c r="G1041" i="8"/>
  <c r="F1041" i="8" s="1"/>
  <c r="G1040" i="8"/>
  <c r="G1039" i="8"/>
  <c r="F1039" i="8" s="1"/>
  <c r="G1038" i="8"/>
  <c r="F1038" i="8" s="1"/>
  <c r="G1037" i="8"/>
  <c r="F1037" i="8" s="1"/>
  <c r="G1036" i="8"/>
  <c r="G1035" i="8"/>
  <c r="F1035" i="8" s="1"/>
  <c r="G1034" i="8"/>
  <c r="F1034" i="8" s="1"/>
  <c r="G1033" i="8"/>
  <c r="F1033" i="8" s="1"/>
  <c r="G1032" i="8"/>
  <c r="G1031" i="8"/>
  <c r="F1031" i="8" s="1"/>
  <c r="G1030" i="8"/>
  <c r="F1030" i="8" s="1"/>
  <c r="G1029" i="8"/>
  <c r="F1029" i="8" s="1"/>
  <c r="G1028" i="8"/>
  <c r="G1027" i="8"/>
  <c r="F1027" i="8" s="1"/>
  <c r="G1026" i="8"/>
  <c r="F1026" i="8" s="1"/>
  <c r="G1025" i="8"/>
  <c r="F1025" i="8" s="1"/>
  <c r="G1024" i="8"/>
  <c r="G1023" i="8"/>
  <c r="F1023" i="8" s="1"/>
  <c r="G1022" i="8"/>
  <c r="F1022" i="8" s="1"/>
  <c r="G1021" i="8"/>
  <c r="F1021" i="8" s="1"/>
  <c r="G1020" i="8"/>
  <c r="G1019" i="8"/>
  <c r="F1019" i="8" s="1"/>
  <c r="G1018" i="8"/>
  <c r="F1018" i="8" s="1"/>
  <c r="G1017" i="8"/>
  <c r="F1017" i="8" s="1"/>
  <c r="G1016" i="8"/>
  <c r="G1015" i="8"/>
  <c r="F1015" i="8" s="1"/>
  <c r="G1014" i="8"/>
  <c r="F1014" i="8" s="1"/>
  <c r="G1013" i="8"/>
  <c r="F1013" i="8" s="1"/>
  <c r="G1012" i="8"/>
  <c r="G1011" i="8"/>
  <c r="F1011" i="8" s="1"/>
  <c r="G1010" i="8"/>
  <c r="F1010" i="8" s="1"/>
  <c r="G1009" i="8"/>
  <c r="F1009" i="8" s="1"/>
  <c r="G1008" i="8"/>
  <c r="G1007" i="8"/>
  <c r="F1007" i="8" s="1"/>
  <c r="G1006" i="8"/>
  <c r="F1006" i="8" s="1"/>
  <c r="G1005" i="8"/>
  <c r="F1005" i="8" s="1"/>
  <c r="G1004" i="8"/>
  <c r="G1003" i="8"/>
  <c r="F1003" i="8" s="1"/>
  <c r="G1002" i="8"/>
  <c r="F1002" i="8" s="1"/>
  <c r="G1001" i="8"/>
  <c r="F1001" i="8" s="1"/>
  <c r="G1000" i="8"/>
  <c r="G999" i="8"/>
  <c r="F999" i="8" s="1"/>
  <c r="G998" i="8"/>
  <c r="F998" i="8" s="1"/>
  <c r="G997" i="8"/>
  <c r="F997" i="8" s="1"/>
  <c r="G996" i="8"/>
  <c r="G995" i="8"/>
  <c r="F995" i="8" s="1"/>
  <c r="G994" i="8"/>
  <c r="F994" i="8" s="1"/>
  <c r="G993" i="8"/>
  <c r="F993" i="8" s="1"/>
  <c r="G992" i="8"/>
  <c r="G991" i="8"/>
  <c r="F991" i="8" s="1"/>
  <c r="G990" i="8"/>
  <c r="F990" i="8" s="1"/>
  <c r="G989" i="8"/>
  <c r="F989" i="8" s="1"/>
  <c r="G988" i="8"/>
  <c r="G987" i="8"/>
  <c r="F987" i="8" s="1"/>
  <c r="G986" i="8"/>
  <c r="F986" i="8" s="1"/>
  <c r="G985" i="8"/>
  <c r="F985" i="8" s="1"/>
  <c r="G984" i="8"/>
  <c r="G983" i="8"/>
  <c r="F983" i="8" s="1"/>
  <c r="G982" i="8"/>
  <c r="F982" i="8" s="1"/>
  <c r="G981" i="8"/>
  <c r="F981" i="8" s="1"/>
  <c r="G980" i="8"/>
  <c r="G979" i="8"/>
  <c r="F979" i="8" s="1"/>
  <c r="G978" i="8"/>
  <c r="F978" i="8" s="1"/>
  <c r="G977" i="8"/>
  <c r="F977" i="8" s="1"/>
  <c r="G976" i="8"/>
  <c r="G975" i="8"/>
  <c r="F975" i="8" s="1"/>
  <c r="G974" i="8"/>
  <c r="F974" i="8" s="1"/>
  <c r="G973" i="8"/>
  <c r="F973" i="8" s="1"/>
  <c r="G972" i="8"/>
  <c r="G971" i="8"/>
  <c r="F971" i="8" s="1"/>
  <c r="G970" i="8"/>
  <c r="F970" i="8" s="1"/>
  <c r="G969" i="8"/>
  <c r="F969" i="8" s="1"/>
  <c r="G968" i="8"/>
  <c r="G967" i="8"/>
  <c r="F967" i="8" s="1"/>
  <c r="G966" i="8"/>
  <c r="F966" i="8" s="1"/>
  <c r="G965" i="8"/>
  <c r="F965" i="8" s="1"/>
  <c r="G964" i="8"/>
  <c r="G963" i="8"/>
  <c r="F963" i="8" s="1"/>
  <c r="G962" i="8"/>
  <c r="F962" i="8" s="1"/>
  <c r="G961" i="8"/>
  <c r="F961" i="8" s="1"/>
  <c r="G960" i="8"/>
  <c r="G959" i="8"/>
  <c r="F959" i="8" s="1"/>
  <c r="G958" i="8"/>
  <c r="F958" i="8" s="1"/>
  <c r="G957" i="8"/>
  <c r="F957" i="8" s="1"/>
  <c r="G956" i="8"/>
  <c r="G955" i="8"/>
  <c r="F955" i="8" s="1"/>
  <c r="G954" i="8"/>
  <c r="F954" i="8" s="1"/>
  <c r="G953" i="8"/>
  <c r="F953" i="8" s="1"/>
  <c r="G952" i="8"/>
  <c r="G951" i="8"/>
  <c r="F951" i="8" s="1"/>
  <c r="G950" i="8"/>
  <c r="F950" i="8" s="1"/>
  <c r="G949" i="8"/>
  <c r="F949" i="8" s="1"/>
  <c r="G948" i="8"/>
  <c r="G947" i="8"/>
  <c r="F947" i="8" s="1"/>
  <c r="G946" i="8"/>
  <c r="F946" i="8" s="1"/>
  <c r="G945" i="8"/>
  <c r="F945" i="8" s="1"/>
  <c r="G944" i="8"/>
  <c r="G943" i="8"/>
  <c r="F943" i="8" s="1"/>
  <c r="G942" i="8"/>
  <c r="F942" i="8" s="1"/>
  <c r="G941" i="8"/>
  <c r="F941" i="8" s="1"/>
  <c r="G940" i="8"/>
  <c r="G939" i="8"/>
  <c r="F939" i="8" s="1"/>
  <c r="G938" i="8"/>
  <c r="F938" i="8" s="1"/>
  <c r="G937" i="8"/>
  <c r="F937" i="8" s="1"/>
  <c r="G936" i="8"/>
  <c r="G935" i="8"/>
  <c r="F935" i="8" s="1"/>
  <c r="G934" i="8"/>
  <c r="F934" i="8" s="1"/>
  <c r="G933" i="8"/>
  <c r="F933" i="8" s="1"/>
  <c r="G932" i="8"/>
  <c r="G931" i="8"/>
  <c r="F931" i="8" s="1"/>
  <c r="G930" i="8"/>
  <c r="F930" i="8" s="1"/>
  <c r="G929" i="8"/>
  <c r="F929" i="8" s="1"/>
  <c r="G928" i="8"/>
  <c r="G927" i="8"/>
  <c r="F927" i="8" s="1"/>
  <c r="G926" i="8"/>
  <c r="F926" i="8" s="1"/>
  <c r="G925" i="8"/>
  <c r="F925" i="8" s="1"/>
  <c r="G924" i="8"/>
  <c r="G923" i="8"/>
  <c r="F923" i="8" s="1"/>
  <c r="G922" i="8"/>
  <c r="F922" i="8" s="1"/>
  <c r="G921" i="8"/>
  <c r="F921" i="8" s="1"/>
  <c r="G920" i="8"/>
  <c r="G919" i="8"/>
  <c r="F919" i="8" s="1"/>
  <c r="G918" i="8"/>
  <c r="F918" i="8" s="1"/>
  <c r="G917" i="8"/>
  <c r="F917" i="8" s="1"/>
  <c r="G916" i="8"/>
  <c r="G915" i="8"/>
  <c r="F915" i="8" s="1"/>
  <c r="G914" i="8"/>
  <c r="F914" i="8" s="1"/>
  <c r="G913" i="8"/>
  <c r="F913" i="8" s="1"/>
  <c r="G912" i="8"/>
  <c r="G911" i="8"/>
  <c r="F911" i="8" s="1"/>
  <c r="G910" i="8"/>
  <c r="F910" i="8" s="1"/>
  <c r="G909" i="8"/>
  <c r="F909" i="8" s="1"/>
  <c r="G908" i="8"/>
  <c r="G907" i="8"/>
  <c r="F907" i="8" s="1"/>
  <c r="G906" i="8"/>
  <c r="F906" i="8" s="1"/>
  <c r="G905" i="8"/>
  <c r="F905" i="8" s="1"/>
  <c r="G904" i="8"/>
  <c r="G903" i="8"/>
  <c r="F903" i="8" s="1"/>
  <c r="G902" i="8"/>
  <c r="F902" i="8" s="1"/>
  <c r="G901" i="8"/>
  <c r="F901" i="8" s="1"/>
  <c r="G900" i="8"/>
  <c r="G899" i="8"/>
  <c r="F899" i="8" s="1"/>
  <c r="G898" i="8"/>
  <c r="F898" i="8" s="1"/>
  <c r="G897" i="8"/>
  <c r="F897" i="8" s="1"/>
  <c r="G896" i="8"/>
  <c r="G895" i="8"/>
  <c r="F895" i="8" s="1"/>
  <c r="G894" i="8"/>
  <c r="F894" i="8" s="1"/>
  <c r="G893" i="8"/>
  <c r="F893" i="8" s="1"/>
  <c r="G892" i="8"/>
  <c r="G891" i="8"/>
  <c r="F891" i="8" s="1"/>
  <c r="G890" i="8"/>
  <c r="F890" i="8" s="1"/>
  <c r="G889" i="8"/>
  <c r="F889" i="8" s="1"/>
  <c r="G888" i="8"/>
  <c r="G887" i="8"/>
  <c r="F887" i="8" s="1"/>
  <c r="G886" i="8"/>
  <c r="F886" i="8" s="1"/>
  <c r="G885" i="8"/>
  <c r="F885" i="8" s="1"/>
  <c r="G884" i="8"/>
  <c r="G883" i="8"/>
  <c r="F883" i="8" s="1"/>
  <c r="G882" i="8"/>
  <c r="F882" i="8" s="1"/>
  <c r="G881" i="8"/>
  <c r="F881" i="8" s="1"/>
  <c r="G880" i="8"/>
  <c r="G879" i="8"/>
  <c r="F879" i="8" s="1"/>
  <c r="G878" i="8"/>
  <c r="F878" i="8" s="1"/>
  <c r="G877" i="8"/>
  <c r="F877" i="8" s="1"/>
  <c r="G876" i="8"/>
  <c r="G875" i="8"/>
  <c r="F875" i="8" s="1"/>
  <c r="G874" i="8"/>
  <c r="F874" i="8" s="1"/>
  <c r="G873" i="8"/>
  <c r="F873" i="8" s="1"/>
  <c r="G872" i="8"/>
  <c r="G871" i="8"/>
  <c r="F871" i="8" s="1"/>
  <c r="G870" i="8"/>
  <c r="F870" i="8" s="1"/>
  <c r="G869" i="8"/>
  <c r="F869" i="8" s="1"/>
  <c r="G868" i="8"/>
  <c r="G867" i="8"/>
  <c r="F867" i="8" s="1"/>
  <c r="G866" i="8"/>
  <c r="F866" i="8" s="1"/>
  <c r="G865" i="8"/>
  <c r="F865" i="8" s="1"/>
  <c r="G864" i="8"/>
  <c r="G863" i="8"/>
  <c r="F863" i="8" s="1"/>
  <c r="G862" i="8"/>
  <c r="F862" i="8" s="1"/>
  <c r="G861" i="8"/>
  <c r="F861" i="8" s="1"/>
  <c r="G860" i="8"/>
  <c r="G859" i="8"/>
  <c r="F859" i="8" s="1"/>
  <c r="G858" i="8"/>
  <c r="F858" i="8" s="1"/>
  <c r="G857" i="8"/>
  <c r="F857" i="8" s="1"/>
  <c r="G856" i="8"/>
  <c r="G855" i="8"/>
  <c r="F855" i="8" s="1"/>
  <c r="G854" i="8"/>
  <c r="F854" i="8" s="1"/>
  <c r="G853" i="8"/>
  <c r="F853" i="8" s="1"/>
  <c r="G852" i="8"/>
  <c r="G851" i="8"/>
  <c r="F851" i="8" s="1"/>
  <c r="G850" i="8"/>
  <c r="F850" i="8" s="1"/>
  <c r="G849" i="8"/>
  <c r="F849" i="8" s="1"/>
  <c r="G848" i="8"/>
  <c r="G847" i="8"/>
  <c r="F847" i="8" s="1"/>
  <c r="G846" i="8"/>
  <c r="F846" i="8" s="1"/>
  <c r="G845" i="8"/>
  <c r="F845" i="8" s="1"/>
  <c r="G844" i="8"/>
  <c r="G843" i="8"/>
  <c r="F843" i="8" s="1"/>
  <c r="G842" i="8"/>
  <c r="F842" i="8" s="1"/>
  <c r="G841" i="8"/>
  <c r="F841" i="8" s="1"/>
  <c r="G840" i="8"/>
  <c r="G839" i="8"/>
  <c r="F839" i="8" s="1"/>
  <c r="G838" i="8"/>
  <c r="F838" i="8" s="1"/>
  <c r="G837" i="8"/>
  <c r="F837" i="8" s="1"/>
  <c r="G836" i="8"/>
  <c r="G835" i="8"/>
  <c r="F835" i="8" s="1"/>
  <c r="G834" i="8"/>
  <c r="F834" i="8" s="1"/>
  <c r="G833" i="8"/>
  <c r="F833" i="8" s="1"/>
  <c r="G832" i="8"/>
  <c r="G831" i="8"/>
  <c r="F831" i="8" s="1"/>
  <c r="G830" i="8"/>
  <c r="F830" i="8" s="1"/>
  <c r="G829" i="8"/>
  <c r="F829" i="8" s="1"/>
  <c r="G828" i="8"/>
  <c r="G827" i="8"/>
  <c r="F827" i="8" s="1"/>
  <c r="G826" i="8"/>
  <c r="F826" i="8" s="1"/>
  <c r="G825" i="8"/>
  <c r="F825" i="8" s="1"/>
  <c r="G824" i="8"/>
  <c r="G823" i="8"/>
  <c r="F823" i="8" s="1"/>
  <c r="G822" i="8"/>
  <c r="F822" i="8" s="1"/>
  <c r="G821" i="8"/>
  <c r="F821" i="8" s="1"/>
  <c r="G820" i="8"/>
  <c r="G819" i="8"/>
  <c r="F819" i="8" s="1"/>
  <c r="G818" i="8"/>
  <c r="F818" i="8" s="1"/>
  <c r="G817" i="8"/>
  <c r="F817" i="8" s="1"/>
  <c r="G816" i="8"/>
  <c r="G815" i="8"/>
  <c r="F815" i="8" s="1"/>
  <c r="G814" i="8"/>
  <c r="F814" i="8" s="1"/>
  <c r="G813" i="8"/>
  <c r="F813" i="8" s="1"/>
  <c r="G812" i="8"/>
  <c r="G811" i="8"/>
  <c r="F811" i="8" s="1"/>
  <c r="G810" i="8"/>
  <c r="F810" i="8" s="1"/>
  <c r="G809" i="8"/>
  <c r="F809" i="8" s="1"/>
  <c r="G808" i="8"/>
  <c r="G807" i="8"/>
  <c r="F807" i="8" s="1"/>
  <c r="G806" i="8"/>
  <c r="F806" i="8" s="1"/>
  <c r="G805" i="8"/>
  <c r="F805" i="8" s="1"/>
  <c r="G804" i="8"/>
  <c r="G803" i="8"/>
  <c r="F803" i="8" s="1"/>
  <c r="G802" i="8"/>
  <c r="F802" i="8" s="1"/>
  <c r="G801" i="8"/>
  <c r="F801" i="8" s="1"/>
  <c r="G800" i="8"/>
  <c r="G799" i="8"/>
  <c r="F799" i="8" s="1"/>
  <c r="G798" i="8"/>
  <c r="F798" i="8" s="1"/>
  <c r="G797" i="8"/>
  <c r="F797" i="8" s="1"/>
  <c r="G796" i="8"/>
  <c r="G795" i="8"/>
  <c r="F795" i="8" s="1"/>
  <c r="G794" i="8"/>
  <c r="F794" i="8" s="1"/>
  <c r="G793" i="8"/>
  <c r="F793" i="8" s="1"/>
  <c r="G792" i="8"/>
  <c r="G791" i="8"/>
  <c r="F791" i="8" s="1"/>
  <c r="G790" i="8"/>
  <c r="F790" i="8" s="1"/>
  <c r="G789" i="8"/>
  <c r="F789" i="8" s="1"/>
  <c r="G788" i="8"/>
  <c r="G787" i="8"/>
  <c r="F787" i="8" s="1"/>
  <c r="G786" i="8"/>
  <c r="F786" i="8" s="1"/>
  <c r="G785" i="8"/>
  <c r="F785" i="8" s="1"/>
  <c r="G784" i="8"/>
  <c r="G783" i="8"/>
  <c r="F783" i="8" s="1"/>
  <c r="G782" i="8"/>
  <c r="F782" i="8" s="1"/>
  <c r="G781" i="8"/>
  <c r="F781" i="8" s="1"/>
  <c r="G780" i="8"/>
  <c r="G779" i="8"/>
  <c r="F779" i="8" s="1"/>
  <c r="G778" i="8"/>
  <c r="F778" i="8" s="1"/>
  <c r="G777" i="8"/>
  <c r="F777" i="8" s="1"/>
  <c r="G776" i="8"/>
  <c r="G775" i="8"/>
  <c r="F775" i="8" s="1"/>
  <c r="G774" i="8"/>
  <c r="F774" i="8" s="1"/>
  <c r="G773" i="8"/>
  <c r="F773" i="8" s="1"/>
  <c r="G772" i="8"/>
  <c r="G771" i="8"/>
  <c r="F771" i="8" s="1"/>
  <c r="G770" i="8"/>
  <c r="F770" i="8" s="1"/>
  <c r="G769" i="8"/>
  <c r="F769" i="8" s="1"/>
  <c r="G768" i="8"/>
  <c r="G767" i="8"/>
  <c r="F767" i="8" s="1"/>
  <c r="G766" i="8"/>
  <c r="F766" i="8" s="1"/>
  <c r="G765" i="8"/>
  <c r="F765" i="8" s="1"/>
  <c r="G764" i="8"/>
  <c r="G763" i="8"/>
  <c r="F763" i="8" s="1"/>
  <c r="G762" i="8"/>
  <c r="F762" i="8" s="1"/>
  <c r="G761" i="8"/>
  <c r="F761" i="8" s="1"/>
  <c r="G760" i="8"/>
  <c r="G759" i="8"/>
  <c r="F759" i="8" s="1"/>
  <c r="G758" i="8"/>
  <c r="F758" i="8" s="1"/>
  <c r="G757" i="8"/>
  <c r="F757" i="8" s="1"/>
  <c r="G756" i="8"/>
  <c r="G755" i="8"/>
  <c r="F755" i="8" s="1"/>
  <c r="G754" i="8"/>
  <c r="F754" i="8" s="1"/>
  <c r="G753" i="8"/>
  <c r="F753" i="8" s="1"/>
  <c r="G752" i="8"/>
  <c r="G751" i="8"/>
  <c r="F751" i="8" s="1"/>
  <c r="G750" i="8"/>
  <c r="F750" i="8" s="1"/>
  <c r="G749" i="8"/>
  <c r="F749" i="8" s="1"/>
  <c r="G748" i="8"/>
  <c r="G747" i="8"/>
  <c r="F747" i="8" s="1"/>
  <c r="G746" i="8"/>
  <c r="F746" i="8" s="1"/>
  <c r="G745" i="8"/>
  <c r="F745" i="8" s="1"/>
  <c r="G744" i="8"/>
  <c r="G743" i="8"/>
  <c r="F743" i="8" s="1"/>
  <c r="G742" i="8"/>
  <c r="F742" i="8" s="1"/>
  <c r="G741" i="8"/>
  <c r="F741" i="8" s="1"/>
  <c r="G740" i="8"/>
  <c r="G739" i="8"/>
  <c r="F739" i="8" s="1"/>
  <c r="G738" i="8"/>
  <c r="F738" i="8" s="1"/>
  <c r="G737" i="8"/>
  <c r="F737" i="8" s="1"/>
  <c r="G736" i="8"/>
  <c r="G735" i="8"/>
  <c r="F735" i="8" s="1"/>
  <c r="G734" i="8"/>
  <c r="F734" i="8" s="1"/>
  <c r="G733" i="8"/>
  <c r="F733" i="8" s="1"/>
  <c r="G732" i="8"/>
  <c r="G731" i="8"/>
  <c r="F731" i="8" s="1"/>
  <c r="G730" i="8"/>
  <c r="F730" i="8" s="1"/>
  <c r="G729" i="8"/>
  <c r="F729" i="8" s="1"/>
  <c r="G728" i="8"/>
  <c r="G727" i="8"/>
  <c r="F727" i="8" s="1"/>
  <c r="G726" i="8"/>
  <c r="F726" i="8" s="1"/>
  <c r="G725" i="8"/>
  <c r="F725" i="8" s="1"/>
  <c r="G724" i="8"/>
  <c r="G723" i="8"/>
  <c r="F723" i="8" s="1"/>
  <c r="G722" i="8"/>
  <c r="F722" i="8" s="1"/>
  <c r="G721" i="8"/>
  <c r="F721" i="8" s="1"/>
  <c r="G720" i="8"/>
  <c r="G719" i="8"/>
  <c r="F719" i="8" s="1"/>
  <c r="G718" i="8"/>
  <c r="F718" i="8" s="1"/>
  <c r="G717" i="8"/>
  <c r="F717" i="8" s="1"/>
  <c r="G716" i="8"/>
  <c r="G715" i="8"/>
  <c r="F715" i="8" s="1"/>
  <c r="G714" i="8"/>
  <c r="F714" i="8" s="1"/>
  <c r="G713" i="8"/>
  <c r="F713" i="8" s="1"/>
  <c r="G712" i="8"/>
  <c r="G711" i="8"/>
  <c r="F711" i="8" s="1"/>
  <c r="G710" i="8"/>
  <c r="F710" i="8" s="1"/>
  <c r="G709" i="8"/>
  <c r="F709" i="8" s="1"/>
  <c r="G708" i="8"/>
  <c r="G707" i="8"/>
  <c r="F707" i="8" s="1"/>
  <c r="G706" i="8"/>
  <c r="F706" i="8" s="1"/>
  <c r="G705" i="8"/>
  <c r="F705" i="8" s="1"/>
  <c r="G704" i="8"/>
  <c r="G703" i="8"/>
  <c r="F703" i="8" s="1"/>
  <c r="G702" i="8"/>
  <c r="F702" i="8" s="1"/>
  <c r="G701" i="8"/>
  <c r="F701" i="8" s="1"/>
  <c r="G700" i="8"/>
  <c r="G699" i="8"/>
  <c r="F699" i="8" s="1"/>
  <c r="G698" i="8"/>
  <c r="F698" i="8" s="1"/>
  <c r="G697" i="8"/>
  <c r="F697" i="8" s="1"/>
  <c r="G696" i="8"/>
  <c r="G695" i="8"/>
  <c r="F695" i="8" s="1"/>
  <c r="G694" i="8"/>
  <c r="F694" i="8" s="1"/>
  <c r="G693" i="8"/>
  <c r="F693" i="8" s="1"/>
  <c r="G692" i="8"/>
  <c r="G691" i="8"/>
  <c r="F691" i="8" s="1"/>
  <c r="G690" i="8"/>
  <c r="F690" i="8" s="1"/>
  <c r="G689" i="8"/>
  <c r="F689" i="8" s="1"/>
  <c r="G688" i="8"/>
  <c r="G687" i="8"/>
  <c r="F687" i="8" s="1"/>
  <c r="G686" i="8"/>
  <c r="F686" i="8" s="1"/>
  <c r="G685" i="8"/>
  <c r="F685" i="8" s="1"/>
  <c r="G684" i="8"/>
  <c r="G683" i="8"/>
  <c r="F683" i="8" s="1"/>
  <c r="G682" i="8"/>
  <c r="F682" i="8" s="1"/>
  <c r="G681" i="8"/>
  <c r="F681" i="8" s="1"/>
  <c r="G680" i="8"/>
  <c r="G679" i="8"/>
  <c r="F679" i="8" s="1"/>
  <c r="G678" i="8"/>
  <c r="F678" i="8" s="1"/>
  <c r="G677" i="8"/>
  <c r="F677" i="8" s="1"/>
  <c r="G676" i="8"/>
  <c r="G675" i="8"/>
  <c r="F675" i="8" s="1"/>
  <c r="G674" i="8"/>
  <c r="F674" i="8" s="1"/>
  <c r="G673" i="8"/>
  <c r="F673" i="8" s="1"/>
  <c r="G672" i="8"/>
  <c r="G671" i="8"/>
  <c r="F671" i="8" s="1"/>
  <c r="G670" i="8"/>
  <c r="F670" i="8" s="1"/>
  <c r="G669" i="8"/>
  <c r="F669" i="8" s="1"/>
  <c r="G668" i="8"/>
  <c r="G667" i="8"/>
  <c r="F667" i="8" s="1"/>
  <c r="G666" i="8"/>
  <c r="F666" i="8" s="1"/>
  <c r="G665" i="8"/>
  <c r="F665" i="8" s="1"/>
  <c r="G664" i="8"/>
  <c r="G663" i="8"/>
  <c r="F663" i="8" s="1"/>
  <c r="G662" i="8"/>
  <c r="F662" i="8" s="1"/>
  <c r="G661" i="8"/>
  <c r="F661" i="8" s="1"/>
  <c r="G660" i="8"/>
  <c r="G659" i="8"/>
  <c r="F659" i="8" s="1"/>
  <c r="G658" i="8"/>
  <c r="F658" i="8" s="1"/>
  <c r="G657" i="8"/>
  <c r="F657" i="8" s="1"/>
  <c r="G656" i="8"/>
  <c r="G655" i="8"/>
  <c r="F655" i="8" s="1"/>
  <c r="G654" i="8"/>
  <c r="F654" i="8" s="1"/>
  <c r="G653" i="8"/>
  <c r="F653" i="8" s="1"/>
  <c r="G652" i="8"/>
  <c r="G651" i="8"/>
  <c r="F651" i="8" s="1"/>
  <c r="G650" i="8"/>
  <c r="F650" i="8" s="1"/>
  <c r="G649" i="8"/>
  <c r="F649" i="8" s="1"/>
  <c r="G648" i="8"/>
  <c r="G647" i="8"/>
  <c r="F647" i="8" s="1"/>
  <c r="G646" i="8"/>
  <c r="F646" i="8" s="1"/>
  <c r="G645" i="8"/>
  <c r="F645" i="8" s="1"/>
  <c r="G644" i="8"/>
  <c r="G643" i="8"/>
  <c r="F643" i="8" s="1"/>
  <c r="G642" i="8"/>
  <c r="F642" i="8" s="1"/>
  <c r="G641" i="8"/>
  <c r="F641" i="8" s="1"/>
  <c r="G640" i="8"/>
  <c r="G639" i="8"/>
  <c r="F639" i="8" s="1"/>
  <c r="G638" i="8"/>
  <c r="F638" i="8" s="1"/>
  <c r="G637" i="8"/>
  <c r="F637" i="8" s="1"/>
  <c r="G636" i="8"/>
  <c r="G635" i="8"/>
  <c r="F635" i="8" s="1"/>
  <c r="G634" i="8"/>
  <c r="F634" i="8" s="1"/>
  <c r="G633" i="8"/>
  <c r="F633" i="8" s="1"/>
  <c r="G632" i="8"/>
  <c r="G631" i="8"/>
  <c r="F631" i="8" s="1"/>
  <c r="G630" i="8"/>
  <c r="F630" i="8" s="1"/>
  <c r="G629" i="8"/>
  <c r="F629" i="8" s="1"/>
  <c r="G628" i="8"/>
  <c r="G627" i="8"/>
  <c r="F627" i="8" s="1"/>
  <c r="G626" i="8"/>
  <c r="F626" i="8" s="1"/>
  <c r="G625" i="8"/>
  <c r="F625" i="8" s="1"/>
  <c r="G624" i="8"/>
  <c r="G623" i="8"/>
  <c r="F623" i="8" s="1"/>
  <c r="G622" i="8"/>
  <c r="F622" i="8" s="1"/>
  <c r="G621" i="8"/>
  <c r="F621" i="8" s="1"/>
  <c r="G620" i="8"/>
  <c r="G619" i="8"/>
  <c r="F619" i="8" s="1"/>
  <c r="G618" i="8"/>
  <c r="F618" i="8" s="1"/>
  <c r="G617" i="8"/>
  <c r="F617" i="8" s="1"/>
  <c r="G616" i="8"/>
  <c r="G615" i="8"/>
  <c r="F615" i="8" s="1"/>
  <c r="G614" i="8"/>
  <c r="F614" i="8" s="1"/>
  <c r="G613" i="8"/>
  <c r="F613" i="8" s="1"/>
  <c r="G612" i="8"/>
  <c r="G611" i="8"/>
  <c r="F611" i="8" s="1"/>
  <c r="G610" i="8"/>
  <c r="F610" i="8" s="1"/>
  <c r="G609" i="8"/>
  <c r="F609" i="8" s="1"/>
  <c r="G608" i="8"/>
  <c r="G607" i="8"/>
  <c r="F607" i="8" s="1"/>
  <c r="G606" i="8"/>
  <c r="F606" i="8" s="1"/>
  <c r="G605" i="8"/>
  <c r="F605" i="8" s="1"/>
  <c r="G604" i="8"/>
  <c r="G603" i="8"/>
  <c r="F603" i="8" s="1"/>
  <c r="G602" i="8"/>
  <c r="F602" i="8" s="1"/>
  <c r="G601" i="8"/>
  <c r="F601" i="8" s="1"/>
  <c r="G600" i="8"/>
  <c r="G599" i="8"/>
  <c r="F599" i="8" s="1"/>
  <c r="G598" i="8"/>
  <c r="F598" i="8" s="1"/>
  <c r="G597" i="8"/>
  <c r="F597" i="8" s="1"/>
  <c r="G596" i="8"/>
  <c r="F596" i="8" s="1"/>
  <c r="G595" i="8"/>
  <c r="F595" i="8" s="1"/>
  <c r="G594" i="8"/>
  <c r="F594" i="8" s="1"/>
  <c r="G593" i="8"/>
  <c r="F593" i="8" s="1"/>
  <c r="G592" i="8"/>
  <c r="G591" i="8"/>
  <c r="F591" i="8" s="1"/>
  <c r="G590" i="8"/>
  <c r="F590" i="8" s="1"/>
  <c r="G589" i="8"/>
  <c r="F589" i="8" s="1"/>
  <c r="G588" i="8"/>
  <c r="G587" i="8"/>
  <c r="F587" i="8" s="1"/>
  <c r="G586" i="8"/>
  <c r="F586" i="8" s="1"/>
  <c r="G585" i="8"/>
  <c r="F585" i="8" s="1"/>
  <c r="G584" i="8"/>
  <c r="G583" i="8"/>
  <c r="F583" i="8" s="1"/>
  <c r="G582" i="8"/>
  <c r="F582" i="8" s="1"/>
  <c r="G581" i="8"/>
  <c r="F581" i="8" s="1"/>
  <c r="G580" i="8"/>
  <c r="G579" i="8"/>
  <c r="F579" i="8" s="1"/>
  <c r="G578" i="8"/>
  <c r="F578" i="8" s="1"/>
  <c r="G577" i="8"/>
  <c r="F577" i="8" s="1"/>
  <c r="G576" i="8"/>
  <c r="G575" i="8"/>
  <c r="F575" i="8" s="1"/>
  <c r="G574" i="8"/>
  <c r="F574" i="8" s="1"/>
  <c r="G573" i="8"/>
  <c r="F573" i="8" s="1"/>
  <c r="G572" i="8"/>
  <c r="G571" i="8"/>
  <c r="F571" i="8" s="1"/>
  <c r="G570" i="8"/>
  <c r="F570" i="8" s="1"/>
  <c r="G569" i="8"/>
  <c r="F569" i="8" s="1"/>
  <c r="G568" i="8"/>
  <c r="G567" i="8"/>
  <c r="F567" i="8" s="1"/>
  <c r="G566" i="8"/>
  <c r="F566" i="8" s="1"/>
  <c r="G565" i="8"/>
  <c r="F565" i="8" s="1"/>
  <c r="G564" i="8"/>
  <c r="G563" i="8"/>
  <c r="F563" i="8" s="1"/>
  <c r="G562" i="8"/>
  <c r="F562" i="8" s="1"/>
  <c r="G561" i="8"/>
  <c r="F561" i="8" s="1"/>
  <c r="G560" i="8"/>
  <c r="G559" i="8"/>
  <c r="F559" i="8" s="1"/>
  <c r="G558" i="8"/>
  <c r="F558" i="8" s="1"/>
  <c r="G557" i="8"/>
  <c r="F557" i="8" s="1"/>
  <c r="G556" i="8"/>
  <c r="G555" i="8"/>
  <c r="F555" i="8" s="1"/>
  <c r="G554" i="8"/>
  <c r="F554" i="8" s="1"/>
  <c r="G553" i="8"/>
  <c r="F553" i="8" s="1"/>
  <c r="G552" i="8"/>
  <c r="G551" i="8"/>
  <c r="F551" i="8" s="1"/>
  <c r="G550" i="8"/>
  <c r="F550" i="8" s="1"/>
  <c r="G549" i="8"/>
  <c r="F549" i="8" s="1"/>
  <c r="G548" i="8"/>
  <c r="G547" i="8"/>
  <c r="F547" i="8" s="1"/>
  <c r="G546" i="8"/>
  <c r="F546" i="8" s="1"/>
  <c r="G545" i="8"/>
  <c r="F545" i="8" s="1"/>
  <c r="G544" i="8"/>
  <c r="G543" i="8"/>
  <c r="F543" i="8" s="1"/>
  <c r="G542" i="8"/>
  <c r="F542" i="8" s="1"/>
  <c r="G541" i="8"/>
  <c r="F541" i="8" s="1"/>
  <c r="G540" i="8"/>
  <c r="G539" i="8"/>
  <c r="F539" i="8" s="1"/>
  <c r="G538" i="8"/>
  <c r="F538" i="8" s="1"/>
  <c r="G537" i="8"/>
  <c r="F537" i="8" s="1"/>
  <c r="G536" i="8"/>
  <c r="G535" i="8"/>
  <c r="F535" i="8" s="1"/>
  <c r="G534" i="8"/>
  <c r="F534" i="8" s="1"/>
  <c r="G533" i="8"/>
  <c r="F533" i="8" s="1"/>
  <c r="G532" i="8"/>
  <c r="F532" i="8" s="1"/>
  <c r="G531" i="8"/>
  <c r="F531" i="8" s="1"/>
  <c r="G530" i="8"/>
  <c r="F530" i="8" s="1"/>
  <c r="G529" i="8"/>
  <c r="F529" i="8" s="1"/>
  <c r="G528" i="8"/>
  <c r="G527" i="8"/>
  <c r="F527" i="8" s="1"/>
  <c r="G526" i="8"/>
  <c r="F526" i="8" s="1"/>
  <c r="G525" i="8"/>
  <c r="F525" i="8" s="1"/>
  <c r="G524" i="8"/>
  <c r="G523" i="8"/>
  <c r="F523" i="8" s="1"/>
  <c r="G522" i="8"/>
  <c r="F522" i="8" s="1"/>
  <c r="G521" i="8"/>
  <c r="F521" i="8" s="1"/>
  <c r="G520" i="8"/>
  <c r="G519" i="8"/>
  <c r="F519" i="8" s="1"/>
  <c r="G518" i="8"/>
  <c r="F518" i="8" s="1"/>
  <c r="G517" i="8"/>
  <c r="F517" i="8" s="1"/>
  <c r="G516" i="8"/>
  <c r="G515" i="8"/>
  <c r="F515" i="8" s="1"/>
  <c r="G514" i="8"/>
  <c r="F514" i="8" s="1"/>
  <c r="G513" i="8"/>
  <c r="F513" i="8" s="1"/>
  <c r="G512" i="8"/>
  <c r="G511" i="8"/>
  <c r="F511" i="8" s="1"/>
  <c r="G510" i="8"/>
  <c r="F510" i="8" s="1"/>
  <c r="G509" i="8"/>
  <c r="F509" i="8" s="1"/>
  <c r="G508" i="8"/>
  <c r="G507" i="8"/>
  <c r="F507" i="8" s="1"/>
  <c r="G506" i="8"/>
  <c r="F506" i="8" s="1"/>
  <c r="G505" i="8"/>
  <c r="F505" i="8" s="1"/>
  <c r="G504" i="8"/>
  <c r="G503" i="8"/>
  <c r="F503" i="8" s="1"/>
  <c r="G502" i="8"/>
  <c r="F502" i="8" s="1"/>
  <c r="G501" i="8"/>
  <c r="F501" i="8" s="1"/>
  <c r="G500" i="8"/>
  <c r="G499" i="8"/>
  <c r="F499" i="8" s="1"/>
  <c r="G498" i="8"/>
  <c r="F498" i="8" s="1"/>
  <c r="G497" i="8"/>
  <c r="F497" i="8" s="1"/>
  <c r="G496" i="8"/>
  <c r="G495" i="8"/>
  <c r="F495" i="8" s="1"/>
  <c r="G494" i="8"/>
  <c r="F494" i="8" s="1"/>
  <c r="G493" i="8"/>
  <c r="F493" i="8" s="1"/>
  <c r="G492" i="8"/>
  <c r="G491" i="8"/>
  <c r="F491" i="8" s="1"/>
  <c r="G490" i="8"/>
  <c r="F490" i="8" s="1"/>
  <c r="G489" i="8"/>
  <c r="F489" i="8" s="1"/>
  <c r="G488" i="8"/>
  <c r="G487" i="8"/>
  <c r="F487" i="8" s="1"/>
  <c r="G486" i="8"/>
  <c r="F486" i="8" s="1"/>
  <c r="G485" i="8"/>
  <c r="F485" i="8" s="1"/>
  <c r="G484" i="8"/>
  <c r="G483" i="8"/>
  <c r="F483" i="8" s="1"/>
  <c r="G482" i="8"/>
  <c r="F482" i="8" s="1"/>
  <c r="G481" i="8"/>
  <c r="F481" i="8" s="1"/>
  <c r="G480" i="8"/>
  <c r="G479" i="8"/>
  <c r="F479" i="8" s="1"/>
  <c r="G478" i="8"/>
  <c r="F478" i="8" s="1"/>
  <c r="G477" i="8"/>
  <c r="F477" i="8" s="1"/>
  <c r="G476" i="8"/>
  <c r="G475" i="8"/>
  <c r="F475" i="8" s="1"/>
  <c r="G474" i="8"/>
  <c r="F474" i="8" s="1"/>
  <c r="G473" i="8"/>
  <c r="F473" i="8" s="1"/>
  <c r="G472" i="8"/>
  <c r="G471" i="8"/>
  <c r="F471" i="8" s="1"/>
  <c r="G470" i="8"/>
  <c r="F470" i="8" s="1"/>
  <c r="G469" i="8"/>
  <c r="F469" i="8" s="1"/>
  <c r="G468" i="8"/>
  <c r="F468" i="8" s="1"/>
  <c r="G467" i="8"/>
  <c r="F467" i="8" s="1"/>
  <c r="G466" i="8"/>
  <c r="F466" i="8" s="1"/>
  <c r="G465" i="8"/>
  <c r="F465" i="8" s="1"/>
  <c r="G464" i="8"/>
  <c r="G463" i="8"/>
  <c r="F463" i="8" s="1"/>
  <c r="G462" i="8"/>
  <c r="F462" i="8" s="1"/>
  <c r="G461" i="8"/>
  <c r="F461" i="8" s="1"/>
  <c r="G460" i="8"/>
  <c r="G459" i="8"/>
  <c r="F459" i="8" s="1"/>
  <c r="G458" i="8"/>
  <c r="F458" i="8" s="1"/>
  <c r="G457" i="8"/>
  <c r="F457" i="8" s="1"/>
  <c r="G456" i="8"/>
  <c r="G455" i="8"/>
  <c r="F455" i="8" s="1"/>
  <c r="G454" i="8"/>
  <c r="F454" i="8" s="1"/>
  <c r="G453" i="8"/>
  <c r="F453" i="8" s="1"/>
  <c r="G452" i="8"/>
  <c r="G451" i="8"/>
  <c r="F451" i="8" s="1"/>
  <c r="G450" i="8"/>
  <c r="F450" i="8" s="1"/>
  <c r="G449" i="8"/>
  <c r="F449" i="8" s="1"/>
  <c r="G448" i="8"/>
  <c r="G447" i="8"/>
  <c r="F447" i="8" s="1"/>
  <c r="G446" i="8"/>
  <c r="F446" i="8" s="1"/>
  <c r="G445" i="8"/>
  <c r="F445" i="8" s="1"/>
  <c r="G444" i="8"/>
  <c r="G443" i="8"/>
  <c r="F443" i="8" s="1"/>
  <c r="G442" i="8"/>
  <c r="F442" i="8" s="1"/>
  <c r="G441" i="8"/>
  <c r="F441" i="8" s="1"/>
  <c r="G440" i="8"/>
  <c r="G439" i="8"/>
  <c r="F439" i="8" s="1"/>
  <c r="G438" i="8"/>
  <c r="F438" i="8" s="1"/>
  <c r="G437" i="8"/>
  <c r="F437" i="8" s="1"/>
  <c r="G436" i="8"/>
  <c r="G435" i="8"/>
  <c r="F435" i="8" s="1"/>
  <c r="G434" i="8"/>
  <c r="F434" i="8" s="1"/>
  <c r="G433" i="8"/>
  <c r="F433" i="8" s="1"/>
  <c r="G432" i="8"/>
  <c r="G431" i="8"/>
  <c r="F431" i="8" s="1"/>
  <c r="G430" i="8"/>
  <c r="F430" i="8" s="1"/>
  <c r="G429" i="8"/>
  <c r="F429" i="8" s="1"/>
  <c r="G428" i="8"/>
  <c r="G427" i="8"/>
  <c r="F427" i="8" s="1"/>
  <c r="G426" i="8"/>
  <c r="F426" i="8" s="1"/>
  <c r="G425" i="8"/>
  <c r="F425" i="8" s="1"/>
  <c r="G424" i="8"/>
  <c r="G423" i="8"/>
  <c r="F423" i="8" s="1"/>
  <c r="G422" i="8"/>
  <c r="F422" i="8" s="1"/>
  <c r="G421" i="8"/>
  <c r="F421" i="8" s="1"/>
  <c r="G420" i="8"/>
  <c r="G419" i="8"/>
  <c r="F419" i="8" s="1"/>
  <c r="G418" i="8"/>
  <c r="F418" i="8" s="1"/>
  <c r="G417" i="8"/>
  <c r="F417" i="8" s="1"/>
  <c r="G416" i="8"/>
  <c r="G415" i="8"/>
  <c r="F415" i="8" s="1"/>
  <c r="G414" i="8"/>
  <c r="F414" i="8" s="1"/>
  <c r="G413" i="8"/>
  <c r="F413" i="8" s="1"/>
  <c r="G412" i="8"/>
  <c r="G411" i="8"/>
  <c r="F411" i="8" s="1"/>
  <c r="G410" i="8"/>
  <c r="F410" i="8" s="1"/>
  <c r="G409" i="8"/>
  <c r="F409" i="8" s="1"/>
  <c r="G408" i="8"/>
  <c r="G407" i="8"/>
  <c r="F407" i="8" s="1"/>
  <c r="G406" i="8"/>
  <c r="F406" i="8" s="1"/>
  <c r="G405" i="8"/>
  <c r="F405" i="8" s="1"/>
  <c r="G404" i="8"/>
  <c r="F404" i="8" s="1"/>
  <c r="G403" i="8"/>
  <c r="F403" i="8" s="1"/>
  <c r="G402" i="8"/>
  <c r="F402" i="8" s="1"/>
  <c r="G401" i="8"/>
  <c r="F401" i="8" s="1"/>
  <c r="G400" i="8"/>
  <c r="G399" i="8"/>
  <c r="F399" i="8" s="1"/>
  <c r="G398" i="8"/>
  <c r="F398" i="8" s="1"/>
  <c r="G397" i="8"/>
  <c r="F397" i="8" s="1"/>
  <c r="G396" i="8"/>
  <c r="G395" i="8"/>
  <c r="F395" i="8" s="1"/>
  <c r="G394" i="8"/>
  <c r="F394" i="8" s="1"/>
  <c r="G393" i="8"/>
  <c r="F393" i="8" s="1"/>
  <c r="G392" i="8"/>
  <c r="G391" i="8"/>
  <c r="F391" i="8" s="1"/>
  <c r="G390" i="8"/>
  <c r="F390" i="8" s="1"/>
  <c r="G389" i="8"/>
  <c r="F389" i="8" s="1"/>
  <c r="G388" i="8"/>
  <c r="G387" i="8"/>
  <c r="F387" i="8" s="1"/>
  <c r="G386" i="8"/>
  <c r="F386" i="8" s="1"/>
  <c r="G385" i="8"/>
  <c r="F385" i="8" s="1"/>
  <c r="G384" i="8"/>
  <c r="G383" i="8"/>
  <c r="F383" i="8" s="1"/>
  <c r="G382" i="8"/>
  <c r="F382" i="8" s="1"/>
  <c r="G381" i="8"/>
  <c r="F381" i="8" s="1"/>
  <c r="G380" i="8"/>
  <c r="G379" i="8"/>
  <c r="F379" i="8" s="1"/>
  <c r="G378" i="8"/>
  <c r="F378" i="8" s="1"/>
  <c r="G377" i="8"/>
  <c r="F377" i="8" s="1"/>
  <c r="G376" i="8"/>
  <c r="G375" i="8"/>
  <c r="F375" i="8" s="1"/>
  <c r="G374" i="8"/>
  <c r="F374" i="8" s="1"/>
  <c r="G373" i="8"/>
  <c r="F373" i="8" s="1"/>
  <c r="G372" i="8"/>
  <c r="G371" i="8"/>
  <c r="F371" i="8" s="1"/>
  <c r="G370" i="8"/>
  <c r="F370" i="8" s="1"/>
  <c r="G369" i="8"/>
  <c r="F369" i="8" s="1"/>
  <c r="G368" i="8"/>
  <c r="G367" i="8"/>
  <c r="F367" i="8" s="1"/>
  <c r="G366" i="8"/>
  <c r="F366" i="8" s="1"/>
  <c r="G365" i="8"/>
  <c r="F365" i="8" s="1"/>
  <c r="G364" i="8"/>
  <c r="G363" i="8"/>
  <c r="F363" i="8" s="1"/>
  <c r="G362" i="8"/>
  <c r="F362" i="8" s="1"/>
  <c r="G361" i="8"/>
  <c r="F361" i="8" s="1"/>
  <c r="G360" i="8"/>
  <c r="G359" i="8"/>
  <c r="F359" i="8" s="1"/>
  <c r="G358" i="8"/>
  <c r="F358" i="8" s="1"/>
  <c r="G357" i="8"/>
  <c r="F357" i="8" s="1"/>
  <c r="G356" i="8"/>
  <c r="G355" i="8"/>
  <c r="F355" i="8" s="1"/>
  <c r="G354" i="8"/>
  <c r="F354" i="8" s="1"/>
  <c r="G353" i="8"/>
  <c r="F353" i="8" s="1"/>
  <c r="G352" i="8"/>
  <c r="G351" i="8"/>
  <c r="F351" i="8" s="1"/>
  <c r="G350" i="8"/>
  <c r="F350" i="8" s="1"/>
  <c r="G349" i="8"/>
  <c r="F349" i="8" s="1"/>
  <c r="G348" i="8"/>
  <c r="G347" i="8"/>
  <c r="F347" i="8" s="1"/>
  <c r="G346" i="8"/>
  <c r="F346" i="8" s="1"/>
  <c r="G345" i="8"/>
  <c r="F345" i="8" s="1"/>
  <c r="G344" i="8"/>
  <c r="G343" i="8"/>
  <c r="F343" i="8" s="1"/>
  <c r="G342" i="8"/>
  <c r="F342" i="8" s="1"/>
  <c r="G341" i="8"/>
  <c r="F341" i="8" s="1"/>
  <c r="G340" i="8"/>
  <c r="F340" i="8" s="1"/>
  <c r="G339" i="8"/>
  <c r="F339" i="8" s="1"/>
  <c r="G338" i="8"/>
  <c r="F338" i="8" s="1"/>
  <c r="G337" i="8"/>
  <c r="F337" i="8" s="1"/>
  <c r="G336" i="8"/>
  <c r="G335" i="8"/>
  <c r="F335" i="8" s="1"/>
  <c r="G334" i="8"/>
  <c r="F334" i="8" s="1"/>
  <c r="G333" i="8"/>
  <c r="F333" i="8" s="1"/>
  <c r="G332" i="8"/>
  <c r="G331" i="8"/>
  <c r="F331" i="8" s="1"/>
  <c r="G330" i="8"/>
  <c r="F330" i="8" s="1"/>
  <c r="G329" i="8"/>
  <c r="F329" i="8" s="1"/>
  <c r="G328" i="8"/>
  <c r="G327" i="8"/>
  <c r="F327" i="8" s="1"/>
  <c r="G326" i="8"/>
  <c r="F326" i="8" s="1"/>
  <c r="G325" i="8"/>
  <c r="F325" i="8" s="1"/>
  <c r="G324" i="8"/>
  <c r="G323" i="8"/>
  <c r="F323" i="8" s="1"/>
  <c r="G322" i="8"/>
  <c r="F322" i="8" s="1"/>
  <c r="G321" i="8"/>
  <c r="F321" i="8" s="1"/>
  <c r="G320" i="8"/>
  <c r="G319" i="8"/>
  <c r="F319" i="8" s="1"/>
  <c r="G318" i="8"/>
  <c r="F318" i="8" s="1"/>
  <c r="G317" i="8"/>
  <c r="F317" i="8" s="1"/>
  <c r="G316" i="8"/>
  <c r="G315" i="8"/>
  <c r="F315" i="8" s="1"/>
  <c r="G314" i="8"/>
  <c r="F314" i="8" s="1"/>
  <c r="G313" i="8"/>
  <c r="F313" i="8" s="1"/>
  <c r="G312" i="8"/>
  <c r="G311" i="8"/>
  <c r="F311" i="8" s="1"/>
  <c r="G310" i="8"/>
  <c r="F310" i="8" s="1"/>
  <c r="G309" i="8"/>
  <c r="F309" i="8" s="1"/>
  <c r="G308" i="8"/>
  <c r="G307" i="8"/>
  <c r="F307" i="8" s="1"/>
  <c r="G306" i="8"/>
  <c r="F306" i="8" s="1"/>
  <c r="G305" i="8"/>
  <c r="F305" i="8" s="1"/>
  <c r="G304" i="8"/>
  <c r="G303" i="8"/>
  <c r="F303" i="8" s="1"/>
  <c r="G302" i="8"/>
  <c r="F302" i="8" s="1"/>
  <c r="G301" i="8"/>
  <c r="F301" i="8" s="1"/>
  <c r="G300" i="8"/>
  <c r="G299" i="8"/>
  <c r="F299" i="8" s="1"/>
  <c r="G298" i="8"/>
  <c r="F298" i="8" s="1"/>
  <c r="G297" i="8"/>
  <c r="F297" i="8" s="1"/>
  <c r="G296" i="8"/>
  <c r="G295" i="8"/>
  <c r="F295" i="8" s="1"/>
  <c r="G294" i="8"/>
  <c r="F294" i="8" s="1"/>
  <c r="G293" i="8"/>
  <c r="F293" i="8" s="1"/>
  <c r="G292" i="8"/>
  <c r="G291" i="8"/>
  <c r="F291" i="8" s="1"/>
  <c r="G290" i="8"/>
  <c r="F290" i="8" s="1"/>
  <c r="G289" i="8"/>
  <c r="F289" i="8" s="1"/>
  <c r="G288" i="8"/>
  <c r="G287" i="8"/>
  <c r="F287" i="8" s="1"/>
  <c r="G286" i="8"/>
  <c r="F286" i="8" s="1"/>
  <c r="G285" i="8"/>
  <c r="F285" i="8" s="1"/>
  <c r="G284" i="8"/>
  <c r="G283" i="8"/>
  <c r="F283" i="8" s="1"/>
  <c r="G282" i="8"/>
  <c r="F282" i="8" s="1"/>
  <c r="G281" i="8"/>
  <c r="F281" i="8" s="1"/>
  <c r="G280" i="8"/>
  <c r="G279" i="8"/>
  <c r="F279" i="8" s="1"/>
  <c r="G278" i="8"/>
  <c r="F278" i="8" s="1"/>
  <c r="G277" i="8"/>
  <c r="F277" i="8" s="1"/>
  <c r="G276" i="8"/>
  <c r="F276" i="8" s="1"/>
  <c r="G275" i="8"/>
  <c r="F275" i="8" s="1"/>
  <c r="G274" i="8"/>
  <c r="F274" i="8" s="1"/>
  <c r="G273" i="8"/>
  <c r="F273" i="8" s="1"/>
  <c r="G272" i="8"/>
  <c r="G271" i="8"/>
  <c r="F271" i="8" s="1"/>
  <c r="G270" i="8"/>
  <c r="F270" i="8" s="1"/>
  <c r="G269" i="8"/>
  <c r="F269" i="8" s="1"/>
  <c r="G268" i="8"/>
  <c r="G267" i="8"/>
  <c r="F267" i="8" s="1"/>
  <c r="G266" i="8"/>
  <c r="F266" i="8" s="1"/>
  <c r="G265" i="8"/>
  <c r="F265" i="8" s="1"/>
  <c r="G264" i="8"/>
  <c r="G263" i="8"/>
  <c r="F263" i="8" s="1"/>
  <c r="G262" i="8"/>
  <c r="F262" i="8" s="1"/>
  <c r="G261" i="8"/>
  <c r="F261" i="8" s="1"/>
  <c r="G260" i="8"/>
  <c r="G259" i="8"/>
  <c r="F259" i="8" s="1"/>
  <c r="G258" i="8"/>
  <c r="F258" i="8" s="1"/>
  <c r="G257" i="8"/>
  <c r="F257" i="8" s="1"/>
  <c r="G256" i="8"/>
  <c r="G255" i="8"/>
  <c r="F255" i="8" s="1"/>
  <c r="G254" i="8"/>
  <c r="F254" i="8" s="1"/>
  <c r="G253" i="8"/>
  <c r="F253" i="8" s="1"/>
  <c r="G252" i="8"/>
  <c r="G251" i="8"/>
  <c r="F251" i="8" s="1"/>
  <c r="G250" i="8"/>
  <c r="F250" i="8" s="1"/>
  <c r="G249" i="8"/>
  <c r="F249" i="8" s="1"/>
  <c r="G248" i="8"/>
  <c r="G247" i="8"/>
  <c r="F247" i="8" s="1"/>
  <c r="G246" i="8"/>
  <c r="F246" i="8" s="1"/>
  <c r="G245" i="8"/>
  <c r="F245" i="8" s="1"/>
  <c r="G244" i="8"/>
  <c r="G243" i="8"/>
  <c r="F243" i="8" s="1"/>
  <c r="G242" i="8"/>
  <c r="F242" i="8" s="1"/>
  <c r="G241" i="8"/>
  <c r="F241" i="8" s="1"/>
  <c r="G240" i="8"/>
  <c r="G239" i="8"/>
  <c r="F239" i="8" s="1"/>
  <c r="G238" i="8"/>
  <c r="F238" i="8" s="1"/>
  <c r="G237" i="8"/>
  <c r="F237" i="8" s="1"/>
  <c r="G236" i="8"/>
  <c r="F236" i="8" s="1"/>
  <c r="G235" i="8"/>
  <c r="F235" i="8" s="1"/>
  <c r="G234" i="8"/>
  <c r="F234" i="8" s="1"/>
  <c r="G233" i="8"/>
  <c r="F233" i="8" s="1"/>
  <c r="G232" i="8"/>
  <c r="G231" i="8"/>
  <c r="F231" i="8" s="1"/>
  <c r="G230" i="8"/>
  <c r="F230" i="8" s="1"/>
  <c r="G229" i="8"/>
  <c r="F229" i="8" s="1"/>
  <c r="G228" i="8"/>
  <c r="G227" i="8"/>
  <c r="F227" i="8" s="1"/>
  <c r="G226" i="8"/>
  <c r="F226" i="8" s="1"/>
  <c r="G225" i="8"/>
  <c r="F225" i="8" s="1"/>
  <c r="G224" i="8"/>
  <c r="G223" i="8"/>
  <c r="F223" i="8" s="1"/>
  <c r="G222" i="8"/>
  <c r="F222" i="8" s="1"/>
  <c r="G221" i="8"/>
  <c r="F221" i="8" s="1"/>
  <c r="G220" i="8"/>
  <c r="G219" i="8"/>
  <c r="F219" i="8" s="1"/>
  <c r="G218" i="8"/>
  <c r="F218" i="8" s="1"/>
  <c r="G217" i="8"/>
  <c r="F217" i="8" s="1"/>
  <c r="G216" i="8"/>
  <c r="G215" i="8"/>
  <c r="F215" i="8" s="1"/>
  <c r="G214" i="8"/>
  <c r="F214" i="8" s="1"/>
  <c r="G213" i="8"/>
  <c r="F213" i="8" s="1"/>
  <c r="G212" i="8"/>
  <c r="G211" i="8"/>
  <c r="F211" i="8" s="1"/>
  <c r="G210" i="8"/>
  <c r="F210" i="8" s="1"/>
  <c r="G209" i="8"/>
  <c r="F209" i="8" s="1"/>
  <c r="G208" i="8"/>
  <c r="G207" i="8"/>
  <c r="F207" i="8" s="1"/>
  <c r="G206" i="8"/>
  <c r="F206" i="8" s="1"/>
  <c r="G205" i="8"/>
  <c r="F205" i="8" s="1"/>
  <c r="G204" i="8"/>
  <c r="F204" i="8" s="1"/>
  <c r="G203" i="8"/>
  <c r="F203" i="8" s="1"/>
  <c r="G202" i="8"/>
  <c r="F202" i="8" s="1"/>
  <c r="G201" i="8"/>
  <c r="F201" i="8" s="1"/>
  <c r="G200" i="8"/>
  <c r="G199" i="8"/>
  <c r="F199" i="8" s="1"/>
  <c r="G198" i="8"/>
  <c r="F198" i="8" s="1"/>
  <c r="G197" i="8"/>
  <c r="F197" i="8" s="1"/>
  <c r="G196" i="8"/>
  <c r="G195" i="8"/>
  <c r="F195" i="8" s="1"/>
  <c r="G194" i="8"/>
  <c r="F194" i="8" s="1"/>
  <c r="G193" i="8"/>
  <c r="F193" i="8" s="1"/>
  <c r="G192" i="8"/>
  <c r="G191" i="8"/>
  <c r="F191" i="8" s="1"/>
  <c r="G190" i="8"/>
  <c r="F190" i="8" s="1"/>
  <c r="G189" i="8"/>
  <c r="F189" i="8" s="1"/>
  <c r="G188" i="8"/>
  <c r="G187" i="8"/>
  <c r="F187" i="8" s="1"/>
  <c r="G186" i="8"/>
  <c r="F186" i="8" s="1"/>
  <c r="G185" i="8"/>
  <c r="F185" i="8" s="1"/>
  <c r="G184" i="8"/>
  <c r="G183" i="8"/>
  <c r="F183" i="8" s="1"/>
  <c r="G182" i="8"/>
  <c r="F182" i="8" s="1"/>
  <c r="G181" i="8"/>
  <c r="F181" i="8" s="1"/>
  <c r="G180" i="8"/>
  <c r="G179" i="8"/>
  <c r="F179" i="8" s="1"/>
  <c r="G178" i="8"/>
  <c r="F178" i="8" s="1"/>
  <c r="G177" i="8"/>
  <c r="F177" i="8" s="1"/>
  <c r="G176" i="8"/>
  <c r="G175" i="8"/>
  <c r="F175" i="8" s="1"/>
  <c r="G174" i="8"/>
  <c r="F174" i="8" s="1"/>
  <c r="G173" i="8"/>
  <c r="F173" i="8" s="1"/>
  <c r="G172" i="8"/>
  <c r="F172" i="8" s="1"/>
  <c r="G171" i="8"/>
  <c r="F171" i="8" s="1"/>
  <c r="G170" i="8"/>
  <c r="F170" i="8" s="1"/>
  <c r="G169" i="8"/>
  <c r="F169" i="8" s="1"/>
  <c r="G168" i="8"/>
  <c r="G167" i="8"/>
  <c r="F167" i="8" s="1"/>
  <c r="G166" i="8"/>
  <c r="F166" i="8" s="1"/>
  <c r="G165" i="8"/>
  <c r="F165" i="8" s="1"/>
  <c r="G164" i="8"/>
  <c r="G163" i="8"/>
  <c r="F163" i="8" s="1"/>
  <c r="G162" i="8"/>
  <c r="F162" i="8" s="1"/>
  <c r="G161" i="8"/>
  <c r="F161" i="8" s="1"/>
  <c r="G160" i="8"/>
  <c r="G159" i="8"/>
  <c r="F159" i="8" s="1"/>
  <c r="G158" i="8"/>
  <c r="F158" i="8" s="1"/>
  <c r="G157" i="8"/>
  <c r="F157" i="8" s="1"/>
  <c r="G156" i="8"/>
  <c r="G155" i="8"/>
  <c r="F155" i="8" s="1"/>
  <c r="G154" i="8"/>
  <c r="F154" i="8" s="1"/>
  <c r="G153" i="8"/>
  <c r="F153" i="8" s="1"/>
  <c r="G152" i="8"/>
  <c r="G151" i="8"/>
  <c r="F151" i="8" s="1"/>
  <c r="G150" i="8"/>
  <c r="F150" i="8" s="1"/>
  <c r="G149" i="8"/>
  <c r="F149" i="8" s="1"/>
  <c r="G148" i="8"/>
  <c r="G147" i="8"/>
  <c r="F147" i="8" s="1"/>
  <c r="G146" i="8"/>
  <c r="F146" i="8" s="1"/>
  <c r="G145" i="8"/>
  <c r="F145" i="8" s="1"/>
  <c r="G144" i="8"/>
  <c r="G143" i="8"/>
  <c r="F143" i="8" s="1"/>
  <c r="G142" i="8"/>
  <c r="F142" i="8" s="1"/>
  <c r="G141" i="8"/>
  <c r="F141" i="8" s="1"/>
  <c r="G140" i="8"/>
  <c r="G139" i="8"/>
  <c r="F139" i="8" s="1"/>
  <c r="G138" i="8"/>
  <c r="F138" i="8" s="1"/>
  <c r="G137" i="8"/>
  <c r="F137" i="8" s="1"/>
  <c r="G136" i="8"/>
  <c r="G135" i="8"/>
  <c r="F135" i="8" s="1"/>
  <c r="G134" i="8"/>
  <c r="F134" i="8" s="1"/>
  <c r="G133" i="8"/>
  <c r="F133" i="8" s="1"/>
  <c r="G132" i="8"/>
  <c r="G131" i="8"/>
  <c r="F131" i="8" s="1"/>
  <c r="G130" i="8"/>
  <c r="F130" i="8" s="1"/>
  <c r="G129" i="8"/>
  <c r="F129" i="8" s="1"/>
  <c r="G128" i="8"/>
  <c r="G127" i="8"/>
  <c r="F127" i="8" s="1"/>
  <c r="G126" i="8"/>
  <c r="F126" i="8" s="1"/>
  <c r="G125" i="8"/>
  <c r="F125" i="8" s="1"/>
  <c r="G124" i="8"/>
  <c r="G123" i="8"/>
  <c r="F123" i="8" s="1"/>
  <c r="G122" i="8"/>
  <c r="F122" i="8" s="1"/>
  <c r="G121" i="8"/>
  <c r="F121" i="8" s="1"/>
  <c r="G120" i="8"/>
  <c r="G119" i="8"/>
  <c r="F119" i="8" s="1"/>
  <c r="G118" i="8"/>
  <c r="F118" i="8" s="1"/>
  <c r="G117" i="8"/>
  <c r="F117" i="8" s="1"/>
  <c r="G116" i="8"/>
  <c r="G115" i="8"/>
  <c r="F115" i="8" s="1"/>
  <c r="G114" i="8"/>
  <c r="F114" i="8" s="1"/>
  <c r="G113" i="8"/>
  <c r="F113" i="8" s="1"/>
  <c r="G112" i="8"/>
  <c r="G111" i="8"/>
  <c r="F111" i="8" s="1"/>
  <c r="G110" i="8"/>
  <c r="F110" i="8" s="1"/>
  <c r="G109" i="8"/>
  <c r="F109" i="8" s="1"/>
  <c r="G108" i="8"/>
  <c r="G107" i="8"/>
  <c r="F107" i="8" s="1"/>
  <c r="G106" i="8"/>
  <c r="F106" i="8" s="1"/>
  <c r="G105" i="8"/>
  <c r="F105" i="8" s="1"/>
  <c r="G64" i="8"/>
  <c r="G63" i="8"/>
  <c r="F63" i="8" s="1"/>
  <c r="G62" i="8"/>
  <c r="F62" i="8" s="1"/>
  <c r="G61" i="8"/>
  <c r="F61" i="8" s="1"/>
  <c r="G60" i="8"/>
  <c r="G59" i="8"/>
  <c r="F59" i="8" s="1"/>
  <c r="G58" i="8"/>
  <c r="F58" i="8" s="1"/>
  <c r="G57" i="8"/>
  <c r="F57" i="8" s="1"/>
  <c r="G56" i="8"/>
  <c r="G55" i="8"/>
  <c r="F55" i="8" s="1"/>
  <c r="G54" i="8"/>
  <c r="F54" i="8" s="1"/>
  <c r="G53" i="8"/>
  <c r="F53" i="8" s="1"/>
  <c r="G52" i="8"/>
  <c r="G51" i="8"/>
  <c r="F51" i="8" s="1"/>
  <c r="G50" i="8"/>
  <c r="F50" i="8" s="1"/>
  <c r="G49" i="8"/>
  <c r="F49" i="8" s="1"/>
  <c r="G48" i="8"/>
  <c r="G47" i="8"/>
  <c r="F47" i="8" s="1"/>
  <c r="G46" i="8"/>
  <c r="F46" i="8" s="1"/>
  <c r="G45" i="8"/>
  <c r="F45" i="8" s="1"/>
  <c r="G44" i="8"/>
  <c r="G43" i="8"/>
  <c r="F43" i="8" s="1"/>
  <c r="G42" i="8"/>
  <c r="F42" i="8" s="1"/>
  <c r="G41" i="8"/>
  <c r="F41" i="8" s="1"/>
  <c r="G40" i="8"/>
  <c r="G39" i="8"/>
  <c r="F39" i="8" s="1"/>
  <c r="G32" i="8"/>
  <c r="F32" i="8" s="1"/>
  <c r="G31" i="8"/>
  <c r="F31" i="8" s="1"/>
  <c r="G30" i="8"/>
  <c r="G29" i="8"/>
  <c r="F29" i="8" s="1"/>
  <c r="G28" i="8"/>
  <c r="F28" i="8" s="1"/>
  <c r="G27" i="8"/>
  <c r="F27" i="8" s="1"/>
  <c r="G38" i="8"/>
  <c r="G26" i="8"/>
  <c r="F26" i="8" s="1"/>
  <c r="G25" i="8"/>
  <c r="F25" i="8" s="1"/>
  <c r="G35" i="8"/>
  <c r="F35" i="8" s="1"/>
  <c r="G37" i="8"/>
  <c r="G36" i="8"/>
  <c r="F36" i="8" s="1"/>
  <c r="G34" i="8"/>
  <c r="F34" i="8" s="1"/>
  <c r="G33" i="8"/>
  <c r="F33" i="8" s="1"/>
  <c r="G24" i="8"/>
  <c r="G23" i="8"/>
  <c r="F23" i="8" s="1"/>
  <c r="G22" i="8"/>
  <c r="F22" i="8" s="1"/>
  <c r="G21" i="8"/>
  <c r="F21" i="8" s="1"/>
  <c r="G20" i="8"/>
  <c r="G19" i="8"/>
  <c r="F19" i="8" s="1"/>
  <c r="G18" i="8"/>
  <c r="F18" i="8" s="1"/>
  <c r="G17" i="8"/>
  <c r="F17" i="8" s="1"/>
  <c r="G16" i="8"/>
  <c r="G15" i="8"/>
  <c r="F15" i="8" s="1"/>
  <c r="G14" i="8"/>
  <c r="F14" i="8" s="1"/>
  <c r="G13" i="8"/>
  <c r="F13" i="8" s="1"/>
  <c r="G12" i="8"/>
  <c r="G11" i="8"/>
  <c r="F11" i="8" s="1"/>
  <c r="G10" i="8"/>
  <c r="F10" i="8" s="1"/>
  <c r="G9" i="8"/>
  <c r="F9" i="8" s="1"/>
  <c r="G8" i="8"/>
  <c r="G7" i="8"/>
  <c r="F7" i="8" s="1"/>
  <c r="G6" i="8"/>
  <c r="F6" i="8" s="1"/>
  <c r="G5" i="8"/>
  <c r="F5" i="8" s="1"/>
  <c r="G4" i="8"/>
  <c r="G3" i="8"/>
  <c r="F3" i="8" s="1"/>
  <c r="G2" i="8"/>
  <c r="F2" i="8" s="1"/>
  <c r="H2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G2" i="7"/>
  <c r="G3" i="7"/>
  <c r="F3" i="7" s="1"/>
  <c r="G4" i="7"/>
  <c r="G5" i="7"/>
  <c r="G6" i="7"/>
  <c r="G7" i="7"/>
  <c r="F7" i="7" s="1"/>
  <c r="G8" i="7"/>
  <c r="G9" i="7"/>
  <c r="G10" i="7"/>
  <c r="G11" i="7"/>
  <c r="F11" i="7" s="1"/>
  <c r="G12" i="7"/>
  <c r="G13" i="7"/>
  <c r="G14" i="7"/>
  <c r="G15" i="7"/>
  <c r="G16" i="7"/>
  <c r="G17" i="7"/>
  <c r="G18" i="7"/>
  <c r="G19" i="7"/>
  <c r="G20" i="7"/>
  <c r="F20" i="7" s="1"/>
  <c r="G21" i="7"/>
  <c r="G22" i="7"/>
  <c r="G23" i="7"/>
  <c r="G24" i="7"/>
  <c r="F24" i="7" s="1"/>
  <c r="G25" i="7"/>
  <c r="G26" i="7"/>
  <c r="G27" i="7"/>
  <c r="G28" i="7"/>
  <c r="F28" i="7" s="1"/>
  <c r="G29" i="7"/>
  <c r="G30" i="7"/>
  <c r="G31" i="7"/>
  <c r="G32" i="7"/>
  <c r="F32" i="7" s="1"/>
  <c r="G33" i="7"/>
  <c r="G34" i="7"/>
  <c r="G35" i="7"/>
  <c r="G36" i="7"/>
  <c r="F36" i="7" s="1"/>
  <c r="G37" i="7"/>
  <c r="G38" i="7"/>
  <c r="G39" i="7"/>
  <c r="G40" i="7"/>
  <c r="F40" i="7" s="1"/>
  <c r="G41" i="7"/>
  <c r="G42" i="7"/>
  <c r="G43" i="7"/>
  <c r="G44" i="7"/>
  <c r="F44" i="7" s="1"/>
  <c r="G45" i="7"/>
  <c r="G46" i="7"/>
  <c r="G47" i="7"/>
  <c r="F47" i="7" s="1"/>
  <c r="G48" i="7"/>
  <c r="F48" i="7" s="1"/>
  <c r="G49" i="7"/>
  <c r="G50" i="7"/>
  <c r="G51" i="7"/>
  <c r="F51" i="7" s="1"/>
  <c r="G52" i="7"/>
  <c r="F52" i="7" s="1"/>
  <c r="G53" i="7"/>
  <c r="G54" i="7"/>
  <c r="G55" i="7"/>
  <c r="F55" i="7" s="1"/>
  <c r="G56" i="7"/>
  <c r="F56" i="7" s="1"/>
  <c r="G57" i="7"/>
  <c r="G58" i="7"/>
  <c r="G59" i="7"/>
  <c r="F59" i="7" s="1"/>
  <c r="G60" i="7"/>
  <c r="F60" i="7" s="1"/>
  <c r="G61" i="7"/>
  <c r="G62" i="7"/>
  <c r="G63" i="7"/>
  <c r="F63" i="7" s="1"/>
  <c r="G64" i="7"/>
  <c r="F64" i="7" s="1"/>
  <c r="G65" i="7"/>
  <c r="G66" i="7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33" i="8"/>
  <c r="I34" i="8"/>
  <c r="I36" i="8"/>
  <c r="I37" i="8"/>
  <c r="I35" i="8"/>
  <c r="I25" i="8"/>
  <c r="I26" i="8"/>
  <c r="I38" i="8"/>
  <c r="I27" i="8"/>
  <c r="I28" i="8"/>
  <c r="I29" i="8"/>
  <c r="I30" i="8"/>
  <c r="I31" i="8"/>
  <c r="I32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I1003" i="8"/>
  <c r="I1004" i="8"/>
  <c r="I1005" i="8"/>
  <c r="I1006" i="8"/>
  <c r="I1007" i="8"/>
  <c r="I1008" i="8"/>
  <c r="I1009" i="8"/>
  <c r="I1010" i="8"/>
  <c r="I1011" i="8"/>
  <c r="I1012" i="8"/>
  <c r="I1013" i="8"/>
  <c r="I1014" i="8"/>
  <c r="I1015" i="8"/>
  <c r="I1016" i="8"/>
  <c r="I1017" i="8"/>
  <c r="I1018" i="8"/>
  <c r="I1019" i="8"/>
  <c r="I1020" i="8"/>
  <c r="I1021" i="8"/>
  <c r="I1022" i="8"/>
  <c r="I1023" i="8"/>
  <c r="I1024" i="8"/>
  <c r="I1025" i="8"/>
  <c r="I1026" i="8"/>
  <c r="I1027" i="8"/>
  <c r="I1028" i="8"/>
  <c r="I1029" i="8"/>
  <c r="I1030" i="8"/>
  <c r="I1031" i="8"/>
  <c r="I1032" i="8"/>
  <c r="I1033" i="8"/>
  <c r="I1034" i="8"/>
  <c r="I1035" i="8"/>
  <c r="I1036" i="8"/>
  <c r="I1037" i="8"/>
  <c r="I1038" i="8"/>
  <c r="I1039" i="8"/>
  <c r="I1040" i="8"/>
  <c r="I1041" i="8"/>
  <c r="I1042" i="8"/>
  <c r="I1043" i="8"/>
  <c r="I1044" i="8"/>
  <c r="I1045" i="8"/>
  <c r="I1046" i="8"/>
  <c r="I1047" i="8"/>
  <c r="I1048" i="8"/>
  <c r="I1049" i="8"/>
  <c r="I1050" i="8"/>
  <c r="I1051" i="8"/>
  <c r="I1052" i="8"/>
  <c r="I1053" i="8"/>
  <c r="I1054" i="8"/>
  <c r="I1055" i="8"/>
  <c r="I1056" i="8"/>
  <c r="I1057" i="8"/>
  <c r="I1058" i="8"/>
  <c r="I1059" i="8"/>
  <c r="I1060" i="8"/>
  <c r="I1061" i="8"/>
  <c r="I1062" i="8"/>
  <c r="I1063" i="8"/>
  <c r="I1064" i="8"/>
  <c r="I1065" i="8"/>
  <c r="I1066" i="8"/>
  <c r="I1067" i="8"/>
  <c r="I1068" i="8"/>
  <c r="I1069" i="8"/>
  <c r="I1070" i="8"/>
  <c r="I1071" i="8"/>
  <c r="I1072" i="8"/>
  <c r="I1073" i="8"/>
  <c r="I1074" i="8"/>
  <c r="I1075" i="8"/>
  <c r="I1076" i="8"/>
  <c r="I1077" i="8"/>
  <c r="I1078" i="8"/>
  <c r="I1079" i="8"/>
  <c r="I1080" i="8"/>
  <c r="I1081" i="8"/>
  <c r="I1082" i="8"/>
  <c r="I1083" i="8"/>
  <c r="I1084" i="8"/>
  <c r="I1085" i="8"/>
  <c r="I1086" i="8"/>
  <c r="I1087" i="8"/>
  <c r="I1088" i="8"/>
  <c r="I1089" i="8"/>
  <c r="I1090" i="8"/>
  <c r="I1091" i="8"/>
  <c r="I1092" i="8"/>
  <c r="I1093" i="8"/>
  <c r="I1094" i="8"/>
  <c r="I1095" i="8"/>
  <c r="I1096" i="8"/>
  <c r="I1097" i="8"/>
  <c r="I1098" i="8"/>
  <c r="I1099" i="8"/>
  <c r="I1100" i="8"/>
  <c r="I1101" i="8"/>
  <c r="I1102" i="8"/>
  <c r="I1103" i="8"/>
  <c r="I1104" i="8"/>
  <c r="I1105" i="8"/>
  <c r="I1106" i="8"/>
  <c r="I1107" i="8"/>
  <c r="I1108" i="8"/>
  <c r="I1109" i="8"/>
  <c r="I1110" i="8"/>
  <c r="I1111" i="8"/>
  <c r="I1112" i="8"/>
  <c r="I1113" i="8"/>
  <c r="I1114" i="8"/>
  <c r="I1115" i="8"/>
  <c r="I1116" i="8"/>
  <c r="I1117" i="8"/>
  <c r="I1118" i="8"/>
  <c r="I1119" i="8"/>
  <c r="I1120" i="8"/>
  <c r="I1121" i="8"/>
  <c r="I1122" i="8"/>
  <c r="I1123" i="8"/>
  <c r="I1124" i="8"/>
  <c r="I1125" i="8"/>
  <c r="I1126" i="8"/>
  <c r="I1127" i="8"/>
  <c r="I1128" i="8"/>
  <c r="I1129" i="8"/>
  <c r="I1130" i="8"/>
  <c r="I1131" i="8"/>
  <c r="I1132" i="8"/>
  <c r="I1133" i="8"/>
  <c r="I1134" i="8"/>
  <c r="I1135" i="8"/>
  <c r="I1136" i="8"/>
  <c r="I1137" i="8"/>
  <c r="I1138" i="8"/>
  <c r="I1139" i="8"/>
  <c r="I1140" i="8"/>
  <c r="I1141" i="8"/>
  <c r="I1142" i="8"/>
  <c r="I1143" i="8"/>
  <c r="I1144" i="8"/>
  <c r="I1145" i="8"/>
  <c r="I1146" i="8"/>
  <c r="I1147" i="8"/>
  <c r="I1148" i="8"/>
  <c r="I1149" i="8"/>
  <c r="I1150" i="8"/>
  <c r="I1151" i="8"/>
  <c r="I1152" i="8"/>
  <c r="I1153" i="8"/>
  <c r="I1154" i="8"/>
  <c r="I1155" i="8"/>
  <c r="I1156" i="8"/>
  <c r="I1157" i="8"/>
  <c r="I1158" i="8"/>
  <c r="I1159" i="8"/>
  <c r="I1160" i="8"/>
  <c r="I1161" i="8"/>
  <c r="I1162" i="8"/>
  <c r="I1163" i="8"/>
  <c r="I1164" i="8"/>
  <c r="I1165" i="8"/>
  <c r="I1166" i="8"/>
  <c r="I1167" i="8"/>
  <c r="I1168" i="8"/>
  <c r="I1169" i="8"/>
  <c r="I1170" i="8"/>
  <c r="I1171" i="8"/>
  <c r="I1172" i="8"/>
  <c r="I1173" i="8"/>
  <c r="I1174" i="8"/>
  <c r="I1175" i="8"/>
  <c r="I1176" i="8"/>
  <c r="I1177" i="8"/>
  <c r="I1178" i="8"/>
  <c r="I1179" i="8"/>
  <c r="I1180" i="8"/>
  <c r="I1181" i="8"/>
  <c r="I1182" i="8"/>
  <c r="I1183" i="8"/>
  <c r="I1184" i="8"/>
  <c r="I1185" i="8"/>
  <c r="I1186" i="8"/>
  <c r="I1187" i="8"/>
  <c r="I1188" i="8"/>
  <c r="I1189" i="8"/>
  <c r="I1190" i="8"/>
  <c r="I1191" i="8"/>
  <c r="I1192" i="8"/>
  <c r="I1193" i="8"/>
  <c r="I1194" i="8"/>
  <c r="I1195" i="8"/>
  <c r="I1196" i="8"/>
  <c r="I1197" i="8"/>
  <c r="I1198" i="8"/>
  <c r="I1199" i="8"/>
  <c r="I1200" i="8"/>
  <c r="I1201" i="8"/>
  <c r="I1202" i="8"/>
  <c r="I1203" i="8"/>
  <c r="I1204" i="8"/>
  <c r="I1205" i="8"/>
  <c r="I1206" i="8"/>
  <c r="I1207" i="8"/>
  <c r="I1208" i="8"/>
  <c r="I1209" i="8"/>
  <c r="I1210" i="8"/>
  <c r="I1211" i="8"/>
  <c r="I1212" i="8"/>
  <c r="I1213" i="8"/>
  <c r="I1214" i="8"/>
  <c r="I1215" i="8"/>
  <c r="I1216" i="8"/>
  <c r="I1217" i="8"/>
  <c r="I1218" i="8"/>
  <c r="I1219" i="8"/>
  <c r="I1220" i="8"/>
  <c r="I1221" i="8"/>
  <c r="I1222" i="8"/>
  <c r="I1223" i="8"/>
  <c r="I1224" i="8"/>
  <c r="I1225" i="8"/>
  <c r="I1226" i="8"/>
  <c r="I1227" i="8"/>
  <c r="I1228" i="8"/>
  <c r="I1229" i="8"/>
  <c r="I1230" i="8"/>
  <c r="I1231" i="8"/>
  <c r="I1232" i="8"/>
  <c r="I1233" i="8"/>
  <c r="I1234" i="8"/>
  <c r="I1235" i="8"/>
  <c r="I1236" i="8"/>
  <c r="I1237" i="8"/>
  <c r="I1238" i="8"/>
  <c r="I1239" i="8"/>
  <c r="I1240" i="8"/>
  <c r="I1241" i="8"/>
  <c r="I1242" i="8"/>
  <c r="I1243" i="8"/>
  <c r="I1244" i="8"/>
  <c r="I1245" i="8"/>
  <c r="I1246" i="8"/>
  <c r="I1247" i="8"/>
  <c r="I1248" i="8"/>
  <c r="I1249" i="8"/>
  <c r="I1250" i="8"/>
  <c r="I1251" i="8"/>
  <c r="I1252" i="8"/>
  <c r="I1253" i="8"/>
  <c r="I1254" i="8"/>
  <c r="I1255" i="8"/>
  <c r="I1256" i="8"/>
  <c r="I1257" i="8"/>
  <c r="I1258" i="8"/>
  <c r="I1259" i="8"/>
  <c r="I1260" i="8"/>
  <c r="I1261" i="8"/>
  <c r="I1262" i="8"/>
  <c r="I1263" i="8"/>
  <c r="I1264" i="8"/>
  <c r="I1265" i="8"/>
  <c r="I1266" i="8"/>
  <c r="I1267" i="8"/>
  <c r="I1268" i="8"/>
  <c r="I1269" i="8"/>
  <c r="I1270" i="8"/>
  <c r="I1271" i="8"/>
  <c r="I1272" i="8"/>
  <c r="I1273" i="8"/>
  <c r="I1274" i="8"/>
  <c r="I1275" i="8"/>
  <c r="I1276" i="8"/>
  <c r="I1277" i="8"/>
  <c r="I1278" i="8"/>
  <c r="I1279" i="8"/>
  <c r="I1280" i="8"/>
  <c r="I1281" i="8"/>
  <c r="I1282" i="8"/>
  <c r="I1283" i="8"/>
  <c r="I1284" i="8"/>
  <c r="I1285" i="8"/>
  <c r="I1286" i="8"/>
  <c r="I1287" i="8"/>
  <c r="I1288" i="8"/>
  <c r="I1289" i="8"/>
  <c r="I1290" i="8"/>
  <c r="I1291" i="8"/>
  <c r="I1292" i="8"/>
  <c r="I1293" i="8"/>
  <c r="I1294" i="8"/>
  <c r="I1295" i="8"/>
  <c r="I1296" i="8"/>
  <c r="I1297" i="8"/>
  <c r="I1298" i="8"/>
  <c r="I1299" i="8"/>
  <c r="I1300" i="8"/>
  <c r="I1301" i="8"/>
  <c r="I1302" i="8"/>
  <c r="I1303" i="8"/>
  <c r="I1304" i="8"/>
  <c r="I1305" i="8"/>
  <c r="I1306" i="8"/>
  <c r="I1307" i="8"/>
  <c r="I1308" i="8"/>
  <c r="I1309" i="8"/>
  <c r="I1310" i="8"/>
  <c r="I1311" i="8"/>
  <c r="I1312" i="8"/>
  <c r="I1313" i="8"/>
  <c r="I1314" i="8"/>
  <c r="I1315" i="8"/>
  <c r="I1316" i="8"/>
  <c r="I1317" i="8"/>
  <c r="I1318" i="8"/>
  <c r="I1319" i="8"/>
  <c r="I1320" i="8"/>
  <c r="I1321" i="8"/>
  <c r="I1322" i="8"/>
  <c r="I1323" i="8"/>
  <c r="I1324" i="8"/>
  <c r="I1325" i="8"/>
  <c r="I1326" i="8"/>
  <c r="I1327" i="8"/>
  <c r="I1328" i="8"/>
  <c r="I1329" i="8"/>
  <c r="I1330" i="8"/>
  <c r="I1331" i="8"/>
  <c r="I1332" i="8"/>
  <c r="I1333" i="8"/>
  <c r="I1334" i="8"/>
  <c r="I1335" i="8"/>
  <c r="I1336" i="8"/>
  <c r="I1337" i="8"/>
  <c r="I1338" i="8"/>
  <c r="I1339" i="8"/>
  <c r="I1340" i="8"/>
  <c r="I1341" i="8"/>
  <c r="I1342" i="8"/>
  <c r="I1343" i="8"/>
  <c r="I1344" i="8"/>
  <c r="I1345" i="8"/>
  <c r="I1346" i="8"/>
  <c r="I1347" i="8"/>
  <c r="I1348" i="8"/>
  <c r="I1349" i="8"/>
  <c r="I1350" i="8"/>
  <c r="I1351" i="8"/>
  <c r="I1352" i="8"/>
  <c r="I1353" i="8"/>
  <c r="I1354" i="8"/>
  <c r="I1355" i="8"/>
  <c r="I1356" i="8"/>
  <c r="I1357" i="8"/>
  <c r="I1358" i="8"/>
  <c r="I1359" i="8"/>
  <c r="I1360" i="8"/>
  <c r="I1361" i="8"/>
  <c r="I1362" i="8"/>
  <c r="I1363" i="8"/>
  <c r="I1364" i="8"/>
  <c r="I1365" i="8"/>
  <c r="I1366" i="8"/>
  <c r="I1367" i="8"/>
  <c r="I1368" i="8"/>
  <c r="I1369" i="8"/>
  <c r="I1370" i="8"/>
  <c r="I1371" i="8"/>
  <c r="I1372" i="8"/>
  <c r="I1373" i="8"/>
  <c r="I1374" i="8"/>
  <c r="I1375" i="8"/>
  <c r="I1376" i="8"/>
  <c r="I1377" i="8"/>
  <c r="I1378" i="8"/>
  <c r="I1379" i="8"/>
  <c r="I1380" i="8"/>
  <c r="I1381" i="8"/>
  <c r="I1382" i="8"/>
  <c r="I1383" i="8"/>
  <c r="I1384" i="8"/>
  <c r="I1385" i="8"/>
  <c r="I1386" i="8"/>
  <c r="I1387" i="8"/>
  <c r="I1388" i="8"/>
  <c r="I1389" i="8"/>
  <c r="I1390" i="8"/>
  <c r="I1391" i="8"/>
  <c r="I1392" i="8"/>
  <c r="I1393" i="8"/>
  <c r="I1394" i="8"/>
  <c r="I1395" i="8"/>
  <c r="I1396" i="8"/>
  <c r="I1397" i="8"/>
  <c r="I1398" i="8"/>
  <c r="I1399" i="8"/>
  <c r="I1400" i="8"/>
  <c r="I1401" i="8"/>
  <c r="I1402" i="8"/>
  <c r="I1403" i="8"/>
  <c r="I1404" i="8"/>
  <c r="I1405" i="8"/>
  <c r="I1406" i="8"/>
  <c r="I1407" i="8"/>
  <c r="I1408" i="8"/>
  <c r="I1409" i="8"/>
  <c r="I1410" i="8"/>
  <c r="I1411" i="8"/>
  <c r="I1412" i="8"/>
  <c r="I1413" i="8"/>
  <c r="I1414" i="8"/>
  <c r="I1415" i="8"/>
  <c r="I1416" i="8"/>
  <c r="I1417" i="8"/>
  <c r="I1418" i="8"/>
  <c r="I1419" i="8"/>
  <c r="I1420" i="8"/>
  <c r="I1421" i="8"/>
  <c r="I1422" i="8"/>
  <c r="I1423" i="8"/>
  <c r="I1424" i="8"/>
  <c r="I1425" i="8"/>
  <c r="I1426" i="8"/>
  <c r="I1427" i="8"/>
  <c r="I1428" i="8"/>
  <c r="I1429" i="8"/>
  <c r="I1430" i="8"/>
  <c r="I1431" i="8"/>
  <c r="I1432" i="8"/>
  <c r="I1433" i="8"/>
  <c r="I1434" i="8"/>
  <c r="I1435" i="8"/>
  <c r="I1436" i="8"/>
  <c r="I1437" i="8"/>
  <c r="I1438" i="8"/>
  <c r="I1439" i="8"/>
  <c r="I1440" i="8"/>
  <c r="I1441" i="8"/>
  <c r="I1442" i="8"/>
  <c r="I1443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2" i="7"/>
  <c r="T51" i="1"/>
  <c r="F66" i="7" l="1"/>
  <c r="F62" i="7"/>
  <c r="F58" i="7"/>
  <c r="F54" i="7"/>
  <c r="F50" i="7"/>
  <c r="F46" i="7"/>
  <c r="F42" i="7"/>
  <c r="F38" i="7"/>
  <c r="F34" i="7"/>
  <c r="F30" i="7"/>
  <c r="F26" i="7"/>
  <c r="F22" i="7"/>
  <c r="F18" i="7"/>
  <c r="F14" i="7"/>
  <c r="F10" i="7"/>
  <c r="F6" i="7"/>
  <c r="F2" i="7"/>
  <c r="F43" i="7"/>
  <c r="F39" i="7"/>
  <c r="F35" i="7"/>
  <c r="F31" i="7"/>
  <c r="F27" i="7"/>
  <c r="F23" i="7"/>
  <c r="F19" i="7"/>
  <c r="F15" i="7"/>
  <c r="F116" i="8"/>
  <c r="F132" i="8"/>
  <c r="F148" i="8"/>
  <c r="F156" i="8"/>
  <c r="F164" i="8"/>
  <c r="F180" i="8"/>
  <c r="F188" i="8"/>
  <c r="F196" i="8"/>
  <c r="F212" i="8"/>
  <c r="F220" i="8"/>
  <c r="F228" i="8"/>
  <c r="F244" i="8"/>
  <c r="F252" i="8"/>
  <c r="F260" i="8"/>
  <c r="F292" i="8"/>
  <c r="F308" i="8"/>
  <c r="F324" i="8"/>
  <c r="F356" i="8"/>
  <c r="F372" i="8"/>
  <c r="F388" i="8"/>
  <c r="F420" i="8"/>
  <c r="F436" i="8"/>
  <c r="F452" i="8"/>
  <c r="F484" i="8"/>
  <c r="F500" i="8"/>
  <c r="F516" i="8"/>
  <c r="F548" i="8"/>
  <c r="F564" i="8"/>
  <c r="F580" i="8"/>
  <c r="F612" i="8"/>
  <c r="F628" i="8"/>
  <c r="F4" i="8"/>
  <c r="F8" i="8"/>
  <c r="F12" i="8"/>
  <c r="F16" i="8"/>
  <c r="F20" i="8"/>
  <c r="F24" i="8"/>
  <c r="F37" i="8"/>
  <c r="F38" i="8"/>
  <c r="F30" i="8"/>
  <c r="F40" i="8"/>
  <c r="F44" i="8"/>
  <c r="F48" i="8"/>
  <c r="F52" i="8"/>
  <c r="F56" i="8"/>
  <c r="F60" i="8"/>
  <c r="F64" i="8"/>
  <c r="F108" i="8"/>
  <c r="F112" i="8"/>
  <c r="F120" i="8"/>
  <c r="F124" i="8"/>
  <c r="F128" i="8"/>
  <c r="F136" i="8"/>
  <c r="F140" i="8"/>
  <c r="F144" i="8"/>
  <c r="F152" i="8"/>
  <c r="F160" i="8"/>
  <c r="F168" i="8"/>
  <c r="F176" i="8"/>
  <c r="F184" i="8"/>
  <c r="F192" i="8"/>
  <c r="F200" i="8"/>
  <c r="F208" i="8"/>
  <c r="F216" i="8"/>
  <c r="F224" i="8"/>
  <c r="F232" i="8"/>
  <c r="F240" i="8"/>
  <c r="F248" i="8"/>
  <c r="F256" i="8"/>
  <c r="F264" i="8"/>
  <c r="F268" i="8"/>
  <c r="F272" i="8"/>
  <c r="F280" i="8"/>
  <c r="F284" i="8"/>
  <c r="F288" i="8"/>
  <c r="F296" i="8"/>
  <c r="F300" i="8"/>
  <c r="F304" i="8"/>
  <c r="F312" i="8"/>
  <c r="F316" i="8"/>
  <c r="F320" i="8"/>
  <c r="F328" i="8"/>
  <c r="F332" i="8"/>
  <c r="F336" i="8"/>
  <c r="F344" i="8"/>
  <c r="F348" i="8"/>
  <c r="F352" i="8"/>
  <c r="F360" i="8"/>
  <c r="F364" i="8"/>
  <c r="F368" i="8"/>
  <c r="F376" i="8"/>
  <c r="F380" i="8"/>
  <c r="F384" i="8"/>
  <c r="F392" i="8"/>
  <c r="F396" i="8"/>
  <c r="F400" i="8"/>
  <c r="F408" i="8"/>
  <c r="F412" i="8"/>
  <c r="F416" i="8"/>
  <c r="F424" i="8"/>
  <c r="F428" i="8"/>
  <c r="F432" i="8"/>
  <c r="F440" i="8"/>
  <c r="F444" i="8"/>
  <c r="F448" i="8"/>
  <c r="F456" i="8"/>
  <c r="F460" i="8"/>
  <c r="F464" i="8"/>
  <c r="F472" i="8"/>
  <c r="F476" i="8"/>
  <c r="F480" i="8"/>
  <c r="F488" i="8"/>
  <c r="F492" i="8"/>
  <c r="F496" i="8"/>
  <c r="F504" i="8"/>
  <c r="F508" i="8"/>
  <c r="F512" i="8"/>
  <c r="F520" i="8"/>
  <c r="F524" i="8"/>
  <c r="F528" i="8"/>
  <c r="F536" i="8"/>
  <c r="F540" i="8"/>
  <c r="F544" i="8"/>
  <c r="F552" i="8"/>
  <c r="F556" i="8"/>
  <c r="F560" i="8"/>
  <c r="F568" i="8"/>
  <c r="F572" i="8"/>
  <c r="F576" i="8"/>
  <c r="F584" i="8"/>
  <c r="F588" i="8"/>
  <c r="F592" i="8"/>
  <c r="F600" i="8"/>
  <c r="F604" i="8"/>
  <c r="F608" i="8"/>
  <c r="F616" i="8"/>
  <c r="F620" i="8"/>
  <c r="F624" i="8"/>
  <c r="F632" i="8"/>
  <c r="F636" i="8"/>
  <c r="F640" i="8"/>
  <c r="F644" i="8"/>
  <c r="F648" i="8"/>
  <c r="F652" i="8"/>
  <c r="F656" i="8"/>
  <c r="F660" i="8"/>
  <c r="F664" i="8"/>
  <c r="F668" i="8"/>
  <c r="F672" i="8"/>
  <c r="F676" i="8"/>
  <c r="F680" i="8"/>
  <c r="F684" i="8"/>
  <c r="F688" i="8"/>
  <c r="F692" i="8"/>
  <c r="F696" i="8"/>
  <c r="F700" i="8"/>
  <c r="F704" i="8"/>
  <c r="F708" i="8"/>
  <c r="F712" i="8"/>
  <c r="F716" i="8"/>
  <c r="F720" i="8"/>
  <c r="F724" i="8"/>
  <c r="F728" i="8"/>
  <c r="F732" i="8"/>
  <c r="F736" i="8"/>
  <c r="F740" i="8"/>
  <c r="F744" i="8"/>
  <c r="F748" i="8"/>
  <c r="F752" i="8"/>
  <c r="F756" i="8"/>
  <c r="F760" i="8"/>
  <c r="F764" i="8"/>
  <c r="F768" i="8"/>
  <c r="F772" i="8"/>
  <c r="F776" i="8"/>
  <c r="F780" i="8"/>
  <c r="F784" i="8"/>
  <c r="F788" i="8"/>
  <c r="F792" i="8"/>
  <c r="F796" i="8"/>
  <c r="F800" i="8"/>
  <c r="F804" i="8"/>
  <c r="F808" i="8"/>
  <c r="F812" i="8"/>
  <c r="F816" i="8"/>
  <c r="F820" i="8"/>
  <c r="F824" i="8"/>
  <c r="F828" i="8"/>
  <c r="F832" i="8"/>
  <c r="F836" i="8"/>
  <c r="F840" i="8"/>
  <c r="F844" i="8"/>
  <c r="F848" i="8"/>
  <c r="F852" i="8"/>
  <c r="F856" i="8"/>
  <c r="F860" i="8"/>
  <c r="F864" i="8"/>
  <c r="F868" i="8"/>
  <c r="F872" i="8"/>
  <c r="F876" i="8"/>
  <c r="F880" i="8"/>
  <c r="F884" i="8"/>
  <c r="F888" i="8"/>
  <c r="F892" i="8"/>
  <c r="F896" i="8"/>
  <c r="F900" i="8"/>
  <c r="F904" i="8"/>
  <c r="F908" i="8"/>
  <c r="F912" i="8"/>
  <c r="F916" i="8"/>
  <c r="F920" i="8"/>
  <c r="F924" i="8"/>
  <c r="F928" i="8"/>
  <c r="F932" i="8"/>
  <c r="F936" i="8"/>
  <c r="F940" i="8"/>
  <c r="F944" i="8"/>
  <c r="F948" i="8"/>
  <c r="F952" i="8"/>
  <c r="F956" i="8"/>
  <c r="F960" i="8"/>
  <c r="F964" i="8"/>
  <c r="F968" i="8"/>
  <c r="F972" i="8"/>
  <c r="F976" i="8"/>
  <c r="F980" i="8"/>
  <c r="F984" i="8"/>
  <c r="F988" i="8"/>
  <c r="F992" i="8"/>
  <c r="F996" i="8"/>
  <c r="F1000" i="8"/>
  <c r="F1004" i="8"/>
  <c r="F1008" i="8"/>
  <c r="F1012" i="8"/>
  <c r="F1016" i="8"/>
  <c r="F1020" i="8"/>
  <c r="F1024" i="8"/>
  <c r="F1028" i="8"/>
  <c r="F1032" i="8"/>
  <c r="F1036" i="8"/>
  <c r="F1040" i="8"/>
  <c r="F1044" i="8"/>
  <c r="F1048" i="8"/>
  <c r="F1052" i="8"/>
  <c r="F1056" i="8"/>
  <c r="F1060" i="8"/>
  <c r="F1064" i="8"/>
  <c r="F1068" i="8"/>
  <c r="F1072" i="8"/>
  <c r="F1076" i="8"/>
  <c r="F1080" i="8"/>
  <c r="F1228" i="8"/>
  <c r="F1084" i="8"/>
  <c r="F1088" i="8"/>
  <c r="F1092" i="8"/>
  <c r="F1096" i="8"/>
  <c r="F1100" i="8"/>
  <c r="F1104" i="8"/>
  <c r="F1108" i="8"/>
  <c r="F1112" i="8"/>
  <c r="F1116" i="8"/>
  <c r="F1120" i="8"/>
  <c r="F1124" i="8"/>
  <c r="F1128" i="8"/>
  <c r="F1132" i="8"/>
  <c r="F1136" i="8"/>
  <c r="F1140" i="8"/>
  <c r="F1144" i="8"/>
  <c r="F1148" i="8"/>
  <c r="F1152" i="8"/>
  <c r="F1156" i="8"/>
  <c r="F1160" i="8"/>
  <c r="F1164" i="8"/>
  <c r="F1168" i="8"/>
  <c r="F1172" i="8"/>
  <c r="F1176" i="8"/>
  <c r="F1180" i="8"/>
  <c r="F1184" i="8"/>
  <c r="F1188" i="8"/>
  <c r="F1192" i="8"/>
  <c r="F1196" i="8"/>
  <c r="F1200" i="8"/>
  <c r="F1204" i="8"/>
  <c r="F1208" i="8"/>
  <c r="F1212" i="8"/>
  <c r="F1216" i="8"/>
  <c r="F1220" i="8"/>
  <c r="F1224" i="8"/>
  <c r="F1232" i="8"/>
  <c r="F1236" i="8"/>
  <c r="F1240" i="8"/>
  <c r="F1244" i="8"/>
  <c r="F1248" i="8"/>
  <c r="F1252" i="8"/>
  <c r="F1256" i="8"/>
  <c r="F1260" i="8"/>
  <c r="F1264" i="8"/>
  <c r="F1268" i="8"/>
  <c r="F1272" i="8"/>
  <c r="F1276" i="8"/>
  <c r="F1280" i="8"/>
  <c r="F1284" i="8"/>
  <c r="F1288" i="8"/>
  <c r="F1292" i="8"/>
  <c r="F1296" i="8"/>
  <c r="F1300" i="8"/>
  <c r="F1304" i="8"/>
  <c r="F1308" i="8"/>
  <c r="F1312" i="8"/>
  <c r="F1316" i="8"/>
  <c r="F1320" i="8"/>
  <c r="F1324" i="8"/>
  <c r="F1328" i="8"/>
  <c r="F1332" i="8"/>
  <c r="F1336" i="8"/>
  <c r="F1340" i="8"/>
  <c r="F1344" i="8"/>
  <c r="F1348" i="8"/>
  <c r="F1352" i="8"/>
  <c r="F1356" i="8"/>
  <c r="F1360" i="8"/>
  <c r="F1364" i="8"/>
  <c r="F1368" i="8"/>
  <c r="F1372" i="8"/>
  <c r="F1376" i="8"/>
  <c r="F1380" i="8"/>
  <c r="F1384" i="8"/>
  <c r="F1388" i="8"/>
  <c r="F1392" i="8"/>
  <c r="F1396" i="8"/>
  <c r="F1400" i="8"/>
  <c r="F1404" i="8"/>
  <c r="F1408" i="8"/>
  <c r="F1412" i="8"/>
  <c r="F1416" i="8"/>
  <c r="F1420" i="8"/>
  <c r="F1424" i="8"/>
  <c r="F1428" i="8"/>
  <c r="F1432" i="8"/>
  <c r="F1436" i="8"/>
  <c r="F1440" i="8"/>
  <c r="F65" i="8"/>
  <c r="F69" i="8"/>
  <c r="F73" i="8"/>
  <c r="F77" i="8"/>
  <c r="F81" i="8"/>
  <c r="F85" i="8"/>
  <c r="F89" i="8"/>
  <c r="F93" i="8"/>
  <c r="F97" i="8"/>
  <c r="F101" i="8"/>
  <c r="F16" i="7"/>
  <c r="F12" i="7"/>
  <c r="F8" i="7"/>
  <c r="F4" i="7"/>
  <c r="F65" i="7"/>
  <c r="F61" i="7"/>
  <c r="F57" i="7"/>
  <c r="F53" i="7"/>
  <c r="F49" i="7"/>
  <c r="F45" i="7"/>
  <c r="F41" i="7"/>
  <c r="F37" i="7"/>
  <c r="F33" i="7"/>
  <c r="F29" i="7"/>
  <c r="F25" i="7"/>
  <c r="F21" i="7"/>
  <c r="F17" i="7"/>
  <c r="F13" i="7"/>
  <c r="F9" i="7"/>
  <c r="F5" i="7"/>
</calcChain>
</file>

<file path=xl/sharedStrings.xml><?xml version="1.0" encoding="utf-8"?>
<sst xmlns="http://schemas.openxmlformats.org/spreadsheetml/2006/main" count="14339" uniqueCount="3813">
  <si>
    <t>Headband 01</t>
  </si>
  <si>
    <t>Headband 02</t>
  </si>
  <si>
    <t>Headband 03</t>
  </si>
  <si>
    <t>Headband 04</t>
  </si>
  <si>
    <t>Headband 05</t>
  </si>
  <si>
    <t>Headband 06</t>
  </si>
  <si>
    <t>Headband 07</t>
  </si>
  <si>
    <t>Headband 08</t>
  </si>
  <si>
    <t>Headband 09</t>
  </si>
  <si>
    <t>Helmet 01 Knight</t>
  </si>
  <si>
    <t>Helmet 02 Barbarian</t>
  </si>
  <si>
    <t>Helmet 03</t>
  </si>
  <si>
    <t>Helmet 04 Pumpkin</t>
  </si>
  <si>
    <t>Helmet 05</t>
  </si>
  <si>
    <t>Helmet 06</t>
  </si>
  <si>
    <t>Helmet 07</t>
  </si>
  <si>
    <t>Helmet 08</t>
  </si>
  <si>
    <t>Helmet 09</t>
  </si>
  <si>
    <t>Helmet 10</t>
  </si>
  <si>
    <t>Hood 01</t>
  </si>
  <si>
    <t>Horn 01 Front</t>
  </si>
  <si>
    <t>Horn 02 Side</t>
  </si>
  <si>
    <t>Horn 03</t>
  </si>
  <si>
    <t>Knuckles 01</t>
  </si>
  <si>
    <t>Knuckles 02</t>
  </si>
  <si>
    <t>Knuckles 03</t>
  </si>
  <si>
    <t>Longbow 01</t>
  </si>
  <si>
    <t>Longbow 02</t>
  </si>
  <si>
    <t>Longbow 03</t>
  </si>
  <si>
    <t>Magical Back Prop 01</t>
  </si>
  <si>
    <t>Mask 01</t>
  </si>
  <si>
    <t>Mask 02</t>
  </si>
  <si>
    <t>Mask 03</t>
  </si>
  <si>
    <t>Peasant Tool 02 Hammer</t>
  </si>
  <si>
    <t>Peasant Tool 03 Axe</t>
  </si>
  <si>
    <t>Peasant Tool 04 Scyth</t>
  </si>
  <si>
    <t>Pickaxe 01</t>
  </si>
  <si>
    <t>Sack 01</t>
  </si>
  <si>
    <t>Scepter 01</t>
  </si>
  <si>
    <t>Scythe 02</t>
  </si>
  <si>
    <t>Scythe 03</t>
  </si>
  <si>
    <t>Shield 01</t>
  </si>
  <si>
    <t>Shield 02</t>
  </si>
  <si>
    <t>Shield 03</t>
  </si>
  <si>
    <t>Shield 04</t>
  </si>
  <si>
    <t>Shield 05</t>
  </si>
  <si>
    <t>Shield 06</t>
  </si>
  <si>
    <t>Shield 07</t>
  </si>
  <si>
    <t>Shield 08</t>
  </si>
  <si>
    <t>Shield 09</t>
  </si>
  <si>
    <t>Shield 10</t>
  </si>
  <si>
    <t>Spear 01</t>
  </si>
  <si>
    <t>Spear 02</t>
  </si>
  <si>
    <t>Spear 03</t>
  </si>
  <si>
    <t>Sword 01</t>
  </si>
  <si>
    <t>Sword 02</t>
  </si>
  <si>
    <t>Sword 03</t>
  </si>
  <si>
    <t>Sword 04</t>
  </si>
  <si>
    <t>Sword 05</t>
  </si>
  <si>
    <t>Sword 06</t>
  </si>
  <si>
    <t>Sword 07</t>
  </si>
  <si>
    <t>Sword 08</t>
  </si>
  <si>
    <t>Sword 09</t>
  </si>
  <si>
    <t>Sword 10</t>
  </si>
  <si>
    <t>TH Axe 01</t>
  </si>
  <si>
    <t>TH Axe 02</t>
  </si>
  <si>
    <t>TH Axe 03</t>
  </si>
  <si>
    <t>TH Sword 01</t>
  </si>
  <si>
    <t>TH Sword 03</t>
  </si>
  <si>
    <t>Wand 03</t>
  </si>
  <si>
    <t>Wand 04</t>
  </si>
  <si>
    <t>Wand 05</t>
  </si>
  <si>
    <t>Wand 06 Broom</t>
  </si>
  <si>
    <t>Wand 07</t>
  </si>
  <si>
    <t>Wand 08</t>
  </si>
  <si>
    <t>Wand 09</t>
  </si>
  <si>
    <t>Wand 10</t>
  </si>
  <si>
    <t>Wand 11</t>
  </si>
  <si>
    <t>Wings 01</t>
  </si>
  <si>
    <t>Wings 02 Dragon</t>
  </si>
  <si>
    <t>Wings 03 Bone</t>
  </si>
  <si>
    <t>Wings 04 Dragonfly</t>
  </si>
  <si>
    <t>Wings 05 Butterfly</t>
  </si>
  <si>
    <t>Wings 06 Leaves</t>
  </si>
  <si>
    <t>Wings 07 Love</t>
  </si>
  <si>
    <t>Wings 08</t>
  </si>
  <si>
    <t>Wings 09</t>
  </si>
  <si>
    <t>Wings 10</t>
  </si>
  <si>
    <t>Wings 11</t>
  </si>
  <si>
    <t>挂点</t>
    <phoneticPr fontId="1" type="noConversion"/>
  </si>
  <si>
    <t>分类</t>
    <phoneticPr fontId="1" type="noConversion"/>
  </si>
  <si>
    <t>back</t>
    <phoneticPr fontId="1" type="noConversion"/>
  </si>
  <si>
    <t>head</t>
    <phoneticPr fontId="1" type="noConversion"/>
  </si>
  <si>
    <t>left</t>
    <phoneticPr fontId="1" type="noConversion"/>
  </si>
  <si>
    <t>right</t>
    <phoneticPr fontId="1" type="noConversion"/>
  </si>
  <si>
    <t>left&amp;right</t>
    <phoneticPr fontId="1" type="noConversion"/>
  </si>
  <si>
    <t>Antlers</t>
  </si>
  <si>
    <t>Axe 02</t>
  </si>
  <si>
    <t>Axe 03</t>
  </si>
  <si>
    <t>Back Prop 02</t>
  </si>
  <si>
    <t>Bag 01</t>
  </si>
  <si>
    <t>Base Normal</t>
  </si>
  <si>
    <t>Base Robe 01</t>
  </si>
  <si>
    <t>Base Robe 02</t>
  </si>
  <si>
    <t>Basket 01</t>
  </si>
  <si>
    <t>Bunny Ears</t>
  </si>
  <si>
    <t>Cat Ears</t>
  </si>
  <si>
    <t>Claw 02</t>
  </si>
  <si>
    <t>Claw 03</t>
  </si>
  <si>
    <t>Club 02</t>
  </si>
  <si>
    <t>Club 03</t>
  </si>
  <si>
    <t>Coif 01</t>
  </si>
  <si>
    <t>Crossbow 01 No Arrow</t>
  </si>
  <si>
    <t>Crossbow 01</t>
  </si>
  <si>
    <t>Crossbow 02 No Arrow</t>
  </si>
  <si>
    <t>Crossbow 02</t>
  </si>
  <si>
    <t>Crossbow 03</t>
  </si>
  <si>
    <t>Crown 01 Sorceress</t>
  </si>
  <si>
    <t>Crown 03</t>
  </si>
  <si>
    <t>Crown 04</t>
  </si>
  <si>
    <t>Dagger 01</t>
  </si>
  <si>
    <t>Dagger 02</t>
  </si>
  <si>
    <t>Dagger 03</t>
  </si>
  <si>
    <t>Elf Ears 01</t>
  </si>
  <si>
    <t>Hair Female 01</t>
  </si>
  <si>
    <t>Hair Female 02</t>
  </si>
  <si>
    <t>Hair Female 03</t>
  </si>
  <si>
    <t>Hair Female 04</t>
  </si>
  <si>
    <t>Hair Female 05</t>
  </si>
  <si>
    <t>Hair Female 06</t>
  </si>
  <si>
    <t>Hair Female 07</t>
  </si>
  <si>
    <t>Hair Female 08</t>
  </si>
  <si>
    <t>Hair Female 09</t>
  </si>
  <si>
    <t>Hair Female 10</t>
  </si>
  <si>
    <t>Hair Female 11</t>
  </si>
  <si>
    <t>Hair Female 12</t>
  </si>
  <si>
    <t>Hair Female 13</t>
  </si>
  <si>
    <t>Hair Female 14</t>
  </si>
  <si>
    <t>Hair Female 15</t>
  </si>
  <si>
    <t>Hair Female 16</t>
  </si>
  <si>
    <t>Hair Female 17</t>
  </si>
  <si>
    <t>Hair Female 18</t>
  </si>
  <si>
    <t>Hair Male 01</t>
  </si>
  <si>
    <t>Hair Male 02</t>
  </si>
  <si>
    <t>Hair Male 03 Old</t>
  </si>
  <si>
    <t>Hair Male 04</t>
  </si>
  <si>
    <t>Hair Male 05</t>
  </si>
  <si>
    <t>Hair Male 06</t>
  </si>
  <si>
    <t>Hair Male 07</t>
  </si>
  <si>
    <t>Hair Male 08</t>
  </si>
  <si>
    <t>Hair Male 09</t>
  </si>
  <si>
    <t>Hair Male 10</t>
  </si>
  <si>
    <t>Hair Male 11</t>
  </si>
  <si>
    <t>Hair Male 12</t>
  </si>
  <si>
    <t>Hair Male 13</t>
  </si>
  <si>
    <t>Hair Male 14</t>
  </si>
  <si>
    <t>Hair Male 15</t>
  </si>
  <si>
    <t>Hair Male 16</t>
  </si>
  <si>
    <t>Hair Male 17</t>
  </si>
  <si>
    <t>Hair Male 18</t>
  </si>
  <si>
    <t>Hammer 01</t>
  </si>
  <si>
    <t>Hammer 02</t>
  </si>
  <si>
    <t>Hammer 03</t>
  </si>
  <si>
    <t>Hat 01 Wizard</t>
  </si>
  <si>
    <t>Hat 02 Peasant</t>
  </si>
  <si>
    <t>Hat 03</t>
  </si>
  <si>
    <t>Hat 04</t>
  </si>
  <si>
    <t>Hat 05</t>
  </si>
  <si>
    <t>右手</t>
    <phoneticPr fontId="1" type="noConversion"/>
  </si>
  <si>
    <t>后被</t>
    <phoneticPr fontId="1" type="noConversion"/>
  </si>
  <si>
    <t>蜘蛛爪</t>
    <phoneticPr fontId="1" type="noConversion"/>
  </si>
  <si>
    <t>身体</t>
    <phoneticPr fontId="1" type="noConversion"/>
  </si>
  <si>
    <t>后背</t>
    <phoneticPr fontId="1" type="noConversion"/>
  </si>
  <si>
    <t>头部</t>
    <phoneticPr fontId="1" type="noConversion"/>
  </si>
  <si>
    <t>左手</t>
    <phoneticPr fontId="1" type="noConversion"/>
  </si>
  <si>
    <t>双手</t>
    <phoneticPr fontId="1" type="noConversion"/>
  </si>
  <si>
    <t>装饰品分类</t>
    <phoneticPr fontId="1" type="noConversion"/>
  </si>
  <si>
    <t>磁铁</t>
    <phoneticPr fontId="1" type="noConversion"/>
  </si>
  <si>
    <t>背包</t>
    <phoneticPr fontId="1" type="noConversion"/>
  </si>
  <si>
    <t>麻袋</t>
    <phoneticPr fontId="1" type="noConversion"/>
  </si>
  <si>
    <t>背篮</t>
    <phoneticPr fontId="1" type="noConversion"/>
  </si>
  <si>
    <t>胡子</t>
    <phoneticPr fontId="1" type="noConversion"/>
  </si>
  <si>
    <t>皇冠</t>
    <phoneticPr fontId="1" type="noConversion"/>
  </si>
  <si>
    <t>耳朵</t>
    <phoneticPr fontId="1" type="noConversion"/>
  </si>
  <si>
    <t>脸部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</si>
  <si>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</si>
  <si>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</si>
  <si>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</si>
  <si>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角</t>
    <phoneticPr fontId="1" type="noConversion"/>
  </si>
  <si>
    <t>夹克衫</t>
    <phoneticPr fontId="1" type="noConversion"/>
  </si>
  <si>
    <t>Mask</t>
    <phoneticPr fontId="1" type="noConversion"/>
  </si>
  <si>
    <t>特效</t>
    <phoneticPr fontId="1" type="noConversion"/>
  </si>
  <si>
    <t>翅膀</t>
    <phoneticPr fontId="1" type="noConversion"/>
  </si>
  <si>
    <t>武器分类</t>
    <phoneticPr fontId="1" type="noConversion"/>
  </si>
  <si>
    <t>斧子</t>
    <phoneticPr fontId="1" type="noConversion"/>
  </si>
  <si>
    <t>铃铛</t>
    <phoneticPr fontId="1" type="noConversion"/>
  </si>
  <si>
    <t>爪子</t>
    <phoneticPr fontId="1" type="noConversion"/>
  </si>
  <si>
    <t>棍棒</t>
    <phoneticPr fontId="1" type="noConversion"/>
  </si>
  <si>
    <t>十字弓</t>
    <phoneticPr fontId="1" type="noConversion"/>
  </si>
  <si>
    <t>短剑</t>
    <phoneticPr fontId="1" type="noConversion"/>
  </si>
  <si>
    <t>吉他</t>
    <phoneticPr fontId="1" type="noConversion"/>
  </si>
  <si>
    <t>钉头槌</t>
  </si>
  <si>
    <t>锤子</t>
    <phoneticPr fontId="1" type="noConversion"/>
  </si>
  <si>
    <t>双手魔弹</t>
    <phoneticPr fontId="1" type="noConversion"/>
  </si>
  <si>
    <t>指节钉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</si>
  <si>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</si>
  <si>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</si>
  <si>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</si>
  <si>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节杖</t>
    <phoneticPr fontId="1" type="noConversion"/>
  </si>
  <si>
    <t>长柄大镰刀</t>
    <phoneticPr fontId="1" type="noConversion"/>
  </si>
  <si>
    <t>盾牌</t>
    <phoneticPr fontId="1" type="noConversion"/>
  </si>
  <si>
    <t>矛</t>
    <phoneticPr fontId="1" type="noConversion"/>
  </si>
  <si>
    <t>大剑</t>
    <phoneticPr fontId="1" type="noConversion"/>
  </si>
  <si>
    <t>双手斧</t>
    <phoneticPr fontId="1" type="noConversion"/>
  </si>
  <si>
    <t>双手剑</t>
    <phoneticPr fontId="1" type="noConversion"/>
  </si>
  <si>
    <t>魔杖</t>
    <phoneticPr fontId="1" type="noConversion"/>
  </si>
  <si>
    <t>系统列表</t>
    <phoneticPr fontId="1" type="noConversion"/>
  </si>
  <si>
    <t>创建角色</t>
    <phoneticPr fontId="1" type="noConversion"/>
  </si>
  <si>
    <t>战斗系统</t>
    <phoneticPr fontId="1" type="noConversion"/>
  </si>
  <si>
    <t>回合制</t>
    <phoneticPr fontId="1" type="noConversion"/>
  </si>
  <si>
    <t>游戏世界</t>
    <phoneticPr fontId="1" type="noConversion"/>
  </si>
  <si>
    <t>场景</t>
    <phoneticPr fontId="1" type="noConversion"/>
  </si>
  <si>
    <t>主城</t>
    <phoneticPr fontId="1" type="noConversion"/>
  </si>
  <si>
    <t>角色养成</t>
    <phoneticPr fontId="1" type="noConversion"/>
  </si>
  <si>
    <t>职业</t>
    <phoneticPr fontId="1" type="noConversion"/>
  </si>
  <si>
    <t>技能专精</t>
    <phoneticPr fontId="1" type="noConversion"/>
  </si>
  <si>
    <t>背包系统</t>
    <phoneticPr fontId="1" type="noConversion"/>
  </si>
  <si>
    <t>技能系统</t>
    <phoneticPr fontId="1" type="noConversion"/>
  </si>
  <si>
    <t>道具系统</t>
    <phoneticPr fontId="1" type="noConversion"/>
  </si>
  <si>
    <t>自定义角色</t>
    <phoneticPr fontId="1" type="noConversion"/>
  </si>
  <si>
    <t>main</t>
    <phoneticPr fontId="1" type="noConversion"/>
  </si>
  <si>
    <t>身体</t>
    <phoneticPr fontId="1" type="noConversion"/>
  </si>
  <si>
    <t>数量限制</t>
    <phoneticPr fontId="1" type="noConversion"/>
  </si>
  <si>
    <t>同类叠加</t>
    <phoneticPr fontId="1" type="noConversion"/>
  </si>
  <si>
    <t>装备</t>
    <phoneticPr fontId="1" type="noConversion"/>
  </si>
  <si>
    <t>换装</t>
    <phoneticPr fontId="1" type="noConversion"/>
  </si>
  <si>
    <t>后背挂件</t>
    <phoneticPr fontId="1" type="noConversion"/>
  </si>
  <si>
    <t>黑</t>
    <phoneticPr fontId="1" type="noConversion"/>
  </si>
  <si>
    <t>白</t>
    <phoneticPr fontId="1" type="noConversion"/>
  </si>
  <si>
    <t>性别</t>
    <phoneticPr fontId="1" type="noConversion"/>
  </si>
  <si>
    <t>肤色</t>
    <phoneticPr fontId="1" type="noConversion"/>
  </si>
  <si>
    <t>图案类型</t>
    <phoneticPr fontId="1" type="noConversion"/>
  </si>
  <si>
    <t>图案颜色</t>
    <phoneticPr fontId="1" type="noConversion"/>
  </si>
  <si>
    <t>Body材质</t>
    <phoneticPr fontId="1" type="noConversion"/>
  </si>
  <si>
    <t>男</t>
    <phoneticPr fontId="1" type="noConversion"/>
  </si>
  <si>
    <t>女</t>
    <phoneticPr fontId="1" type="noConversion"/>
  </si>
  <si>
    <t>棕</t>
    <phoneticPr fontId="1" type="noConversion"/>
  </si>
  <si>
    <t>Archer</t>
    <phoneticPr fontId="1" type="noConversion"/>
  </si>
  <si>
    <t>Barbarian</t>
  </si>
  <si>
    <t>Casual</t>
  </si>
  <si>
    <t>Knight</t>
  </si>
  <si>
    <t>L Dress</t>
  </si>
  <si>
    <t>Sorceress</t>
  </si>
  <si>
    <t>Black</t>
    <phoneticPr fontId="1" type="noConversion"/>
  </si>
  <si>
    <t>Blue</t>
    <phoneticPr fontId="1" type="noConversion"/>
  </si>
  <si>
    <t>Green</t>
    <phoneticPr fontId="1" type="noConversion"/>
  </si>
  <si>
    <t>Pink</t>
    <phoneticPr fontId="1" type="noConversion"/>
  </si>
  <si>
    <t>Purple</t>
    <phoneticPr fontId="1" type="noConversion"/>
  </si>
  <si>
    <t>文件名</t>
    <phoneticPr fontId="1" type="noConversion"/>
  </si>
  <si>
    <t>名称</t>
    <phoneticPr fontId="1" type="noConversion"/>
  </si>
  <si>
    <t>常规模型</t>
    <phoneticPr fontId="1" type="noConversion"/>
  </si>
  <si>
    <t>短裙模型</t>
    <phoneticPr fontId="1" type="noConversion"/>
  </si>
  <si>
    <t>长裙模型</t>
    <phoneticPr fontId="1" type="noConversion"/>
  </si>
  <si>
    <t>目录</t>
    <phoneticPr fontId="1" type="noConversion"/>
  </si>
  <si>
    <t>BaseBody</t>
    <phoneticPr fontId="1" type="noConversion"/>
  </si>
  <si>
    <t>分类2</t>
    <phoneticPr fontId="1" type="noConversion"/>
  </si>
  <si>
    <t>挂点2</t>
    <phoneticPr fontId="1" type="noConversion"/>
  </si>
  <si>
    <t>Base</t>
    <phoneticPr fontId="1" type="noConversion"/>
  </si>
  <si>
    <t>Beard 01</t>
    <phoneticPr fontId="1" type="noConversion"/>
  </si>
  <si>
    <t>Jaw 01</t>
    <phoneticPr fontId="1" type="noConversion"/>
  </si>
  <si>
    <t>Beard 02</t>
    <phoneticPr fontId="1" type="noConversion"/>
  </si>
  <si>
    <t>Beard 03</t>
    <phoneticPr fontId="1" type="noConversion"/>
  </si>
  <si>
    <t>Beard 04</t>
    <phoneticPr fontId="1" type="noConversion"/>
  </si>
  <si>
    <t>Beard</t>
    <phoneticPr fontId="1" type="noConversion"/>
  </si>
  <si>
    <t>兽人牙齿</t>
    <phoneticPr fontId="1" type="noConversion"/>
  </si>
  <si>
    <t>络腮胡</t>
    <phoneticPr fontId="1" type="noConversion"/>
  </si>
  <si>
    <t>山羊胡</t>
    <phoneticPr fontId="1" type="noConversion"/>
  </si>
  <si>
    <t>脏辫胡</t>
    <phoneticPr fontId="1" type="noConversion"/>
  </si>
  <si>
    <t>大胡子</t>
    <phoneticPr fontId="1" type="noConversion"/>
  </si>
  <si>
    <t>Head</t>
    <phoneticPr fontId="1" type="noConversion"/>
  </si>
  <si>
    <t>Bag</t>
    <phoneticPr fontId="1" type="noConversion"/>
  </si>
  <si>
    <t>行囊</t>
    <phoneticPr fontId="1" type="noConversion"/>
  </si>
  <si>
    <t>Back</t>
    <phoneticPr fontId="1" type="noConversion"/>
  </si>
  <si>
    <t>身体</t>
    <phoneticPr fontId="1" type="noConversion"/>
  </si>
  <si>
    <t>胡子</t>
    <phoneticPr fontId="1" type="noConversion"/>
  </si>
  <si>
    <t>背包</t>
    <phoneticPr fontId="1" type="noConversion"/>
  </si>
  <si>
    <t>角色</t>
    <phoneticPr fontId="1" type="noConversion"/>
  </si>
  <si>
    <t>装备</t>
    <phoneticPr fontId="1" type="noConversion"/>
  </si>
  <si>
    <t>耳朵</t>
    <phoneticPr fontId="1" type="noConversion"/>
  </si>
  <si>
    <t>妖精耳朵</t>
    <phoneticPr fontId="1" type="noConversion"/>
  </si>
  <si>
    <t>猫耳朵</t>
    <phoneticPr fontId="1" type="noConversion"/>
  </si>
  <si>
    <t>兔耳朵</t>
    <phoneticPr fontId="1" type="noConversion"/>
  </si>
  <si>
    <t>Ears</t>
    <phoneticPr fontId="1" type="noConversion"/>
  </si>
  <si>
    <t>Face</t>
    <phoneticPr fontId="1" type="noConversion"/>
  </si>
  <si>
    <t>表情</t>
    <phoneticPr fontId="1" type="noConversion"/>
  </si>
  <si>
    <t>Head</t>
    <phoneticPr fontId="1" type="noConversion"/>
  </si>
  <si>
    <t>头发</t>
    <phoneticPr fontId="1" type="noConversion"/>
  </si>
  <si>
    <t>Hair</t>
    <phoneticPr fontId="1" type="noConversion"/>
  </si>
  <si>
    <t>皇冠</t>
    <phoneticPr fontId="1" type="noConversion"/>
  </si>
  <si>
    <t>帽子</t>
    <phoneticPr fontId="1" type="noConversion"/>
  </si>
  <si>
    <t>头巾</t>
    <phoneticPr fontId="1" type="noConversion"/>
  </si>
  <si>
    <t>头盔</t>
    <phoneticPr fontId="1" type="noConversion"/>
  </si>
  <si>
    <t>面具</t>
    <phoneticPr fontId="1" type="noConversion"/>
  </si>
  <si>
    <t>Crown 02</t>
    <phoneticPr fontId="1" type="noConversion"/>
  </si>
  <si>
    <t>Head/Crown</t>
    <phoneticPr fontId="1" type="noConversion"/>
  </si>
  <si>
    <t>Head/Hat</t>
    <phoneticPr fontId="1" type="noConversion"/>
  </si>
  <si>
    <t>Head/Headband</t>
    <phoneticPr fontId="1" type="noConversion"/>
  </si>
  <si>
    <t>Head/Helmet</t>
    <phoneticPr fontId="1" type="noConversion"/>
  </si>
  <si>
    <t>Head/Mask</t>
    <phoneticPr fontId="1" type="noConversion"/>
  </si>
  <si>
    <t>Horn</t>
    <phoneticPr fontId="1" type="noConversion"/>
  </si>
  <si>
    <t>角</t>
    <phoneticPr fontId="1" type="noConversion"/>
  </si>
  <si>
    <t>鹿角</t>
    <phoneticPr fontId="1" type="noConversion"/>
  </si>
  <si>
    <t>前角</t>
    <phoneticPr fontId="1" type="noConversion"/>
  </si>
  <si>
    <t>恶魔角</t>
    <phoneticPr fontId="1" type="noConversion"/>
  </si>
  <si>
    <t>衣服</t>
    <phoneticPr fontId="1" type="noConversion"/>
  </si>
  <si>
    <t>Jacket</t>
    <phoneticPr fontId="1" type="noConversion"/>
  </si>
  <si>
    <t>Jacket 01</t>
    <phoneticPr fontId="1" type="noConversion"/>
  </si>
  <si>
    <t>Weapon/Axe</t>
    <phoneticPr fontId="1" type="noConversion"/>
  </si>
  <si>
    <t>Axe 01</t>
    <phoneticPr fontId="1" type="noConversion"/>
  </si>
  <si>
    <t>斧子</t>
    <phoneticPr fontId="1" type="noConversion"/>
  </si>
  <si>
    <t>双刃斧</t>
    <phoneticPr fontId="1" type="noConversion"/>
  </si>
  <si>
    <t>Weapon/Claw</t>
    <phoneticPr fontId="1" type="noConversion"/>
  </si>
  <si>
    <t>Claw 01</t>
    <phoneticPr fontId="1" type="noConversion"/>
  </si>
  <si>
    <t>三叉爪</t>
    <phoneticPr fontId="1" type="noConversion"/>
  </si>
  <si>
    <t>二叉爪</t>
    <phoneticPr fontId="1" type="noConversion"/>
  </si>
  <si>
    <t>立体抓</t>
    <phoneticPr fontId="1" type="noConversion"/>
  </si>
  <si>
    <t>Weapon/Club</t>
    <phoneticPr fontId="1" type="noConversion"/>
  </si>
  <si>
    <t>Club 01</t>
    <phoneticPr fontId="1" type="noConversion"/>
  </si>
  <si>
    <t>短棍</t>
    <phoneticPr fontId="1" type="noConversion"/>
  </si>
  <si>
    <t>狼牙棒</t>
    <phoneticPr fontId="1" type="noConversion"/>
  </si>
  <si>
    <t>钉头锤</t>
    <phoneticPr fontId="1" type="noConversion"/>
  </si>
  <si>
    <t>Weapon/Crossbow</t>
    <phoneticPr fontId="1" type="noConversion"/>
  </si>
  <si>
    <t>弩</t>
    <phoneticPr fontId="1" type="noConversion"/>
  </si>
  <si>
    <t>尖牙弩</t>
    <phoneticPr fontId="1" type="noConversion"/>
  </si>
  <si>
    <t>刺弩</t>
    <phoneticPr fontId="1" type="noConversion"/>
  </si>
  <si>
    <t>刺斧</t>
    <phoneticPr fontId="1" type="noConversion"/>
  </si>
  <si>
    <t>Weapon/Dagger</t>
    <phoneticPr fontId="1" type="noConversion"/>
  </si>
  <si>
    <t>匕首</t>
    <phoneticPr fontId="1" type="noConversion"/>
  </si>
  <si>
    <t>Guitar</t>
  </si>
  <si>
    <t>Weapon/Guitar</t>
    <phoneticPr fontId="1" type="noConversion"/>
  </si>
  <si>
    <t>吉他</t>
    <phoneticPr fontId="1" type="noConversion"/>
  </si>
  <si>
    <t>Weapon/Hammer</t>
    <phoneticPr fontId="1" type="noConversion"/>
  </si>
  <si>
    <t>铁锤</t>
    <phoneticPr fontId="1" type="noConversion"/>
  </si>
  <si>
    <t>钉锤</t>
    <phoneticPr fontId="1" type="noConversion"/>
  </si>
  <si>
    <t>雷锤</t>
    <phoneticPr fontId="1" type="noConversion"/>
  </si>
  <si>
    <t>Weapon/Knuckles</t>
    <phoneticPr fontId="1" type="noConversion"/>
  </si>
  <si>
    <t>三爪指节</t>
    <phoneticPr fontId="1" type="noConversion"/>
  </si>
  <si>
    <t>四爪指节</t>
    <phoneticPr fontId="1" type="noConversion"/>
  </si>
  <si>
    <t>六爪指节</t>
    <phoneticPr fontId="1" type="noConversion"/>
  </si>
  <si>
    <t>Weapon/Longbow</t>
    <phoneticPr fontId="1" type="noConversion"/>
  </si>
  <si>
    <t>长弓</t>
    <phoneticPr fontId="1" type="noConversion"/>
  </si>
  <si>
    <t>恶魔弓</t>
    <phoneticPr fontId="1" type="noConversion"/>
  </si>
  <si>
    <t>刺弓</t>
    <phoneticPr fontId="1" type="noConversion"/>
  </si>
  <si>
    <t>Weapon/Mace</t>
    <phoneticPr fontId="1" type="noConversion"/>
  </si>
  <si>
    <t>Bell 01</t>
    <phoneticPr fontId="1" type="noConversion"/>
  </si>
  <si>
    <t>铃铛</t>
    <phoneticPr fontId="1" type="noConversion"/>
  </si>
  <si>
    <t>Mace 01</t>
    <phoneticPr fontId="1" type="noConversion"/>
  </si>
  <si>
    <t>Mace 02</t>
    <phoneticPr fontId="1" type="noConversion"/>
  </si>
  <si>
    <t>大面锤</t>
    <phoneticPr fontId="1" type="noConversion"/>
  </si>
  <si>
    <t>小面锤</t>
    <phoneticPr fontId="1" type="noConversion"/>
  </si>
  <si>
    <t>Peasant Tool 01 Rake</t>
    <phoneticPr fontId="1" type="noConversion"/>
  </si>
  <si>
    <t>钉耙</t>
    <phoneticPr fontId="1" type="noConversion"/>
  </si>
  <si>
    <t>短锤</t>
    <phoneticPr fontId="1" type="noConversion"/>
  </si>
  <si>
    <t>伐木斧</t>
    <phoneticPr fontId="1" type="noConversion"/>
  </si>
  <si>
    <t>镰刀</t>
    <phoneticPr fontId="1" type="noConversion"/>
  </si>
  <si>
    <t>鹤嘴锄</t>
  </si>
  <si>
    <t>Weapon/PeasantTool</t>
    <phoneticPr fontId="1" type="noConversion"/>
  </si>
  <si>
    <t>Weapon/Quiver</t>
    <phoneticPr fontId="1" type="noConversion"/>
  </si>
  <si>
    <t>Quiver 01</t>
    <phoneticPr fontId="1" type="noConversion"/>
  </si>
  <si>
    <t>箭袋</t>
    <phoneticPr fontId="1" type="noConversion"/>
  </si>
  <si>
    <t>Weapon/Scepter</t>
    <phoneticPr fontId="1" type="noConversion"/>
  </si>
  <si>
    <t>权杖</t>
    <phoneticPr fontId="1" type="noConversion"/>
  </si>
  <si>
    <t>Weapon/Scythe</t>
    <phoneticPr fontId="1" type="noConversion"/>
  </si>
  <si>
    <t>Scythe 01</t>
    <phoneticPr fontId="1" type="noConversion"/>
  </si>
  <si>
    <t>钝头镰</t>
    <phoneticPr fontId="1" type="noConversion"/>
  </si>
  <si>
    <t>刺镰</t>
    <phoneticPr fontId="1" type="noConversion"/>
  </si>
  <si>
    <t>双刃镰</t>
    <phoneticPr fontId="1" type="noConversion"/>
  </si>
  <si>
    <t>Weapon/Shield</t>
    <phoneticPr fontId="1" type="noConversion"/>
  </si>
  <si>
    <t>方盾</t>
    <phoneticPr fontId="1" type="noConversion"/>
  </si>
  <si>
    <t>八角盾</t>
    <phoneticPr fontId="1" type="noConversion"/>
  </si>
  <si>
    <t>菱形盾</t>
    <phoneticPr fontId="1" type="noConversion"/>
  </si>
  <si>
    <t>甲盾</t>
    <phoneticPr fontId="1" type="noConversion"/>
  </si>
  <si>
    <t>尖刺盾</t>
    <phoneticPr fontId="1" type="noConversion"/>
  </si>
  <si>
    <t>三角盾</t>
    <phoneticPr fontId="1" type="noConversion"/>
  </si>
  <si>
    <t>八角盾2</t>
    <phoneticPr fontId="1" type="noConversion"/>
  </si>
  <si>
    <t>八角盾3</t>
    <phoneticPr fontId="1" type="noConversion"/>
  </si>
  <si>
    <t>星盾</t>
    <phoneticPr fontId="1" type="noConversion"/>
  </si>
  <si>
    <t>Weapon/Spear</t>
    <phoneticPr fontId="1" type="noConversion"/>
  </si>
  <si>
    <t>长矛</t>
    <phoneticPr fontId="1" type="noConversion"/>
  </si>
  <si>
    <t>鱼骨矛</t>
    <phoneticPr fontId="1" type="noConversion"/>
  </si>
  <si>
    <t>二叉矛</t>
    <phoneticPr fontId="1" type="noConversion"/>
  </si>
  <si>
    <t>Weapon/Sword</t>
    <phoneticPr fontId="1" type="noConversion"/>
  </si>
  <si>
    <t>阔剑</t>
    <phoneticPr fontId="1" type="noConversion"/>
  </si>
  <si>
    <t>单刃剑</t>
    <phoneticPr fontId="1" type="noConversion"/>
  </si>
  <si>
    <t>匕首剑</t>
    <phoneticPr fontId="1" type="noConversion"/>
  </si>
  <si>
    <t>双刃剑</t>
    <phoneticPr fontId="1" type="noConversion"/>
  </si>
  <si>
    <t>放血剑</t>
    <phoneticPr fontId="1" type="noConversion"/>
  </si>
  <si>
    <t>齿剑</t>
    <phoneticPr fontId="1" type="noConversion"/>
  </si>
  <si>
    <t>金蛇剑</t>
    <phoneticPr fontId="1" type="noConversion"/>
  </si>
  <si>
    <t>大菜刀</t>
    <phoneticPr fontId="1" type="noConversion"/>
  </si>
  <si>
    <t>玉骨剑</t>
    <phoneticPr fontId="1" type="noConversion"/>
  </si>
  <si>
    <t>帝王剑</t>
    <phoneticPr fontId="1" type="noConversion"/>
  </si>
  <si>
    <t>Weapon/THAce</t>
    <phoneticPr fontId="1" type="noConversion"/>
  </si>
  <si>
    <t>双手异刃斧</t>
    <phoneticPr fontId="1" type="noConversion"/>
  </si>
  <si>
    <t>双手刺斧</t>
    <phoneticPr fontId="1" type="noConversion"/>
  </si>
  <si>
    <t>双手宽斧</t>
    <phoneticPr fontId="1" type="noConversion"/>
  </si>
  <si>
    <t>Weapon/THSword</t>
    <phoneticPr fontId="1" type="noConversion"/>
  </si>
  <si>
    <t>双手阔剑</t>
    <phoneticPr fontId="1" type="noConversion"/>
  </si>
  <si>
    <t>TH Sword 02</t>
    <phoneticPr fontId="1" type="noConversion"/>
  </si>
  <si>
    <t>双手大砍刀</t>
    <phoneticPr fontId="1" type="noConversion"/>
  </si>
  <si>
    <t>双手重剑</t>
    <phoneticPr fontId="1" type="noConversion"/>
  </si>
  <si>
    <t>Weapon/Wand</t>
    <phoneticPr fontId="1" type="noConversion"/>
  </si>
  <si>
    <t>Wand 01 Stick</t>
    <phoneticPr fontId="1" type="noConversion"/>
  </si>
  <si>
    <t>Wand 02</t>
    <phoneticPr fontId="1" type="noConversion"/>
  </si>
  <si>
    <t>Wing</t>
    <phoneticPr fontId="1" type="noConversion"/>
  </si>
  <si>
    <t>性别</t>
    <phoneticPr fontId="1" type="noConversion"/>
  </si>
  <si>
    <t>通用</t>
    <phoneticPr fontId="1" type="noConversion"/>
  </si>
  <si>
    <t>女性</t>
    <phoneticPr fontId="1" type="noConversion"/>
  </si>
  <si>
    <t>男性</t>
    <phoneticPr fontId="1" type="noConversion"/>
  </si>
  <si>
    <t>侧角</t>
    <phoneticPr fontId="1" type="noConversion"/>
  </si>
  <si>
    <t>翅膀</t>
    <phoneticPr fontId="1" type="noConversion"/>
  </si>
  <si>
    <t>Back</t>
    <phoneticPr fontId="1" type="noConversion"/>
  </si>
  <si>
    <t>Head</t>
    <phoneticPr fontId="1" type="noConversion"/>
  </si>
  <si>
    <t>Base</t>
    <phoneticPr fontId="1" type="noConversion"/>
  </si>
  <si>
    <t>Right</t>
    <phoneticPr fontId="1" type="noConversion"/>
  </si>
  <si>
    <t>Both</t>
    <phoneticPr fontId="1" type="noConversion"/>
  </si>
  <si>
    <t>Left</t>
    <phoneticPr fontId="1" type="noConversion"/>
  </si>
  <si>
    <t>爪子</t>
    <phoneticPr fontId="1" type="noConversion"/>
  </si>
  <si>
    <t>弩</t>
    <phoneticPr fontId="1" type="noConversion"/>
  </si>
  <si>
    <t>匕首</t>
    <phoneticPr fontId="1" type="noConversion"/>
  </si>
  <si>
    <t>吉他</t>
    <phoneticPr fontId="1" type="noConversion"/>
  </si>
  <si>
    <t>锤子</t>
    <phoneticPr fontId="1" type="noConversion"/>
  </si>
  <si>
    <t>圈套</t>
    <phoneticPr fontId="1" type="noConversion"/>
  </si>
  <si>
    <t>长弓</t>
    <phoneticPr fontId="1" type="noConversion"/>
  </si>
  <si>
    <t>农具</t>
    <phoneticPr fontId="1" type="noConversion"/>
  </si>
  <si>
    <t>箭袋</t>
    <phoneticPr fontId="1" type="noConversion"/>
  </si>
  <si>
    <t>权杖</t>
    <phoneticPr fontId="1" type="noConversion"/>
  </si>
  <si>
    <t>镰刀</t>
    <phoneticPr fontId="1" type="noConversion"/>
  </si>
  <si>
    <t>盾牌</t>
    <phoneticPr fontId="1" type="noConversion"/>
  </si>
  <si>
    <t>长柄</t>
    <phoneticPr fontId="1" type="noConversion"/>
  </si>
  <si>
    <t>剑</t>
    <phoneticPr fontId="1" type="noConversion"/>
  </si>
  <si>
    <t>双手斧</t>
    <phoneticPr fontId="1" type="noConversion"/>
  </si>
  <si>
    <t>双手剑</t>
    <phoneticPr fontId="1" type="noConversion"/>
  </si>
  <si>
    <t>法杖</t>
    <phoneticPr fontId="1" type="noConversion"/>
  </si>
  <si>
    <t>公鸡头</t>
    <phoneticPr fontId="1" type="noConversion"/>
  </si>
  <si>
    <t>装备</t>
    <phoneticPr fontId="1" type="noConversion"/>
  </si>
  <si>
    <t>特殊</t>
    <phoneticPr fontId="1" type="noConversion"/>
  </si>
  <si>
    <t>女</t>
    <phoneticPr fontId="1" type="noConversion"/>
  </si>
  <si>
    <t>绿</t>
    <phoneticPr fontId="1" type="noConversion"/>
  </si>
  <si>
    <t>紫</t>
    <phoneticPr fontId="1" type="noConversion"/>
  </si>
  <si>
    <t>1..2..3..</t>
    <phoneticPr fontId="1" type="noConversion"/>
  </si>
  <si>
    <t>编号</t>
    <phoneticPr fontId="1" type="noConversion"/>
  </si>
  <si>
    <t>Mesh</t>
    <phoneticPr fontId="1" type="noConversion"/>
  </si>
  <si>
    <t>Material</t>
  </si>
  <si>
    <t>Body</t>
    <phoneticPr fontId="1" type="noConversion"/>
  </si>
  <si>
    <t>身体部分五大部件</t>
    <phoneticPr fontId="1" type="noConversion"/>
  </si>
  <si>
    <t>MeshType</t>
    <phoneticPr fontId="1" type="noConversion"/>
  </si>
  <si>
    <t>Female Aqua 01 Blue</t>
  </si>
  <si>
    <t>Female Aqua 01 Cyan</t>
  </si>
  <si>
    <t>Female Black Archer 01 Black</t>
  </si>
  <si>
    <t>Female Black Archer 01 Blue</t>
  </si>
  <si>
    <t>Female Black Archer 01 Green</t>
  </si>
  <si>
    <t>Female Black Archer 01 Magenta</t>
  </si>
  <si>
    <t>Female Black Archer 01 Purple</t>
  </si>
  <si>
    <t>Female Black Archer 01 White</t>
  </si>
  <si>
    <t>Female Black Archer 02 Black</t>
  </si>
  <si>
    <t>Female Black Archer 02 Blue</t>
  </si>
  <si>
    <t>Female Black Archer 02 Green</t>
  </si>
  <si>
    <t>Female Black Archer 02 Lime</t>
  </si>
  <si>
    <t>Female Black Archer 02 Magenta</t>
  </si>
  <si>
    <t>Female Black Archer 02 Purple</t>
  </si>
  <si>
    <t>Female Black Archer 02 White</t>
  </si>
  <si>
    <t>Female Black Archer 03 Black</t>
  </si>
  <si>
    <t>Female Black Archer 03 Blue</t>
  </si>
  <si>
    <t>Female Black Archer 03 Green</t>
  </si>
  <si>
    <t>Female Black Archer 03 Maroon</t>
  </si>
  <si>
    <t>Female Black Archer 03 Olive</t>
  </si>
  <si>
    <t>Female Black Archer 03 Purple</t>
  </si>
  <si>
    <t>Female Black Archer 03 White</t>
  </si>
  <si>
    <t>Female Black Archer 04 Black</t>
  </si>
  <si>
    <t>Female Black Archer 04 Blue</t>
  </si>
  <si>
    <t>Female Black Archer 04 Green</t>
  </si>
  <si>
    <t>Female Black Archer 04 Magenta</t>
  </si>
  <si>
    <t>Female Black Archer 04 Purple</t>
  </si>
  <si>
    <t>Female Black Archer 04 Red</t>
  </si>
  <si>
    <t>Female Black Archer 04 White</t>
  </si>
  <si>
    <t>Female Black Archer 04 Yellow</t>
  </si>
  <si>
    <t>Female Black Archer 05 Black</t>
  </si>
  <si>
    <t>Female Black Archer 05 Blue</t>
  </si>
  <si>
    <t>Female Black Archer 05 Green</t>
  </si>
  <si>
    <t>Female Black Archer 05 Magenta</t>
  </si>
  <si>
    <t>Female Black Archer 05 Purple</t>
  </si>
  <si>
    <t>Female Black Archer 05 Red</t>
  </si>
  <si>
    <t>Female Black Archer 05 White</t>
  </si>
  <si>
    <t>Female Black Archer 05 Yellow</t>
  </si>
  <si>
    <t>Female Black Barbarian 01 Blue</t>
  </si>
  <si>
    <t>Female Black Barbarian 01 Green</t>
  </si>
  <si>
    <t>Female Black Barbarian 01 Pink</t>
  </si>
  <si>
    <t>Female Black Barbarian 01 Purple</t>
  </si>
  <si>
    <t>Female Black Barbarian 01 Yellow</t>
  </si>
  <si>
    <t>Female Black Barbarian 02 Black</t>
  </si>
  <si>
    <t>Female Black Barbarian 02 Blue</t>
  </si>
  <si>
    <t>Female Black Barbarian 02 Green</t>
  </si>
  <si>
    <t>Female Black Barbarian 02 Purple</t>
  </si>
  <si>
    <t>Female Black Barbarian 02 Red</t>
  </si>
  <si>
    <t>Female Black Barbarian 02 White</t>
  </si>
  <si>
    <t>Female Black Barbarian 03 Black</t>
  </si>
  <si>
    <t>Female Black Barbarian 03 Blue</t>
  </si>
  <si>
    <t>Female Black Barbarian 03 Brown</t>
  </si>
  <si>
    <t>Female Black Barbarian 03 Green</t>
  </si>
  <si>
    <t>Female Black Barbarian 03 Magenta</t>
  </si>
  <si>
    <t>Female Black Barbarian 03 Purple</t>
  </si>
  <si>
    <t>Female Black Barbarian 03 Red</t>
  </si>
  <si>
    <t>Female Black Barbarian 03 White</t>
  </si>
  <si>
    <t>Female Black Barbarian 04 Black</t>
  </si>
  <si>
    <t>Female Black Barbarian 04 Blue</t>
  </si>
  <si>
    <t>Female Black Barbarian 04 Green</t>
  </si>
  <si>
    <t>Female Black Barbarian 04 Magenta</t>
  </si>
  <si>
    <t>Female Black Barbarian 04 Purple</t>
  </si>
  <si>
    <t>Female Black Barbarian 04 Red</t>
  </si>
  <si>
    <t>Female Black Barbarian 04 White</t>
  </si>
  <si>
    <t>Female Black Barbarian 04 Yellow</t>
  </si>
  <si>
    <t>Female Black Barbarian 05 Black</t>
  </si>
  <si>
    <t>Female Black Barbarian 05 Blue</t>
  </si>
  <si>
    <t>Female Black Barbarian 05 Green</t>
  </si>
  <si>
    <t>Female Black Barbarian 05 Magenta</t>
  </si>
  <si>
    <t>Female Black Barbarian 05 Purple</t>
  </si>
  <si>
    <t>Female Black Barbarian 05 Red</t>
  </si>
  <si>
    <t>Female Black Barbarian 05 White</t>
  </si>
  <si>
    <t>Female Black Barbarian 05 Yellow</t>
  </si>
  <si>
    <t>Female Black Casual 01A</t>
  </si>
  <si>
    <t>Female Black Casual 01B</t>
  </si>
  <si>
    <t>Female Black Casual 01C</t>
  </si>
  <si>
    <t>Female Black Casual 02A</t>
  </si>
  <si>
    <t>Female Black Casual 02B</t>
  </si>
  <si>
    <t>Female Black Casual 02C</t>
  </si>
  <si>
    <t>Female Black Casual 03A</t>
  </si>
  <si>
    <t>Female Black Casual 03B</t>
  </si>
  <si>
    <t>Female Black Casual 03C</t>
  </si>
  <si>
    <t>Female Black Casual 04A</t>
  </si>
  <si>
    <t>Female Black Casual 04B</t>
  </si>
  <si>
    <t>Female Black Casual 04C</t>
  </si>
  <si>
    <t>Female Black Casual 05A</t>
  </si>
  <si>
    <t>Female Black Casual 05B</t>
  </si>
  <si>
    <t>Female Black Casual 05C</t>
  </si>
  <si>
    <t>Female Black Casual 06A</t>
  </si>
  <si>
    <t>Female Black Casual 06B</t>
  </si>
  <si>
    <t>Female Black Casual 06C</t>
  </si>
  <si>
    <t>Female Black Casual 07A</t>
  </si>
  <si>
    <t>Female Black Casual 07B</t>
  </si>
  <si>
    <t>Female Black Casual 07C</t>
  </si>
  <si>
    <t>Female Black Casual 08A</t>
  </si>
  <si>
    <t>Female Black Casual 08B</t>
  </si>
  <si>
    <t>Female Black Casual 08C</t>
  </si>
  <si>
    <t>Female Black Elf 01</t>
  </si>
  <si>
    <t>Female Black Knight 01 Black</t>
  </si>
  <si>
    <t>Female Black Knight 01 Blue</t>
  </si>
  <si>
    <t>Female Black Knight 01 Green</t>
  </si>
  <si>
    <t>Female Black Knight 01 Purple</t>
  </si>
  <si>
    <t>Female Black Knight 01 Red</t>
  </si>
  <si>
    <t>Female Black Knight 01 White</t>
  </si>
  <si>
    <t>Female Black Knight 02 Black</t>
  </si>
  <si>
    <t>Female Black Knight 02 Blue</t>
  </si>
  <si>
    <t>Female Black Knight 02 Green</t>
  </si>
  <si>
    <t>Female Black Knight 02 Purple</t>
  </si>
  <si>
    <t>Female Black Knight 02 Red</t>
  </si>
  <si>
    <t>Female Black Knight 02 White</t>
  </si>
  <si>
    <t>Female Black Knight 03 Black</t>
  </si>
  <si>
    <t>Female Black Knight 03 Blue</t>
  </si>
  <si>
    <t>Female Black Knight 03 Green</t>
  </si>
  <si>
    <t>Female Black Knight 03 Purple</t>
  </si>
  <si>
    <t>Female Black Knight 03 Red</t>
  </si>
  <si>
    <t>Female Black Knight 03 White</t>
  </si>
  <si>
    <t>Female Black Knight 04 Black</t>
  </si>
  <si>
    <t>Female Black Knight 04 Blue</t>
  </si>
  <si>
    <t>Female Black Knight 04 Green</t>
  </si>
  <si>
    <t>Female Black Knight 04 Magenta</t>
  </si>
  <si>
    <t>Female Black Knight 04 Purple</t>
  </si>
  <si>
    <t>Female Black Knight 04 Red</t>
  </si>
  <si>
    <t>Female Black Knight 04 White</t>
  </si>
  <si>
    <t>Female Black Knight 04 Yellow</t>
  </si>
  <si>
    <t>Female Black Knight 05 Black</t>
  </si>
  <si>
    <t>Female Black Knight 05 Blue</t>
  </si>
  <si>
    <t>Female Black Knight 05 Green</t>
  </si>
  <si>
    <t>Female Black Knight 05 Magenta</t>
  </si>
  <si>
    <t>Female Black Knight 05 Purple</t>
  </si>
  <si>
    <t>Female Black Knight 05 Red</t>
  </si>
  <si>
    <t>Female Black Knight 05 White</t>
  </si>
  <si>
    <t>Female Black Knight 05 Yellow</t>
  </si>
  <si>
    <t>Female Black Knight 06 Black</t>
  </si>
  <si>
    <t>Female Black Knight 06 Blue</t>
  </si>
  <si>
    <t>Female Black Knight 06 Green</t>
  </si>
  <si>
    <t>Female Black Knight 06 Magenta</t>
  </si>
  <si>
    <t>Female Black Knight 06 Purple</t>
  </si>
  <si>
    <t>Female Black Knight 06 Red</t>
  </si>
  <si>
    <t>Female Black Knight 06 White</t>
  </si>
  <si>
    <t>Female Black Knight 06 Yellow</t>
  </si>
  <si>
    <t>Female Black Naked</t>
  </si>
  <si>
    <t>Female Black Sorceress 01 Black</t>
  </si>
  <si>
    <t>Female Black Sorceress 01 Blue</t>
  </si>
  <si>
    <t>Female Black Sorceress 01 Green</t>
  </si>
  <si>
    <t>Female Black Sorceress 01 Pink</t>
  </si>
  <si>
    <t>Female Black Sorceress 01 Purple</t>
  </si>
  <si>
    <t>Female Black Sorceress 02 Blue</t>
  </si>
  <si>
    <t>Female Black Sorceress 02 Green</t>
  </si>
  <si>
    <t>Female Black Sorceress 02 Purple</t>
  </si>
  <si>
    <t>Female Black Sorceress 02 Red</t>
  </si>
  <si>
    <t>Female Black Sorceress 03 Black</t>
  </si>
  <si>
    <t>Female Black Sorceress 03 Blue</t>
  </si>
  <si>
    <t>Female Black Sorceress 03 Brown</t>
  </si>
  <si>
    <t>Female Black Sorceress 03 Green</t>
  </si>
  <si>
    <t>Female Black Sorceress 03 Purple</t>
  </si>
  <si>
    <t>Female Black Sorceress 03 Red</t>
  </si>
  <si>
    <t>Female Black Sorceress 03 White</t>
  </si>
  <si>
    <t>Female Black Sorceress 04 Black</t>
  </si>
  <si>
    <t>Female Black Sorceress 04 Blue</t>
  </si>
  <si>
    <t>Female Black Sorceress 04 Brown</t>
  </si>
  <si>
    <t>Female Black Sorceress 04 Green</t>
  </si>
  <si>
    <t>Female Black Sorceress 04 Magenta</t>
  </si>
  <si>
    <t>Female Black Sorceress 04 Purple</t>
  </si>
  <si>
    <t>Female Black Sorceress 04 Red</t>
  </si>
  <si>
    <t>Female Black Sorceress 04 White</t>
  </si>
  <si>
    <t>Female Black Sorceress 05 Black</t>
  </si>
  <si>
    <t>Female Black Sorceress 05 Blue</t>
  </si>
  <si>
    <t>Female Black Sorceress 05 Brown</t>
  </si>
  <si>
    <t>Female Black Sorceress 05 Green</t>
  </si>
  <si>
    <t>Female Black Sorceress 05 Magenta</t>
  </si>
  <si>
    <t>Female Black Sorceress 05 Purple</t>
  </si>
  <si>
    <t>Female Black Sorceress 05 Red</t>
  </si>
  <si>
    <t>Female Black Sorceress 05 White</t>
  </si>
  <si>
    <t>Female Black Sorceress 06 Black</t>
  </si>
  <si>
    <t>Female Black Sorceress 06 Blue</t>
  </si>
  <si>
    <t>Female Black Sorceress 06 Brown</t>
  </si>
  <si>
    <t>Female Black Sorceress 06 Green</t>
  </si>
  <si>
    <t>Female Black Sorceress 06 Magenta</t>
  </si>
  <si>
    <t>Female Black Sorceress 06 Purple</t>
  </si>
  <si>
    <t>Female Black Sorceress 06 Red</t>
  </si>
  <si>
    <t>Female Black Sorceress 06 White</t>
  </si>
  <si>
    <t>Female Brown Archer 01 Black</t>
  </si>
  <si>
    <t>Female Brown Archer 01 Blue</t>
  </si>
  <si>
    <t>Female Brown Archer 01 Green</t>
  </si>
  <si>
    <t>Female Brown Archer 01 Magenta</t>
  </si>
  <si>
    <t>Female Brown Archer 01 Purple</t>
  </si>
  <si>
    <t>Female Brown Archer 01 White</t>
  </si>
  <si>
    <t>Female Brown Archer 02 Black</t>
  </si>
  <si>
    <t>Female Brown Archer 02 Blue</t>
  </si>
  <si>
    <t>Female Brown Archer 02 Green</t>
  </si>
  <si>
    <t>Female Brown Archer 02 Lime</t>
  </si>
  <si>
    <t>Female Brown Archer 02 Magenta</t>
  </si>
  <si>
    <t>Female Brown Archer 02 Purple</t>
  </si>
  <si>
    <t>Female Brown Archer 02 White</t>
  </si>
  <si>
    <t>Female Brown Archer 03 Black</t>
  </si>
  <si>
    <t>Female Brown Archer 03 Blue</t>
  </si>
  <si>
    <t>Female Brown Archer 03 Green</t>
  </si>
  <si>
    <t>Female Brown Archer 03 Maroon</t>
  </si>
  <si>
    <t>Female Brown Archer 03 Olive</t>
  </si>
  <si>
    <t>Female Brown Archer 03 Purple</t>
  </si>
  <si>
    <t>Female Brown Archer 03 White</t>
  </si>
  <si>
    <t>Female Brown Archer 04 Black</t>
  </si>
  <si>
    <t>Female Brown Archer 04 Blue</t>
  </si>
  <si>
    <t>Female Brown Archer 04 Green</t>
  </si>
  <si>
    <t>Female Brown Archer 04 Magenta</t>
  </si>
  <si>
    <t>Female Brown Archer 04 Purple</t>
  </si>
  <si>
    <t>Female Brown Archer 04 Red</t>
  </si>
  <si>
    <t>Female Brown Archer 04 White</t>
  </si>
  <si>
    <t>Female Brown Archer 04 Yellow</t>
  </si>
  <si>
    <t>Female Brown Archer 05 Black</t>
  </si>
  <si>
    <t>Female Brown Archer 05 Blue</t>
  </si>
  <si>
    <t>Female Brown Archer 05 Green</t>
  </si>
  <si>
    <t>Female Brown Archer 05 Magenta</t>
  </si>
  <si>
    <t>Female Brown Archer 05 Purple</t>
  </si>
  <si>
    <t>Female Brown Archer 05 Red</t>
  </si>
  <si>
    <t>Female Brown Archer 05 White</t>
  </si>
  <si>
    <t>Female Brown Archer 05 Yellow</t>
  </si>
  <si>
    <t>Female Brown Barbarian 01 Blue</t>
  </si>
  <si>
    <t>Female Brown Barbarian 01 Green</t>
  </si>
  <si>
    <t>Female Brown Barbarian 01 Pink</t>
  </si>
  <si>
    <t>Female Brown Barbarian 01 Purple</t>
  </si>
  <si>
    <t>Female Brown Barbarian 01 Yellow</t>
  </si>
  <si>
    <t>Female Brown Barbarian 02 Black</t>
  </si>
  <si>
    <t>Female Brown Barbarian 02 Blue</t>
  </si>
  <si>
    <t>Female Brown Barbarian 02 Green</t>
  </si>
  <si>
    <t>Female Brown Barbarian 02 Purple</t>
  </si>
  <si>
    <t>Female Brown Barbarian 02 Red</t>
  </si>
  <si>
    <t>Female Brown Barbarian 02 White</t>
  </si>
  <si>
    <t>Female Brown Barbarian 03 Black</t>
  </si>
  <si>
    <t>Female Brown Barbarian 03 Blue</t>
  </si>
  <si>
    <t>Female Brown Barbarian 03 Brown</t>
  </si>
  <si>
    <t>Female Brown Barbarian 03 Green</t>
  </si>
  <si>
    <t>Female Brown Barbarian 03 Magenta</t>
  </si>
  <si>
    <t>Female Brown Barbarian 03 Purple</t>
  </si>
  <si>
    <t>Female Brown Barbarian 03 Red</t>
  </si>
  <si>
    <t>Female Brown Barbarian 03 White</t>
  </si>
  <si>
    <t>Female Brown Barbarian 04 Black</t>
  </si>
  <si>
    <t>Female Brown Barbarian 04 Blue</t>
  </si>
  <si>
    <t>Female Brown Barbarian 04 Green</t>
  </si>
  <si>
    <t>Female Brown Barbarian 04 Magenta</t>
  </si>
  <si>
    <t>Female Brown Barbarian 04 Purple</t>
  </si>
  <si>
    <t>Female Brown Barbarian 04 Red</t>
  </si>
  <si>
    <t>Female Brown Barbarian 04 White</t>
  </si>
  <si>
    <t>Female Brown Barbarian 04 Yellow</t>
  </si>
  <si>
    <t>Female Brown Barbarian 05 Black</t>
  </si>
  <si>
    <t>Female Brown Barbarian 05 Blue</t>
  </si>
  <si>
    <t>Female Brown Barbarian 05 Green</t>
  </si>
  <si>
    <t>Female Brown Barbarian 05 Magenta</t>
  </si>
  <si>
    <t>Female Brown Barbarian 05 Purple</t>
  </si>
  <si>
    <t>Female Brown Barbarian 05 Red</t>
  </si>
  <si>
    <t>Female Brown Barbarian 05 White</t>
  </si>
  <si>
    <t>Female Brown Barbarian 05 Yellow</t>
  </si>
  <si>
    <t>Female Brown Casual 01A</t>
  </si>
  <si>
    <t>Female Brown Casual 01B</t>
  </si>
  <si>
    <t>Female Brown Casual 01C</t>
  </si>
  <si>
    <t>Female Brown Casual 02A</t>
  </si>
  <si>
    <t>Female Brown Casual 02B</t>
  </si>
  <si>
    <t>Female Brown Casual 02C</t>
  </si>
  <si>
    <t>Female Brown Casual 03A</t>
  </si>
  <si>
    <t>Female Brown Casual 03B</t>
  </si>
  <si>
    <t>Female Brown Casual 03C</t>
  </si>
  <si>
    <t>Female Brown Casual 04A</t>
  </si>
  <si>
    <t>Female Brown Casual 04B</t>
  </si>
  <si>
    <t>Female Brown Casual 04C</t>
  </si>
  <si>
    <t>Female Brown Casual 05A</t>
  </si>
  <si>
    <t>Female Brown Casual 05B</t>
  </si>
  <si>
    <t>Female Brown Casual 05C</t>
  </si>
  <si>
    <t>Female Brown Casual 06A</t>
  </si>
  <si>
    <t>Female Brown Casual 06B</t>
  </si>
  <si>
    <t>Female Brown Casual 06C</t>
  </si>
  <si>
    <t>Female Brown Casual 07A</t>
  </si>
  <si>
    <t>Female Brown Casual 07B</t>
  </si>
  <si>
    <t>Female Brown Casual 07C</t>
  </si>
  <si>
    <t>Female Brown Casual 08A</t>
  </si>
  <si>
    <t>Female Brown Casual 08B</t>
  </si>
  <si>
    <t>Female Brown Casual 08C</t>
  </si>
  <si>
    <t>Female Brown Elf 01</t>
  </si>
  <si>
    <t>Female Brown Knight 01 Black</t>
  </si>
  <si>
    <t>Female Brown Knight 01 Blue</t>
  </si>
  <si>
    <t>Female Brown Knight 01 Green</t>
  </si>
  <si>
    <t>Female Brown Knight 01 Purple</t>
  </si>
  <si>
    <t>Female Brown Knight 01 Red</t>
  </si>
  <si>
    <t>Female Brown Knight 01 White</t>
  </si>
  <si>
    <t>Female Brown Knight 02 Black</t>
  </si>
  <si>
    <t>Female Brown Knight 02 Blue</t>
  </si>
  <si>
    <t>Female Brown Knight 02 Green</t>
  </si>
  <si>
    <t>Female Brown Knight 02 Purple</t>
  </si>
  <si>
    <t>Female Brown Knight 02 Red</t>
  </si>
  <si>
    <t>Female Brown Knight 02 White</t>
  </si>
  <si>
    <t>Female Brown Knight 03 Black</t>
  </si>
  <si>
    <t>Female Brown Knight 03 Blue</t>
  </si>
  <si>
    <t>Female Brown Knight 03 Green</t>
  </si>
  <si>
    <t>Female Brown Knight 03 Purple</t>
  </si>
  <si>
    <t>Female Brown Knight 03 Red</t>
  </si>
  <si>
    <t>Female Brown Knight 03 White</t>
  </si>
  <si>
    <t>Female Brown Knight 04 Black</t>
  </si>
  <si>
    <t>Female Brown Knight 04 Blue</t>
  </si>
  <si>
    <t>Female Brown Knight 04 Green</t>
  </si>
  <si>
    <t>Female Brown Knight 04 Magenta</t>
  </si>
  <si>
    <t>Female Brown Knight 04 Purple</t>
  </si>
  <si>
    <t>Female Brown Knight 04 Red</t>
  </si>
  <si>
    <t>Female Brown Knight 04 White</t>
  </si>
  <si>
    <t>Female Brown Knight 04 Yellow</t>
  </si>
  <si>
    <t>Female Brown Knight 05 Blue</t>
  </si>
  <si>
    <t>Female Brown Knight 05 Green</t>
  </si>
  <si>
    <t>Female Brown Knight 05 Magenta</t>
  </si>
  <si>
    <t>Female Brown Knight 05 Purple</t>
  </si>
  <si>
    <t>Female Brown Knight 05 Red</t>
  </si>
  <si>
    <t>Female Brown Knight 05 White</t>
  </si>
  <si>
    <t>Female Brown Knight 05 Yellow</t>
  </si>
  <si>
    <t>Female Brown Knight 06 Black</t>
  </si>
  <si>
    <t>Female Brown Knight 06 Blue</t>
  </si>
  <si>
    <t>Female Brown Knight 06 Green</t>
  </si>
  <si>
    <t>Female Brown Knight 06 Magenta</t>
  </si>
  <si>
    <t>Female Brown Knight 06 Purple</t>
  </si>
  <si>
    <t>Female Brown Knight 06 Red</t>
  </si>
  <si>
    <t>Female Brown Knight 06 White</t>
  </si>
  <si>
    <t>Female Brown Knight 06 Yellow</t>
  </si>
  <si>
    <t>Female Brown Naked</t>
  </si>
  <si>
    <t>Female Brown Sorceress 01 Black</t>
  </si>
  <si>
    <t>Female Brown Sorceress 01 Blue</t>
  </si>
  <si>
    <t>Female Brown Sorceress 01 Green</t>
  </si>
  <si>
    <t>Female Brown Sorceress 01 Pink</t>
  </si>
  <si>
    <t>Female Brown Sorceress 01 Purple</t>
  </si>
  <si>
    <t>Female Brown Sorceress 02 Blue</t>
  </si>
  <si>
    <t>Female Brown Sorceress 02 Green</t>
  </si>
  <si>
    <t>Female Brown Sorceress 02 Purple</t>
  </si>
  <si>
    <t>Female Brown Sorceress 02 Red</t>
  </si>
  <si>
    <t>Female Brown Sorceress 03 Black</t>
  </si>
  <si>
    <t>Female Brown Sorceress 03 Blue</t>
  </si>
  <si>
    <t>Female Brown Sorceress 03 Brown</t>
  </si>
  <si>
    <t>Female Brown Sorceress 03 Green</t>
  </si>
  <si>
    <t>Female Brown Sorceress 03 Purple</t>
  </si>
  <si>
    <t>Female Brown Sorceress 03 Red</t>
  </si>
  <si>
    <t>Female Brown Sorceress 03 White</t>
  </si>
  <si>
    <t>Female Brown Sorceress 04 Black</t>
  </si>
  <si>
    <t>Female Brown Sorceress 04 Blue</t>
  </si>
  <si>
    <t>Female Brown Sorceress 04 Brown</t>
  </si>
  <si>
    <t>Female Brown Sorceress 04 Green</t>
  </si>
  <si>
    <t>Female Brown Sorceress 04 Magenta</t>
  </si>
  <si>
    <t>Female Brown Sorceress 04 Purple</t>
  </si>
  <si>
    <t>Female Brown Sorceress 04 Red</t>
  </si>
  <si>
    <t>Female Brown Sorceress 04 White</t>
  </si>
  <si>
    <t>Female Brown Sorceress 05 Black</t>
  </si>
  <si>
    <t>Female Brown Sorceress 05 Blue</t>
  </si>
  <si>
    <t>Female Brown Sorceress 05 Brown</t>
  </si>
  <si>
    <t>Female Brown Sorceress 05 Green</t>
  </si>
  <si>
    <t>Female Brown Sorceress 05 Magenta</t>
  </si>
  <si>
    <t>Female Brown Sorceress 05 Purple</t>
  </si>
  <si>
    <t>Female Brown Sorceress 05 Red</t>
  </si>
  <si>
    <t>Female Brown Sorceress 05 White</t>
  </si>
  <si>
    <t>Female Brown Sorceress 06 Black</t>
  </si>
  <si>
    <t>Female Brown Sorceress 06 Blue</t>
  </si>
  <si>
    <t>Female Brown Sorceress 06 Brown</t>
  </si>
  <si>
    <t>Female Brown Sorceress 06 Green</t>
  </si>
  <si>
    <t>Female Brown Sorceress 06 Magenta</t>
  </si>
  <si>
    <t>Female Brown Sorceress 06 Purple</t>
  </si>
  <si>
    <t>Female Brown Sorceress 06 Red</t>
  </si>
  <si>
    <t>Female Brown Sorceress 06 White</t>
  </si>
  <si>
    <t>Female Fire 01 Orange</t>
  </si>
  <si>
    <t>Female Fire 01 Yellow</t>
  </si>
  <si>
    <t>Female Gorgon 01 Black</t>
  </si>
  <si>
    <t>Female Gorgon 01 Blue</t>
  </si>
  <si>
    <t>Female Gorgon 01 Brown</t>
  </si>
  <si>
    <t>Female Gorgon 01 Green</t>
  </si>
  <si>
    <t>Female Gorgon 01 Magenta</t>
  </si>
  <si>
    <t>Female Gorgon 01 Purple</t>
  </si>
  <si>
    <t>Female Gorgon 01 Red</t>
  </si>
  <si>
    <t>Female Gorgon 02 Black</t>
  </si>
  <si>
    <t>Female Gorgon 02 Blue</t>
  </si>
  <si>
    <t>Female Gorgon 02 Green</t>
  </si>
  <si>
    <t>Female Gorgon 02 Magenta</t>
  </si>
  <si>
    <t>Female Gorgon 02 Purple</t>
  </si>
  <si>
    <t>Female Gorgon 02 Red</t>
  </si>
  <si>
    <t>Female Gorgon 02 White</t>
  </si>
  <si>
    <t>Female Gorgon 02 Yellow</t>
  </si>
  <si>
    <t>Female Gorgon 03 Black</t>
  </si>
  <si>
    <t>Female Gorgon 03 Blue</t>
  </si>
  <si>
    <t>Female Gorgon 03 Green</t>
  </si>
  <si>
    <t>Female Gorgon 03 Magenta</t>
  </si>
  <si>
    <t>Female Gorgon 03 Purple</t>
  </si>
  <si>
    <t>Female Gorgon 03 Red</t>
  </si>
  <si>
    <t>Female Gorgon 03 Yellow</t>
  </si>
  <si>
    <t>Female Gorgon Underwear</t>
  </si>
  <si>
    <t>Female Spideress 01 Blue</t>
  </si>
  <si>
    <t>Female Spideress 01 Green</t>
  </si>
  <si>
    <t>Female Spideress 01 Magenta</t>
  </si>
  <si>
    <t>Female Spideress 01 Purple</t>
  </si>
  <si>
    <t>Female Spideress 01 Red</t>
  </si>
  <si>
    <t>Female Spideress 01 White</t>
  </si>
  <si>
    <t>Female Spideress 01 Yellow</t>
  </si>
  <si>
    <t>Female Spideress 02 Black</t>
  </si>
  <si>
    <t>Female Spideress 02 Blue</t>
  </si>
  <si>
    <t>Female Spideress 02 Green</t>
  </si>
  <si>
    <t>Female Spideress 02 Magenta</t>
  </si>
  <si>
    <t>Female Spideress 02 Purple</t>
  </si>
  <si>
    <t>Female Spideress 02 Yellow</t>
  </si>
  <si>
    <t>Female Spideress 03 Black</t>
  </si>
  <si>
    <t>Female Spideress 03 Blue</t>
  </si>
  <si>
    <t>Female Spideress 03 Green</t>
  </si>
  <si>
    <t>Female Spideress 03 Magenta</t>
  </si>
  <si>
    <t>Female Spideress 03 Purple</t>
  </si>
  <si>
    <t>Female Spideress 03 Red</t>
  </si>
  <si>
    <t>Female Spideress 03 Yellow</t>
  </si>
  <si>
    <t>Female Spideress Underwear</t>
  </si>
  <si>
    <t>Female White Archer 01 Black</t>
  </si>
  <si>
    <t>Female White Archer 01 Blue</t>
  </si>
  <si>
    <t>Female White Archer 01 Green</t>
  </si>
  <si>
    <t>Female White Archer 01 Magenta</t>
  </si>
  <si>
    <t>Female White Archer 01 Purple</t>
  </si>
  <si>
    <t>Female White Archer 01 White</t>
  </si>
  <si>
    <t>Female White Archer 02 Black</t>
  </si>
  <si>
    <t>Female White Archer 02 Blue</t>
  </si>
  <si>
    <t>Female White Archer 02 Green</t>
  </si>
  <si>
    <t>Female White Archer 02 Lime</t>
  </si>
  <si>
    <t>Female White Archer 02 Magenta</t>
  </si>
  <si>
    <t>Female White Archer 02 Purple</t>
  </si>
  <si>
    <t>Female White Archer 02 White</t>
  </si>
  <si>
    <t>Female White Archer 03 Black</t>
  </si>
  <si>
    <t>Female White Archer 03 Blue</t>
  </si>
  <si>
    <t>Female White Archer 03 Green</t>
  </si>
  <si>
    <t>Female White Archer 03 Maroon</t>
  </si>
  <si>
    <t>Female White Archer 03 Olive</t>
  </si>
  <si>
    <t>Female White Archer 03 Purple</t>
  </si>
  <si>
    <t>Female White Archer 03 White</t>
  </si>
  <si>
    <t>Female White Archer 04 Black</t>
  </si>
  <si>
    <t>Female White Archer 04 Blue</t>
  </si>
  <si>
    <t>Female White Archer 04 Green</t>
  </si>
  <si>
    <t>Female White Archer 04 Magenta</t>
  </si>
  <si>
    <t>Female White Archer 04 Purple</t>
  </si>
  <si>
    <t>Female White Archer 04 Red</t>
  </si>
  <si>
    <t>Female White Archer 04 White</t>
  </si>
  <si>
    <t>Female White Archer 04 Yellow</t>
  </si>
  <si>
    <t>Female White Archer 05 Black</t>
  </si>
  <si>
    <t>Female White Archer 05 Blue</t>
  </si>
  <si>
    <t>Female White Archer 05 Green</t>
  </si>
  <si>
    <t>Female White Archer 05 Magenta</t>
  </si>
  <si>
    <t>Female White Archer 05 Purple</t>
  </si>
  <si>
    <t>Female White Archer 05 Red</t>
  </si>
  <si>
    <t>Female White Archer 05 White</t>
  </si>
  <si>
    <t>Female White Archer 05 Yellow</t>
  </si>
  <si>
    <t>Female White Barbarian 01 Blue</t>
  </si>
  <si>
    <t>Female White Barbarian 01 Green</t>
  </si>
  <si>
    <t>Female White Barbarian 01 Pink</t>
  </si>
  <si>
    <t>Female White Barbarian 01 Purple</t>
  </si>
  <si>
    <t>Female White Barbarian 01 Yellow</t>
  </si>
  <si>
    <t>Female White Barbarian 02 Black</t>
  </si>
  <si>
    <t>Female White Barbarian 02 Blue</t>
  </si>
  <si>
    <t>Female White Barbarian 02 Green</t>
  </si>
  <si>
    <t>Female White Barbarian 02 Purple</t>
  </si>
  <si>
    <t>Female White Barbarian 02 Red</t>
  </si>
  <si>
    <t>Female White Barbarian 02 White</t>
  </si>
  <si>
    <t>Female White Barbarian 03 Blue</t>
  </si>
  <si>
    <t>Female White Barbarian 03 Brown</t>
  </si>
  <si>
    <t>Female White Barbarian 03 Green</t>
  </si>
  <si>
    <t>Female White Barbarian 03 Magenta</t>
  </si>
  <si>
    <t>Female White Barbarian 03 Purple</t>
  </si>
  <si>
    <t>Female White Barbarian 03 Red</t>
  </si>
  <si>
    <t>Female White Barbarian 03 White</t>
  </si>
  <si>
    <t>Female White Barbarian 04 Black</t>
  </si>
  <si>
    <t>Female White Barbarian 04 Blue</t>
  </si>
  <si>
    <t>Female White Barbarian 04 Green</t>
  </si>
  <si>
    <t>Female White Barbarian 04 Magenta</t>
  </si>
  <si>
    <t>Female White Barbarian 04 Purple</t>
  </si>
  <si>
    <t>Female White Barbarian 04 Red</t>
  </si>
  <si>
    <t>Female White Barbarian 04 White</t>
  </si>
  <si>
    <t>Female White Barbarian 04 Yellow</t>
  </si>
  <si>
    <t>Female White Barbarian 05 Black</t>
  </si>
  <si>
    <t>Female White Barbarian 05 Blue</t>
  </si>
  <si>
    <t>Female White Barbarian 05 Green</t>
  </si>
  <si>
    <t>Female White Barbarian 05 Magenta</t>
  </si>
  <si>
    <t>Female White Barbarian 05 Purple</t>
  </si>
  <si>
    <t>Female White Barbarian 05 Red</t>
  </si>
  <si>
    <t>Female White Barbarian 05 White</t>
  </si>
  <si>
    <t>Female White Barbarian 05 Yellow</t>
  </si>
  <si>
    <t>Female White Casual 01A</t>
  </si>
  <si>
    <t>Female White Casual 01B</t>
  </si>
  <si>
    <t>Female White Casual 01C</t>
  </si>
  <si>
    <t>Female White Casual 02 Punk</t>
  </si>
  <si>
    <t>Female White Casual 02A</t>
  </si>
  <si>
    <t>Female White Casual 02B</t>
  </si>
  <si>
    <t>Female White Casual 02C</t>
  </si>
  <si>
    <t>Female White Casual 03 Red</t>
  </si>
  <si>
    <t>Female White Casual 03</t>
  </si>
  <si>
    <t>Female White Casual 03A</t>
  </si>
  <si>
    <t>Female White Casual 03B</t>
  </si>
  <si>
    <t>Female White Casual 03C</t>
  </si>
  <si>
    <t>Female White Casual 04</t>
  </si>
  <si>
    <t>Female White Casual 04A</t>
  </si>
  <si>
    <t>Female White Casual 04B</t>
  </si>
  <si>
    <t>Female White Casual 04C</t>
  </si>
  <si>
    <t>Female White Casual 05</t>
  </si>
  <si>
    <t>Female White Casual 05A</t>
  </si>
  <si>
    <t>Female White Casual 05B</t>
  </si>
  <si>
    <t>Female White Casual 05C</t>
  </si>
  <si>
    <t>Female White Casual 06</t>
  </si>
  <si>
    <t>Female White Casual 06A</t>
  </si>
  <si>
    <t>Female White Casual 06B</t>
  </si>
  <si>
    <t>Female White Casual 06C</t>
  </si>
  <si>
    <t>Female White Casual 07A</t>
  </si>
  <si>
    <t>Female White Casual 07B</t>
  </si>
  <si>
    <t>Female White Casual 07C</t>
  </si>
  <si>
    <t>Female White Casual 08A</t>
  </si>
  <si>
    <t>Female White Casual 08B</t>
  </si>
  <si>
    <t>Female White Casual 08C</t>
  </si>
  <si>
    <t>Female White Elf 01</t>
  </si>
  <si>
    <t>Female White Knight 01 Black</t>
  </si>
  <si>
    <t>Female White Knight 01 Blue</t>
  </si>
  <si>
    <t>Female White Knight 01 Green</t>
  </si>
  <si>
    <t>Female White Knight 01 Purple</t>
  </si>
  <si>
    <t>Female White Knight 01 Red</t>
  </si>
  <si>
    <t>Female White Knight 01 White</t>
  </si>
  <si>
    <t>Female White Knight 02 Black</t>
  </si>
  <si>
    <t>Female White Knight 02 Blue</t>
  </si>
  <si>
    <t>Female White Knight 02 Green</t>
  </si>
  <si>
    <t>Female White Knight 02 Purple</t>
  </si>
  <si>
    <t>Female White Knight 02 Red</t>
  </si>
  <si>
    <t>Female White Knight 02 White</t>
  </si>
  <si>
    <t>Female White Knight 03 Black</t>
  </si>
  <si>
    <t>Female White Knight 03 Blue</t>
  </si>
  <si>
    <t>Female White Knight 03 Green</t>
  </si>
  <si>
    <t>Female White Knight 03 Purple</t>
  </si>
  <si>
    <t>Female White Knight 03 Red</t>
  </si>
  <si>
    <t>Female White Knight 03 White</t>
  </si>
  <si>
    <t>Female White Knight 04 Black</t>
  </si>
  <si>
    <t>Female White Knight 04 Blue</t>
  </si>
  <si>
    <t>Female White Knight 04 Green</t>
  </si>
  <si>
    <t>Female White Knight 04 Magenta</t>
  </si>
  <si>
    <t>Female White Knight 04 Purple</t>
  </si>
  <si>
    <t>Female White Knight 04 Red</t>
  </si>
  <si>
    <t>Female White Knight 04 White</t>
  </si>
  <si>
    <t>Female White Knight 04 Yellow</t>
  </si>
  <si>
    <t>Female White Knight 05 Black</t>
  </si>
  <si>
    <t>Female White Knight 05 Blue</t>
  </si>
  <si>
    <t>Female White Knight 05 Green</t>
  </si>
  <si>
    <t>Female White Knight 05 Magenta</t>
  </si>
  <si>
    <t>Female White Knight 05 Purple</t>
  </si>
  <si>
    <t>Female White Knight 05 Red</t>
  </si>
  <si>
    <t>Female White Knight 05 White</t>
  </si>
  <si>
    <t>Female White Knight 05 Yellow</t>
  </si>
  <si>
    <t>Female White Knight 06 Black</t>
  </si>
  <si>
    <t>Female White Knight 06 Blue</t>
  </si>
  <si>
    <t>Female White Knight 06 Green</t>
  </si>
  <si>
    <t>Female White Knight 06 Magenta</t>
  </si>
  <si>
    <t>Female White Knight 06 Purple</t>
  </si>
  <si>
    <t>Female White Knight 06 Red</t>
  </si>
  <si>
    <t>Female White Knight 06 White</t>
  </si>
  <si>
    <t>Female White Knight 06 Yellow</t>
  </si>
  <si>
    <t>Female White Naked</t>
  </si>
  <si>
    <t>Female White Sorceress 01 Black</t>
  </si>
  <si>
    <t>Female White Sorceress 01 Blue</t>
  </si>
  <si>
    <t>Female White Sorceress 01 Green</t>
  </si>
  <si>
    <t>Female White Sorceress 01 Pink</t>
  </si>
  <si>
    <t>Female White Sorceress 01 Purple</t>
  </si>
  <si>
    <t>Female White Sorceress 02 Blue</t>
  </si>
  <si>
    <t>Female White Sorceress 02 Green</t>
  </si>
  <si>
    <t>Female White Sorceress 02 Purple</t>
  </si>
  <si>
    <t>Female White Sorceress 02 Red</t>
  </si>
  <si>
    <t>Female White Sorceress 03 Black</t>
  </si>
  <si>
    <t>Female White Sorceress 03 Blue</t>
  </si>
  <si>
    <t>Female White Sorceress 03 Brown</t>
  </si>
  <si>
    <t>Female White Sorceress 03 Green</t>
  </si>
  <si>
    <t>Female White Sorceress 03 Purple</t>
  </si>
  <si>
    <t>Female White Sorceress 03 Red</t>
  </si>
  <si>
    <t>Female White Sorceress 03 White</t>
  </si>
  <si>
    <t>Female White Sorceress 04 Black</t>
  </si>
  <si>
    <t>Female White Sorceress 04 Blue</t>
  </si>
  <si>
    <t>Female White Sorceress 04 Brown</t>
  </si>
  <si>
    <t>Female White Sorceress 04 Green</t>
  </si>
  <si>
    <t>Female White Sorceress 04 Magenta</t>
  </si>
  <si>
    <t>Female White Sorceress 04 Purple</t>
  </si>
  <si>
    <t>Female White Sorceress 04 Red</t>
  </si>
  <si>
    <t>Female White Sorceress 04 White</t>
  </si>
  <si>
    <t>Female White Sorceress 05 Black</t>
  </si>
  <si>
    <t>Female White Sorceress 05 Blue</t>
  </si>
  <si>
    <t>Female White Sorceress 05 Brown</t>
  </si>
  <si>
    <t>Female White Sorceress 05 Green</t>
  </si>
  <si>
    <t>Female White Sorceress 05 Magenta</t>
  </si>
  <si>
    <t>Female White Sorceress 05 Purple</t>
  </si>
  <si>
    <t>Female White Sorceress 05 Red</t>
  </si>
  <si>
    <t>Female White Sorceress 05 White</t>
  </si>
  <si>
    <t>Female White Sorceress 06 Black</t>
  </si>
  <si>
    <t>Female White Sorceress 06 Blue</t>
  </si>
  <si>
    <t>Female White Sorceress 06 Brown</t>
  </si>
  <si>
    <t>Female White Sorceress 06 Green</t>
  </si>
  <si>
    <t>Female White Sorceress 06 Magenta</t>
  </si>
  <si>
    <t>Female White Sorceress 06 Purple</t>
  </si>
  <si>
    <t>Female White Sorceress 06 Red</t>
  </si>
  <si>
    <t>Female White Sorceress 06 White</t>
  </si>
  <si>
    <t>Male Aqua 01 Blue</t>
  </si>
  <si>
    <t>Male Aqua 01 Cyan</t>
  </si>
  <si>
    <t>Male Black Archer 01 Black</t>
  </si>
  <si>
    <t>Male Black Archer 01 Blue</t>
  </si>
  <si>
    <t>Male Black Archer 01 Green</t>
  </si>
  <si>
    <t>Male Black Archer 01 Maroon</t>
  </si>
  <si>
    <t>Male Black Archer 01 Olive</t>
  </si>
  <si>
    <t>Male Black Archer 01 Purple</t>
  </si>
  <si>
    <t>Male Black Archer 01 White</t>
  </si>
  <si>
    <t>Male Black Archer 02 Blue</t>
  </si>
  <si>
    <t>Male Black Archer 02 Green</t>
  </si>
  <si>
    <t>Male Black Archer 02 Olive</t>
  </si>
  <si>
    <t>Male Black Archer 02 Purple</t>
  </si>
  <si>
    <t>Male Black Archer 02 Red</t>
  </si>
  <si>
    <t>Male Black Archer 02 White</t>
  </si>
  <si>
    <t>Male Black Archer 03 Black</t>
  </si>
  <si>
    <t>Male Black Archer 03 Blue</t>
  </si>
  <si>
    <t>Male Black Archer 03 Green</t>
  </si>
  <si>
    <t>Male Black Archer 03 Magenta</t>
  </si>
  <si>
    <t>Male Black Archer 03 Purple</t>
  </si>
  <si>
    <t>Male Black Archer 03 Red</t>
  </si>
  <si>
    <t>Male Black Archer 03 White</t>
  </si>
  <si>
    <t>Male Black Archer 03 Yellow</t>
  </si>
  <si>
    <t>Male Black Archer 04 Black</t>
  </si>
  <si>
    <t>Male Black Archer 04 Blue</t>
  </si>
  <si>
    <t>Male Black Archer 04 Green</t>
  </si>
  <si>
    <t>Male Black Archer 04 Magenta</t>
  </si>
  <si>
    <t>Male Black Archer 04 Purple</t>
  </si>
  <si>
    <t>Male Black Archer 04 Red</t>
  </si>
  <si>
    <t>Male Black Archer 04 White</t>
  </si>
  <si>
    <t>Male Black Archer 04 Yellow</t>
  </si>
  <si>
    <t>Male Black Archer 05 Black</t>
  </si>
  <si>
    <t>Male Black Archer 05 Blue</t>
  </si>
  <si>
    <t>Male Black Archer 05 Green</t>
  </si>
  <si>
    <t>Male Black Archer 05 Magenta</t>
  </si>
  <si>
    <t>Male Black Archer 05 Purple</t>
  </si>
  <si>
    <t>Male Black Archer 05 Red</t>
  </si>
  <si>
    <t>Male Black Archer 05 White</t>
  </si>
  <si>
    <t>Male Black Archer 05 Yellow</t>
  </si>
  <si>
    <t>Male Black Barbarian 01 Blue</t>
  </si>
  <si>
    <t>Male Black Barbarian 01 Green</t>
  </si>
  <si>
    <t>Male Black Barbarian 01 Purple</t>
  </si>
  <si>
    <t>Male Black Barbarian 01 Red</t>
  </si>
  <si>
    <t>Male Black Barbarian 02 Black</t>
  </si>
  <si>
    <t>Male Black Barbarian 02 Blue</t>
  </si>
  <si>
    <t>Male Black Barbarian 02 Brown</t>
  </si>
  <si>
    <t>Male Black Barbarian 02 Green</t>
  </si>
  <si>
    <t>Male Black Barbarian 02 Purple</t>
  </si>
  <si>
    <t>Male Black Barbarian 02 White</t>
  </si>
  <si>
    <t>Male Black Barbarian 03 Black</t>
  </si>
  <si>
    <t>Male Black Barbarian 03 Blue</t>
  </si>
  <si>
    <t>Male Black Barbarian 03 Brown</t>
  </si>
  <si>
    <t>Male Black Barbarian 03 Green</t>
  </si>
  <si>
    <t>Male Black Barbarian 03 Magenta</t>
  </si>
  <si>
    <t>Male Black Barbarian 03 Purple</t>
  </si>
  <si>
    <t>Male Black Barbarian 03 Red</t>
  </si>
  <si>
    <t>Male Black Barbarian 03 White</t>
  </si>
  <si>
    <t>Male Black Barbarian 04 Black</t>
  </si>
  <si>
    <t>Male Black Barbarian 04 Blue</t>
  </si>
  <si>
    <t>Male Black Barbarian 04 Green</t>
  </si>
  <si>
    <t>Male Black Barbarian 04 Magenta</t>
  </si>
  <si>
    <t>Male Black Barbarian 04 Purple</t>
  </si>
  <si>
    <t>Male Black Barbarian 04 Red</t>
  </si>
  <si>
    <t>Male Black Barbarian 04 White</t>
  </si>
  <si>
    <t>Male Black Barbarian 04 Yellow</t>
  </si>
  <si>
    <t>Male Black Barbarian 05 Black</t>
  </si>
  <si>
    <t>Male Black Barbarian 05 Blue</t>
  </si>
  <si>
    <t>Male Black Barbarian 05 Green</t>
  </si>
  <si>
    <t>Male Black Barbarian 05 Magenta</t>
  </si>
  <si>
    <t>Male Black Barbarian 05 Purple</t>
  </si>
  <si>
    <t>Male Black Barbarian 05 Red</t>
  </si>
  <si>
    <t>Male Black Barbarian 05 White</t>
  </si>
  <si>
    <t>Male Black Barbarian 05 Yellow</t>
  </si>
  <si>
    <t>Male Black Barbarian 06 Black</t>
  </si>
  <si>
    <t>Male Black Barbarian 06 Blue</t>
  </si>
  <si>
    <t>Male Black Barbarian 06 Green</t>
  </si>
  <si>
    <t>Male Black Barbarian 06 Magenta</t>
  </si>
  <si>
    <t>Male Black Barbarian 06 Purple</t>
  </si>
  <si>
    <t>Male Black Barbarian 06 Red</t>
  </si>
  <si>
    <t>Male Black Barbarian 06 White</t>
  </si>
  <si>
    <t>Male Black Barbarian 06 Yellow</t>
  </si>
  <si>
    <t>Male Black Casual 01A</t>
  </si>
  <si>
    <t>Male Black Casual 01B</t>
  </si>
  <si>
    <t>Male Black Casual 01C</t>
  </si>
  <si>
    <t>Male Black Casual 02A</t>
  </si>
  <si>
    <t>Male Black Casual 02B</t>
  </si>
  <si>
    <t>Male Black Casual 02C</t>
  </si>
  <si>
    <t>Male Black Casual 03A</t>
  </si>
  <si>
    <t>Male Black Casual 03B</t>
  </si>
  <si>
    <t>Male Black Casual 03C</t>
  </si>
  <si>
    <t>Male Black Casual 04A</t>
  </si>
  <si>
    <t>Male Black Casual 04B</t>
  </si>
  <si>
    <t>Male Black Casual 04C</t>
  </si>
  <si>
    <t>Male Black Casual 05A</t>
  </si>
  <si>
    <t>Male Black Casual 05B</t>
  </si>
  <si>
    <t>Male Black Casual 05C</t>
  </si>
  <si>
    <t>Male Black Casual 06A</t>
  </si>
  <si>
    <t>Male Black Casual 06B</t>
  </si>
  <si>
    <t>Male Black Casual 06C</t>
  </si>
  <si>
    <t>Male Black Casual 07A</t>
  </si>
  <si>
    <t>Male Black Casual 07B</t>
  </si>
  <si>
    <t>Male Black Casual 07C</t>
  </si>
  <si>
    <t>Male Black Casual 08A</t>
  </si>
  <si>
    <t>Male Black Casual 08B</t>
  </si>
  <si>
    <t>Male Black Casual 08C</t>
  </si>
  <si>
    <t>Male Black King 01 Black</t>
  </si>
  <si>
    <t>Male Black King 01 Blue</t>
  </si>
  <si>
    <t>Male Black King 01 Green</t>
  </si>
  <si>
    <t>Male Black King 01 Magenta</t>
  </si>
  <si>
    <t>Male Black King 01 Purple</t>
  </si>
  <si>
    <t>Male Black King 01 Red</t>
  </si>
  <si>
    <t>Male Black King 01 White</t>
  </si>
  <si>
    <t>Male Black King 01 Yellow</t>
  </si>
  <si>
    <t>Male Black Knight 01 Black</t>
  </si>
  <si>
    <t>Male Black Knight 01 Blue</t>
  </si>
  <si>
    <t>Male Black Knight 01 Red</t>
  </si>
  <si>
    <t>Male Black Knight 01 White</t>
  </si>
  <si>
    <t>Male Black Knight 02 Black</t>
  </si>
  <si>
    <t>Male Black Knight 02 Blue</t>
  </si>
  <si>
    <t>Male Black Knight 02 Green</t>
  </si>
  <si>
    <t>Male Black Knight 02 Purple</t>
  </si>
  <si>
    <t>Male Black Knight 02 Red</t>
  </si>
  <si>
    <t>Male Black Knight 02 White</t>
  </si>
  <si>
    <t>Male Black Knight 03 Black</t>
  </si>
  <si>
    <t>Male Black Knight 03 Blue</t>
  </si>
  <si>
    <t>Male Black Knight 03 Brown</t>
  </si>
  <si>
    <t>Male Black Knight 03 Green</t>
  </si>
  <si>
    <t>Male Black Knight 03 Magenta</t>
  </si>
  <si>
    <t>Male Black Knight 03 Purple</t>
  </si>
  <si>
    <t>Male Black Knight 03 Red</t>
  </si>
  <si>
    <t>Male Black Knight 03 White</t>
  </si>
  <si>
    <t>Male Black Knight 04 Black</t>
  </si>
  <si>
    <t>Male Black Knight 04 Blue</t>
  </si>
  <si>
    <t>Male Black Knight 04 Brown</t>
  </si>
  <si>
    <t>Male Black Knight 04 Green</t>
  </si>
  <si>
    <t>Male Black Knight 04 Magenta</t>
  </si>
  <si>
    <t>Male Black Knight 04 Purple</t>
  </si>
  <si>
    <t>Male Black Knight 04 Red</t>
  </si>
  <si>
    <t>Male Black Knight 04 White</t>
  </si>
  <si>
    <t>Male Black Knight 05 Black</t>
  </si>
  <si>
    <t>Male Black Knight 05 Blue</t>
  </si>
  <si>
    <t>Male Black Knight 05 Brown</t>
  </si>
  <si>
    <t>Male Black Knight 05 Green</t>
  </si>
  <si>
    <t>Male Black Knight 05 Magenta</t>
  </si>
  <si>
    <t>Male Black Knight 05 Purple</t>
  </si>
  <si>
    <t>Male Black Knight 05 Red</t>
  </si>
  <si>
    <t>Male Black Knight 05 White</t>
  </si>
  <si>
    <t>Male Black Knight 06 Black</t>
  </si>
  <si>
    <t>Male Black Knight 06 Blue</t>
  </si>
  <si>
    <t>Male Black Knight 06 Green</t>
  </si>
  <si>
    <t>Male Black Knight 06 Magenta</t>
  </si>
  <si>
    <t>Male Black Knight 06 Purple</t>
  </si>
  <si>
    <t>Male Black Knight 06 Red</t>
  </si>
  <si>
    <t>Male Black Knight 06 White</t>
  </si>
  <si>
    <t>Male Black Knight 06 Yellow</t>
  </si>
  <si>
    <t>Male Black Knight 07 Black</t>
  </si>
  <si>
    <t>Male Black Knight 07 Blue</t>
  </si>
  <si>
    <t>Male Black Knight 07 Green</t>
  </si>
  <si>
    <t>Male Black Knight 07 Magenta</t>
  </si>
  <si>
    <t>Male Black Knight 07 Purple</t>
  </si>
  <si>
    <t>Male Black Knight 07 Red</t>
  </si>
  <si>
    <t>Male Black Knight 07 White</t>
  </si>
  <si>
    <t>Male Black Knight 07 Yellow</t>
  </si>
  <si>
    <t>Male Black Knight 08 Black</t>
  </si>
  <si>
    <t>Male Black Knight 08 Blue</t>
  </si>
  <si>
    <t>Male Black Knight 08 Green</t>
  </si>
  <si>
    <t>Male Black Knight 08 Magenta</t>
  </si>
  <si>
    <t>Male Black Knight 08 Purple</t>
  </si>
  <si>
    <t>Male Black Knight 08 Red</t>
  </si>
  <si>
    <t>Male Black Knight 08 White</t>
  </si>
  <si>
    <t>Male Black Knight 08 Yellow</t>
  </si>
  <si>
    <t>Male Black Naked</t>
  </si>
  <si>
    <t>Male Black Santa 01</t>
  </si>
  <si>
    <t>Male Black Wizard 01 Black</t>
  </si>
  <si>
    <t>Male Black Wizard 01 Blue</t>
  </si>
  <si>
    <t>Male Black Wizard 01 Green</t>
  </si>
  <si>
    <t>Male Black Wizard 01 Purple</t>
  </si>
  <si>
    <t>Male Black Wizard 01 Red</t>
  </si>
  <si>
    <t>Male Black Wizard 01 White</t>
  </si>
  <si>
    <t>Male Black Wizard 02 Black</t>
  </si>
  <si>
    <t>Male Black Wizard 02 Blue</t>
  </si>
  <si>
    <t>Male Black Wizard 02 Brown</t>
  </si>
  <si>
    <t>Male Black Wizard 02 Green</t>
  </si>
  <si>
    <t>Male Black Wizard 02 Purple</t>
  </si>
  <si>
    <t>Male Black Wizard 02 Red</t>
  </si>
  <si>
    <t>Male Black Wizard 02 White</t>
  </si>
  <si>
    <t>Male Black Wizard 03 Black</t>
  </si>
  <si>
    <t>Male Black Wizard 03 Blue</t>
  </si>
  <si>
    <t>Male Black Wizard 03 Green</t>
  </si>
  <si>
    <t>Male Black Wizard 03 Purple</t>
  </si>
  <si>
    <t>Male Black Wizard 03 Red</t>
  </si>
  <si>
    <t>Male Black Wizard 03 Yellow</t>
  </si>
  <si>
    <t>Male Black Wizard 04 Black</t>
  </si>
  <si>
    <t>Male Black Wizard 04 Blue</t>
  </si>
  <si>
    <t>Male Black Wizard 04 Brown</t>
  </si>
  <si>
    <t>Male Black Wizard 04 Green</t>
  </si>
  <si>
    <t>Male Black Wizard 04 Magenta</t>
  </si>
  <si>
    <t>Male Black Wizard 04 Purple</t>
  </si>
  <si>
    <t>Male Black Wizard 04 Red</t>
  </si>
  <si>
    <t>Male Black Wizard 04 White</t>
  </si>
  <si>
    <t>Male Black Wizard 05 Black</t>
  </si>
  <si>
    <t>Male Black Wizard 05 Blue</t>
  </si>
  <si>
    <t>Male Black Wizard 05 Brown</t>
  </si>
  <si>
    <t>Male Black Wizard 05 Green</t>
  </si>
  <si>
    <t>Male Black Wizard 05 Magenta</t>
  </si>
  <si>
    <t>Male Black Wizard 05 Purple</t>
  </si>
  <si>
    <t>Male Black Wizard 05 Red</t>
  </si>
  <si>
    <t>Male Black Wizard 05 White</t>
  </si>
  <si>
    <t>Male Black Wizard 06 Black</t>
  </si>
  <si>
    <t>Male Black Wizard 06 Blue</t>
  </si>
  <si>
    <t>Male Black Wizard 06 Brown</t>
  </si>
  <si>
    <t>Male Black Wizard 06 Green</t>
  </si>
  <si>
    <t>Male Black Wizard 06 Magenta</t>
  </si>
  <si>
    <t>Male Black Wizard 06 Purple</t>
  </si>
  <si>
    <t>Male Black Wizard 06 Red</t>
  </si>
  <si>
    <t>Male Black Wizard 06 White</t>
  </si>
  <si>
    <t>Male Brown Archer 01 Black</t>
  </si>
  <si>
    <t>Male Brown Archer 01 Blue</t>
  </si>
  <si>
    <t>Male Brown Archer 01 Green</t>
  </si>
  <si>
    <t>Male Brown Archer 01 Maroon</t>
  </si>
  <si>
    <t>Male Brown Archer 01 Olive</t>
  </si>
  <si>
    <t>Male Brown Archer 01 Purple</t>
  </si>
  <si>
    <t>Male Brown Archer 01 White</t>
  </si>
  <si>
    <t>Male Brown Archer 02 Blue</t>
  </si>
  <si>
    <t>Male Brown Archer 02 Green</t>
  </si>
  <si>
    <t>Male Brown Archer 02 Olive</t>
  </si>
  <si>
    <t>Male Brown Archer 02 Purple</t>
  </si>
  <si>
    <t>Male Brown Archer 02 Red</t>
  </si>
  <si>
    <t>Male Brown Archer 02 White</t>
  </si>
  <si>
    <t>Male Brown Archer 03 Black</t>
  </si>
  <si>
    <t>Male Brown Archer 03 Blue</t>
  </si>
  <si>
    <t>Male Brown Archer 03 Green</t>
  </si>
  <si>
    <t>Male Brown Archer 03 Magenta</t>
  </si>
  <si>
    <t>Male Brown Archer 03 Purple</t>
  </si>
  <si>
    <t>Male Brown Archer 03 Red</t>
  </si>
  <si>
    <t>Male Brown Archer 03 White</t>
  </si>
  <si>
    <t>Male Brown Archer 03 Yellow</t>
  </si>
  <si>
    <t>Male Brown Archer 04 Black</t>
  </si>
  <si>
    <t>Male Brown Archer 04 Blue</t>
  </si>
  <si>
    <t>Male Brown Archer 04 Green</t>
  </si>
  <si>
    <t>Male Brown Archer 04 Magenta</t>
  </si>
  <si>
    <t>Male Brown Archer 04 Purple</t>
  </si>
  <si>
    <t>Male Brown Archer 04 Red</t>
  </si>
  <si>
    <t>Male Brown Archer 04 White</t>
  </si>
  <si>
    <t>Male Brown Archer 04 Yellow</t>
  </si>
  <si>
    <t>Male Brown Archer 05 Black</t>
  </si>
  <si>
    <t>Male Brown Archer 05 Blue</t>
  </si>
  <si>
    <t>Male Brown Archer 05 Green</t>
  </si>
  <si>
    <t>Male Brown Archer 05 Magenta</t>
  </si>
  <si>
    <t>Male Brown Archer 05 Purple</t>
  </si>
  <si>
    <t>Male Brown Archer 05 Red</t>
  </si>
  <si>
    <t>Male Brown Archer 05 White</t>
  </si>
  <si>
    <t>Male Brown Archer 05 Yellow</t>
  </si>
  <si>
    <t>Male Brown Barbarian 01 Blue</t>
  </si>
  <si>
    <t>Male Brown Barbarian 01 Green</t>
  </si>
  <si>
    <t>Male Brown Barbarian 01 Purple</t>
  </si>
  <si>
    <t>Male Brown Barbarian 01 Red</t>
  </si>
  <si>
    <t>Male Brown Barbarian 02 Black</t>
  </si>
  <si>
    <t>Male Brown Barbarian 02 Blue</t>
  </si>
  <si>
    <t>Male Brown Barbarian 02 Brown</t>
  </si>
  <si>
    <t>Male Brown Barbarian 02 Green</t>
  </si>
  <si>
    <t>Male Brown Barbarian 02 Purple</t>
  </si>
  <si>
    <t>Male Brown Barbarian 02 White</t>
  </si>
  <si>
    <t>Male Brown Barbarian 03 Black</t>
  </si>
  <si>
    <t>Male Brown Barbarian 03 Blue</t>
  </si>
  <si>
    <t>Male Brown Barbarian 03 Brown</t>
  </si>
  <si>
    <t>Male Brown Barbarian 03 Green</t>
  </si>
  <si>
    <t>Male Brown Barbarian 03 Magenta</t>
  </si>
  <si>
    <t>Male Brown Barbarian 03 Purple</t>
  </si>
  <si>
    <t>Male Brown Barbarian 03 Red</t>
  </si>
  <si>
    <t>Male Brown Barbarian 04 Black</t>
  </si>
  <si>
    <t>Male Brown Barbarian 04 Blue</t>
  </si>
  <si>
    <t>Male Brown Barbarian 04 Green</t>
  </si>
  <si>
    <t>Male Brown Barbarian 04 Magenta</t>
  </si>
  <si>
    <t>Male Brown Barbarian 04 Purple</t>
  </si>
  <si>
    <t>Male Brown Barbarian 04 Red</t>
  </si>
  <si>
    <t>Male Brown Barbarian 04 White</t>
  </si>
  <si>
    <t>Male Brown Barbarian 04 Yellow</t>
  </si>
  <si>
    <t>Male Brown Barbarian 05 Black</t>
  </si>
  <si>
    <t>Male Brown Barbarian 05 Blue</t>
  </si>
  <si>
    <t>Male Brown Barbarian 05 Green</t>
  </si>
  <si>
    <t>Male Brown Barbarian 05 Magenta</t>
  </si>
  <si>
    <t>Male Brown Barbarian 05 Purple</t>
  </si>
  <si>
    <t>Male Brown Barbarian 05 Red</t>
  </si>
  <si>
    <t>Male Brown Barbarian 05 White</t>
  </si>
  <si>
    <t>Male Brown Barbarian 05 Yellow</t>
  </si>
  <si>
    <t>Male Brown Barbarian 06 Black</t>
  </si>
  <si>
    <t>Male Brown Barbarian 06 Blue</t>
  </si>
  <si>
    <t>Male Brown Barbarian 06 Green</t>
  </si>
  <si>
    <t>Male Brown Barbarian 06 Magenta</t>
  </si>
  <si>
    <t>Male Brown Barbarian 06 Purple</t>
  </si>
  <si>
    <t>Male Brown Barbarian 06 Red</t>
  </si>
  <si>
    <t>Male Brown Barbarian 06 White</t>
  </si>
  <si>
    <t>Male Brown Barbarian 06 Yellow</t>
  </si>
  <si>
    <t>Male Brown Casual 01A</t>
  </si>
  <si>
    <t>Male Brown Casual 01B</t>
  </si>
  <si>
    <t>Male Brown Casual 01C</t>
  </si>
  <si>
    <t>Male Brown Casual 02A</t>
  </si>
  <si>
    <t>Male Brown Casual 02B</t>
  </si>
  <si>
    <t>Male Brown Casual 02C</t>
  </si>
  <si>
    <t>Male Brown Casual 03A</t>
  </si>
  <si>
    <t>Male Brown Casual 03B</t>
  </si>
  <si>
    <t>Male Brown Casual 03C</t>
  </si>
  <si>
    <t>Male Brown Casual 04A</t>
  </si>
  <si>
    <t>Male Brown Casual 04B</t>
  </si>
  <si>
    <t>Male Brown Casual 04C</t>
  </si>
  <si>
    <t>Male Brown Casual 05A</t>
  </si>
  <si>
    <t>Male Brown Casual 05B</t>
  </si>
  <si>
    <t>Male Brown Casual 05C</t>
  </si>
  <si>
    <t>Male Brown Casual 06A</t>
  </si>
  <si>
    <t>Male Brown Casual 06B</t>
  </si>
  <si>
    <t>Male Brown Casual 06C</t>
  </si>
  <si>
    <t>Male Brown Casual 07A</t>
  </si>
  <si>
    <t>Male Brown Casual 07B</t>
  </si>
  <si>
    <t>Male Brown Casual 07C</t>
  </si>
  <si>
    <t>Male Brown Casual 08A</t>
  </si>
  <si>
    <t>Male Brown Casual 08B</t>
  </si>
  <si>
    <t>Male Brown Casual 08C</t>
  </si>
  <si>
    <t>Male Brown King 01 Black</t>
  </si>
  <si>
    <t>Male Brown King 01 Blue</t>
  </si>
  <si>
    <t>Male Brown King 01 Green</t>
  </si>
  <si>
    <t>Male Brown King 01 Magenta</t>
  </si>
  <si>
    <t>Male Brown King 01 Purple</t>
  </si>
  <si>
    <t>Male Brown King 01 Red</t>
  </si>
  <si>
    <t>Male Brown King 01 White</t>
  </si>
  <si>
    <t>Male Brown King 01 Yellow</t>
  </si>
  <si>
    <t>Male Brown Knight 01 Black</t>
  </si>
  <si>
    <t>Male Brown Knight 01 Blue</t>
  </si>
  <si>
    <t>Male Brown Knight 01 Red</t>
  </si>
  <si>
    <t>Male Brown Knight 01 White</t>
  </si>
  <si>
    <t>Male Brown Knight 02 Black</t>
  </si>
  <si>
    <t>Male Brown Knight 02 Blue</t>
  </si>
  <si>
    <t>Male Brown Knight 02 Green</t>
  </si>
  <si>
    <t>Male Brown Knight 02 Purple</t>
  </si>
  <si>
    <t>Male Brown Knight 02 Red</t>
  </si>
  <si>
    <t>Male Brown Knight 02 White</t>
  </si>
  <si>
    <t>Male Brown Knight 03 Black</t>
  </si>
  <si>
    <t>Male Brown Knight 03 Blue</t>
  </si>
  <si>
    <t>Male Brown Knight 03 Brown</t>
  </si>
  <si>
    <t>Male Brown Knight 03 Green</t>
  </si>
  <si>
    <t>Male Brown Knight 03 Magenta</t>
  </si>
  <si>
    <t>Male Brown Knight 03 Purple</t>
  </si>
  <si>
    <t>Male Brown Knight 03 Red</t>
  </si>
  <si>
    <t>Male Brown Knight 03 White</t>
  </si>
  <si>
    <t>Male Brown Knight 04 Black</t>
  </si>
  <si>
    <t>Male Brown Knight 04 Blue</t>
  </si>
  <si>
    <t>Male Brown Knight 04 Brown</t>
  </si>
  <si>
    <t>Male Brown Knight 04 Green</t>
  </si>
  <si>
    <t>Male Brown Knight 04 Magenta</t>
  </si>
  <si>
    <t>Male Brown Knight 04 Purple</t>
  </si>
  <si>
    <t>Male Brown Knight 04 Red</t>
  </si>
  <si>
    <t>Male Brown Knight 04 White</t>
  </si>
  <si>
    <t>Male Brown Knight 05 Black</t>
  </si>
  <si>
    <t>Male Brown Knight 05 Blue</t>
  </si>
  <si>
    <t>Male Brown Knight 05 Brown</t>
  </si>
  <si>
    <t>Male Brown Knight 05 Green</t>
  </si>
  <si>
    <t>Male Brown Knight 05 Magenta</t>
  </si>
  <si>
    <t>Male Brown Knight 05 Purple</t>
  </si>
  <si>
    <t>Male Brown Knight 05 Red</t>
  </si>
  <si>
    <t>Male Brown Knight 05 White</t>
  </si>
  <si>
    <t>Male Brown Knight 06 Black</t>
  </si>
  <si>
    <t>Male Brown Knight 06 Blue</t>
  </si>
  <si>
    <t>Male Brown Knight 06 Green</t>
  </si>
  <si>
    <t>Male Brown Knight 06 Magenta</t>
  </si>
  <si>
    <t>Male Brown Knight 06 Purple</t>
  </si>
  <si>
    <t>Male Brown Knight 06 Red</t>
  </si>
  <si>
    <t>Male Brown Knight 06 White</t>
  </si>
  <si>
    <t>Male Brown Knight 06 Yellow</t>
  </si>
  <si>
    <t>Male Brown Knight 07 Black</t>
  </si>
  <si>
    <t>Male Brown Knight 07 Blue</t>
  </si>
  <si>
    <t>Male Brown Knight 07 Green</t>
  </si>
  <si>
    <t>Male Brown Knight 07 Magenta</t>
  </si>
  <si>
    <t>Male Brown Knight 07 Purple</t>
  </si>
  <si>
    <t>Male Brown Knight 07 Red</t>
  </si>
  <si>
    <t>Male Brown Knight 07 White</t>
  </si>
  <si>
    <t>Male Brown Knight 07 Yellow</t>
  </si>
  <si>
    <t>Male Brown Knight 08 Black</t>
  </si>
  <si>
    <t>Male Brown Knight 08 Blue</t>
  </si>
  <si>
    <t>Male Brown Knight 08 Green</t>
  </si>
  <si>
    <t>Male Brown Knight 08 Magenta</t>
  </si>
  <si>
    <t>Male Brown Knight 08 Purple</t>
  </si>
  <si>
    <t>Male Brown Knight 08 Red</t>
  </si>
  <si>
    <t>Male Brown Knight 08 White</t>
  </si>
  <si>
    <t>Male Brown Knight 08 Yellow</t>
  </si>
  <si>
    <t>Male Brown Naked</t>
  </si>
  <si>
    <t>Male Brown Santa 01</t>
  </si>
  <si>
    <t>Male Brown Wizard 01 Black</t>
  </si>
  <si>
    <t>Male Brown Wizard 01 Blue</t>
  </si>
  <si>
    <t>Male Brown Wizard 01 Green</t>
  </si>
  <si>
    <t>Male Brown Wizard 01 Purple</t>
  </si>
  <si>
    <t>Male Brown Wizard 01 Red</t>
  </si>
  <si>
    <t>Male Brown Wizard 01 White</t>
  </si>
  <si>
    <t>Male Brown Wizard 02 Black</t>
  </si>
  <si>
    <t>Male Brown Wizard 02 Blue</t>
  </si>
  <si>
    <t>Male Brown Wizard 02 Brown</t>
  </si>
  <si>
    <t>Male Brown Wizard 02 Green</t>
  </si>
  <si>
    <t>Male Brown Wizard 02 Purple</t>
  </si>
  <si>
    <t>Male Brown Wizard 02 Red</t>
  </si>
  <si>
    <t>Male Brown Wizard 02 White</t>
  </si>
  <si>
    <t>Male Brown Wizard 03 Black</t>
  </si>
  <si>
    <t>Male Brown Wizard 03 Blue</t>
  </si>
  <si>
    <t>Male Brown Wizard 03 Green</t>
  </si>
  <si>
    <t>Male Brown Wizard 03 Purple</t>
  </si>
  <si>
    <t>Male Brown Wizard 03 Red</t>
  </si>
  <si>
    <t>Male Brown Wizard 03 Yellow</t>
  </si>
  <si>
    <t>Male Brown Wizard 04 Black</t>
  </si>
  <si>
    <t>Male Brown Wizard 04 Blue</t>
  </si>
  <si>
    <t>Male Brown Wizard 04 Brown</t>
  </si>
  <si>
    <t>Male Brown Wizard 04 Green</t>
  </si>
  <si>
    <t>Male Brown Wizard 04 Magenta</t>
  </si>
  <si>
    <t>Male Brown Wizard 04 Purple</t>
  </si>
  <si>
    <t>Male Brown Wizard 04 Red</t>
  </si>
  <si>
    <t>Male Brown Wizard 04 White</t>
  </si>
  <si>
    <t>Male Brown Wizard 05 Black</t>
  </si>
  <si>
    <t>Male Brown Wizard 05 Blue</t>
  </si>
  <si>
    <t>Male Brown Wizard 05 Brown</t>
  </si>
  <si>
    <t>Male Brown Wizard 05 Green</t>
  </si>
  <si>
    <t>Male Brown Wizard 05 Magenta</t>
  </si>
  <si>
    <t>Male Brown Wizard 05 Purple</t>
  </si>
  <si>
    <t>Male Brown Wizard 05 Red</t>
  </si>
  <si>
    <t>Male Brown Wizard 05 White</t>
  </si>
  <si>
    <t>Male Brown Wizard 06 Black</t>
  </si>
  <si>
    <t>Male Brown Wizard 06 Blue</t>
  </si>
  <si>
    <t>Male Brown Wizard 06 Brown</t>
  </si>
  <si>
    <t>Male Brown Wizard 06 Green</t>
  </si>
  <si>
    <t>Male Brown Wizard 06 Magenta</t>
  </si>
  <si>
    <t>Male Brown Wizard 06 Purple</t>
  </si>
  <si>
    <t>Male Brown Wizard 06 Red</t>
  </si>
  <si>
    <t>Male Brown Wizard 06 White</t>
  </si>
  <si>
    <t>Male Fire 01 Orange</t>
  </si>
  <si>
    <t>Male Fire 01 Yellow</t>
  </si>
  <si>
    <t>Male White Archer 01 Black</t>
  </si>
  <si>
    <t>Male White Archer 01 Blue</t>
  </si>
  <si>
    <t>Male White Archer 01 Green</t>
  </si>
  <si>
    <t>Male White Archer 01 Maroon</t>
  </si>
  <si>
    <t>Male White Archer 01 Olive</t>
  </si>
  <si>
    <t>Male White Archer 01 Purple</t>
  </si>
  <si>
    <t>Male White Archer 01 White</t>
  </si>
  <si>
    <t>Male White Archer 02 Blue</t>
  </si>
  <si>
    <t>Male White Archer 02 Green</t>
  </si>
  <si>
    <t>Male White Archer 02 Olive</t>
  </si>
  <si>
    <t>Male White Archer 02 Purple</t>
  </si>
  <si>
    <t>Male White Archer 02 Red</t>
  </si>
  <si>
    <t>Male White Archer 02 White</t>
  </si>
  <si>
    <t>Male White Archer 03 Black</t>
  </si>
  <si>
    <t>Male White Archer 03 Blue</t>
  </si>
  <si>
    <t>Male White Archer 03 Green</t>
  </si>
  <si>
    <t>Male White Archer 03 Magenta</t>
  </si>
  <si>
    <t>Male White Archer 03 Purple</t>
  </si>
  <si>
    <t>Male White Archer 03 Red</t>
  </si>
  <si>
    <t>Male White Archer 03 White</t>
  </si>
  <si>
    <t>Male White Archer 03 Yellow</t>
  </si>
  <si>
    <t>Male White Archer 04 Black</t>
  </si>
  <si>
    <t>Male White Archer 04 Blue</t>
  </si>
  <si>
    <t>Male White Archer 04 Green</t>
  </si>
  <si>
    <t>Male White Archer 04 Magenta</t>
  </si>
  <si>
    <t>Male White Archer 04 Purple</t>
  </si>
  <si>
    <t>Male White Archer 04 Red</t>
  </si>
  <si>
    <t>Male White Archer 04 White</t>
  </si>
  <si>
    <t>Male White Archer 04 Yellow</t>
  </si>
  <si>
    <t>Male White Archer 05 Black</t>
  </si>
  <si>
    <t>Male White Archer 05 Blue</t>
  </si>
  <si>
    <t>Male White Archer 05 Green</t>
  </si>
  <si>
    <t>Male White Archer 05 Magenta</t>
  </si>
  <si>
    <t>Male White Archer 05 Purple</t>
  </si>
  <si>
    <t>Male White Archer 05 Red</t>
  </si>
  <si>
    <t>Male White Archer 05 White</t>
  </si>
  <si>
    <t>Male White Archer 05 Yellow</t>
  </si>
  <si>
    <t>Male White Barbarian 01 Blue</t>
  </si>
  <si>
    <t>Male White Barbarian 01 Green</t>
  </si>
  <si>
    <t>Male White Barbarian 01 Purple</t>
  </si>
  <si>
    <t>Male White Barbarian 01 Red</t>
  </si>
  <si>
    <t>Male White Barbarian 02 Black</t>
  </si>
  <si>
    <t>Male White Barbarian 02 Blue</t>
  </si>
  <si>
    <t>Male White Barbarian 02 Brown</t>
  </si>
  <si>
    <t>Male White Barbarian 02 Green</t>
  </si>
  <si>
    <t>Male White Barbarian 02 Purple</t>
  </si>
  <si>
    <t>Male White Barbarian 02 White</t>
  </si>
  <si>
    <t>Male White Barbarian 03 Black</t>
  </si>
  <si>
    <t>Male White Barbarian 03 Blue</t>
  </si>
  <si>
    <t>Male White Barbarian 03 Brown</t>
  </si>
  <si>
    <t>Male White Barbarian 03 Green</t>
  </si>
  <si>
    <t>Male White Barbarian 03 Magenta</t>
  </si>
  <si>
    <t>Male White Barbarian 03 Purple</t>
  </si>
  <si>
    <t>Male White Barbarian 03 Red</t>
  </si>
  <si>
    <t>Male White Barbarian 03 White</t>
  </si>
  <si>
    <t>Male White Barbarian 04 Black</t>
  </si>
  <si>
    <t>Male White Barbarian 04 Blue</t>
  </si>
  <si>
    <t>Male White Barbarian 04 Green</t>
  </si>
  <si>
    <t>Male White Barbarian 04 Magenta</t>
  </si>
  <si>
    <t>Male White Barbarian 04 Purple</t>
  </si>
  <si>
    <t>Male White Barbarian 04 Red</t>
  </si>
  <si>
    <t>Male White Barbarian 04 White</t>
  </si>
  <si>
    <t>Male White Barbarian 04 Yellow</t>
  </si>
  <si>
    <t>Male White Barbarian 05 Black</t>
  </si>
  <si>
    <t>Male White Barbarian 05 Blue</t>
  </si>
  <si>
    <t>Male White Barbarian 05 Green</t>
  </si>
  <si>
    <t>Male White Barbarian 05 Magenta</t>
  </si>
  <si>
    <t>Male White Barbarian 05 Purple</t>
  </si>
  <si>
    <t>Male White Barbarian 05 Red</t>
  </si>
  <si>
    <t>Male White Barbarian 05 White</t>
  </si>
  <si>
    <t>Male White Barbarian 05 Yellow</t>
  </si>
  <si>
    <t>Male White Barbarian 06 Black</t>
  </si>
  <si>
    <t>Male White Barbarian 06 Blue</t>
  </si>
  <si>
    <t>Male White Barbarian 06 Green</t>
  </si>
  <si>
    <t>Male White Barbarian 06 Magenta</t>
  </si>
  <si>
    <t>Male White Barbarian 06 Purple</t>
  </si>
  <si>
    <t>Male White Barbarian 06 Red</t>
  </si>
  <si>
    <t>Male White Barbarian 06 White</t>
  </si>
  <si>
    <t>Male White Barbarian 06 Yellow</t>
  </si>
  <si>
    <t>Male White Casual 01A</t>
  </si>
  <si>
    <t>Male White Casual 01B</t>
  </si>
  <si>
    <t>Male White Casual 01C</t>
  </si>
  <si>
    <t>Male White Casual 02A</t>
  </si>
  <si>
    <t>Male White Casual 02B</t>
  </si>
  <si>
    <t>Male White Casual 02C</t>
  </si>
  <si>
    <t>Male White Casual 03</t>
  </si>
  <si>
    <t>Male White Casual 03A</t>
  </si>
  <si>
    <t>Male White Casual 03B</t>
  </si>
  <si>
    <t>Male White Casual 03C</t>
  </si>
  <si>
    <t>Male White Casual 04A</t>
  </si>
  <si>
    <t>Male White Casual 04B</t>
  </si>
  <si>
    <t>Male White Casual 04C</t>
  </si>
  <si>
    <t>Male White Casual 05</t>
  </si>
  <si>
    <t>Male White Casual 05A</t>
  </si>
  <si>
    <t>Male White Casual 05B</t>
  </si>
  <si>
    <t>Male White Casual 05C</t>
  </si>
  <si>
    <t>Male White Casual 06</t>
  </si>
  <si>
    <t>Male White Casual 06A</t>
  </si>
  <si>
    <t>Male White Casual 06B</t>
  </si>
  <si>
    <t>Male White Casual 06C</t>
  </si>
  <si>
    <t>Male White Casual 07A</t>
  </si>
  <si>
    <t>Male White Casual 07B</t>
  </si>
  <si>
    <t>Male White Casual 07C</t>
  </si>
  <si>
    <t>Male White Casual 08A</t>
  </si>
  <si>
    <t>Male White Casual 08B</t>
  </si>
  <si>
    <t>Male White Casual 08C</t>
  </si>
  <si>
    <t>Male White King 01 Black</t>
  </si>
  <si>
    <t>Male White King 01 Blue</t>
  </si>
  <si>
    <t>Male White King 01 Green</t>
  </si>
  <si>
    <t>Male White King 01 Magenta</t>
  </si>
  <si>
    <t>Male White King 01 Purple</t>
  </si>
  <si>
    <t>Male White King 01 Red</t>
  </si>
  <si>
    <t>Male White King 01 White</t>
  </si>
  <si>
    <t>Male White King 01 Yellow</t>
  </si>
  <si>
    <t>Male White Knight 01 Black</t>
  </si>
  <si>
    <t>Male White Knight 01 Blue</t>
  </si>
  <si>
    <t>Male White Knight 01 Red</t>
  </si>
  <si>
    <t>Male White Knight 01 White</t>
  </si>
  <si>
    <t>Male White Knight 01</t>
  </si>
  <si>
    <t>Male White Knight 02 Black</t>
  </si>
  <si>
    <t>Male White Knight 02 Blue</t>
  </si>
  <si>
    <t>Male White Knight 02 Green</t>
  </si>
  <si>
    <t>Male White Knight 02 Purple</t>
  </si>
  <si>
    <t>Male White Knight 02 Red</t>
  </si>
  <si>
    <t>Male White Knight 02 White</t>
  </si>
  <si>
    <t>Male White Knight 03 Black</t>
  </si>
  <si>
    <t>Male White Knight 03 Blue</t>
  </si>
  <si>
    <t>Male White Knight 03 Brown</t>
  </si>
  <si>
    <t>Male White Knight 03 Green</t>
  </si>
  <si>
    <t>Male White Knight 03 Magenta</t>
  </si>
  <si>
    <t>Male White Knight 03 Purple</t>
  </si>
  <si>
    <t>Male White Knight 03 Red</t>
  </si>
  <si>
    <t>Male White Knight 03 White</t>
  </si>
  <si>
    <t>Male White Knight 04 Black</t>
  </si>
  <si>
    <t>Male White Knight 04 Blue</t>
  </si>
  <si>
    <t>Male White Knight 04 Brown</t>
  </si>
  <si>
    <t>Male White Knight 04 Green</t>
  </si>
  <si>
    <t>Male White Knight 04 Magenta</t>
  </si>
  <si>
    <t>Male White Knight 04 Purple</t>
  </si>
  <si>
    <t>Male White Knight 04 Red</t>
  </si>
  <si>
    <t>Male White Knight 04 White</t>
  </si>
  <si>
    <t>Male White Knight 05 Black</t>
  </si>
  <si>
    <t>Male White Knight 05 Blue</t>
  </si>
  <si>
    <t>Male White Knight 05 Brown</t>
  </si>
  <si>
    <t>Male White Knight 05 Green</t>
  </si>
  <si>
    <t>Male White Knight 05 Magenta</t>
  </si>
  <si>
    <t>Male White Knight 05 Purple</t>
  </si>
  <si>
    <t>Male White Knight 05 Red</t>
  </si>
  <si>
    <t>Male White Knight 05 White</t>
  </si>
  <si>
    <t>Male White Knight 06 Black</t>
  </si>
  <si>
    <t>Male White Knight 06 Blue</t>
  </si>
  <si>
    <t>Male White Knight 06 Brown</t>
  </si>
  <si>
    <t>Male White Knight 06 Green</t>
  </si>
  <si>
    <t>Male White Knight 06 Magenta</t>
  </si>
  <si>
    <t>Male White Knight 06 Purple</t>
  </si>
  <si>
    <t>Male White Knight 06 Red</t>
  </si>
  <si>
    <t>Male White Knight 06 White</t>
  </si>
  <si>
    <t>Male White Knight 06 Yellow</t>
  </si>
  <si>
    <t>Male White Knight 07 Black</t>
  </si>
  <si>
    <t>Male White Knight 07 Blue</t>
  </si>
  <si>
    <t>Male White Knight 07 Green</t>
  </si>
  <si>
    <t>Male White Knight 07 Magenta</t>
  </si>
  <si>
    <t>Male White Knight 07 Purple</t>
  </si>
  <si>
    <t>Male White Knight 07 Red</t>
  </si>
  <si>
    <t>Male White Knight 07 White</t>
  </si>
  <si>
    <t>Male White Knight 07 Yellow</t>
  </si>
  <si>
    <t>Male White Knight 08 Black</t>
  </si>
  <si>
    <t>Male White Knight 08 Blue</t>
  </si>
  <si>
    <t>Male White Knight 08 Green</t>
  </si>
  <si>
    <t>Male White Knight 08 Magenta</t>
  </si>
  <si>
    <t>Male White Knight 08 Purple</t>
  </si>
  <si>
    <t>Male White Knight 08 Red</t>
  </si>
  <si>
    <t>Male White Knight 08 White</t>
  </si>
  <si>
    <t>Male White Knight 08 Yellow</t>
  </si>
  <si>
    <t>Male White Naked</t>
  </si>
  <si>
    <t>Male White Santa 01</t>
  </si>
  <si>
    <t>Male White Wizard 01 Black</t>
  </si>
  <si>
    <t>Male White Wizard 01 Blue</t>
  </si>
  <si>
    <t>Male White Wizard 01 Green</t>
  </si>
  <si>
    <t>Male White Wizard 01 Purple</t>
  </si>
  <si>
    <t>Male White Wizard 01 Red</t>
  </si>
  <si>
    <t>Male White Wizard 01 White</t>
  </si>
  <si>
    <t>Male White Wizard 02 Black</t>
  </si>
  <si>
    <t>Male White Wizard 02 Blue</t>
  </si>
  <si>
    <t>Male White Wizard 02 Brown</t>
  </si>
  <si>
    <t>Male White Wizard 02 Green</t>
  </si>
  <si>
    <t>Male White Wizard 02 Purple</t>
  </si>
  <si>
    <t>Male White Wizard 02 Red</t>
  </si>
  <si>
    <t>Male White Wizard 02 White</t>
  </si>
  <si>
    <t>Male White Wizard 03 Black</t>
  </si>
  <si>
    <t>Male White Wizard 03 Blue</t>
  </si>
  <si>
    <t>Male White Wizard 03 Green</t>
  </si>
  <si>
    <t>Male White Wizard 03 Purple</t>
  </si>
  <si>
    <t>Male White Wizard 03 Red</t>
  </si>
  <si>
    <t>Male White Wizard 03 Yellow</t>
  </si>
  <si>
    <t>Male White Wizard 04 Black</t>
  </si>
  <si>
    <t>Male White Wizard 04 Blue</t>
  </si>
  <si>
    <t>Male White Wizard 04 Brown</t>
  </si>
  <si>
    <t>Male White Wizard 04 Green</t>
  </si>
  <si>
    <t>Male White Wizard 04 Magenta</t>
  </si>
  <si>
    <t>Male White Wizard 04 Purple</t>
  </si>
  <si>
    <t>Male White Wizard 04 Red</t>
  </si>
  <si>
    <t>Male White Wizard 04 White</t>
  </si>
  <si>
    <t>Male White Wizard 05 Black</t>
  </si>
  <si>
    <t>Male White Wizard 05 Blue</t>
  </si>
  <si>
    <t>Male White Wizard 05 Brown</t>
  </si>
  <si>
    <t>Male White Wizard 05 Green</t>
  </si>
  <si>
    <t>Male White Wizard 05 Magenta</t>
  </si>
  <si>
    <t>Male White Wizard 05 Purple</t>
  </si>
  <si>
    <t>Male White Wizard 05 Red</t>
  </si>
  <si>
    <t>Male White Wizard 05 White</t>
  </si>
  <si>
    <t>Male White Wizard 06 Black</t>
  </si>
  <si>
    <t>Male White Wizard 06 Blue</t>
  </si>
  <si>
    <t>Male White Wizard 06 Brown</t>
  </si>
  <si>
    <t>Male White Wizard 06 Green</t>
  </si>
  <si>
    <t>Male White Wizard 06 Magenta</t>
  </si>
  <si>
    <t>Male White Wizard 06 Purple</t>
  </si>
  <si>
    <t>Male White Wizard 06 Red</t>
  </si>
  <si>
    <t>Male White Wizard 06 White</t>
  </si>
  <si>
    <t>Male Black S Robe 01 Blue</t>
  </si>
  <si>
    <t>Male Black S Robe 01 Brown</t>
  </si>
  <si>
    <t>Male Black S Robe 01 Green</t>
  </si>
  <si>
    <t>Male Black S Robe 01 Purple</t>
  </si>
  <si>
    <t>Male Black S Robe 01 Red</t>
  </si>
  <si>
    <t>Male Black S Robe 02 Blue</t>
  </si>
  <si>
    <t>Male Black S Robe 02 Brown</t>
  </si>
  <si>
    <t>Male Black S Robe 02 Green</t>
  </si>
  <si>
    <t>Male Black S Robe 02 Purple</t>
  </si>
  <si>
    <t>Male Black S Robe 02 Red</t>
  </si>
  <si>
    <t>Male Brown S Robe 01 Blue</t>
  </si>
  <si>
    <t>Male Brown S Robe 01 Brown</t>
  </si>
  <si>
    <t>Male Brown S Robe 01 Green</t>
  </si>
  <si>
    <t>Male Brown S Robe 01 Purple</t>
  </si>
  <si>
    <t>Male Brown S Robe 01 Red</t>
  </si>
  <si>
    <t>Male Brown S Robe 02 Blue</t>
  </si>
  <si>
    <t>Male Brown S Robe 02 Brown</t>
  </si>
  <si>
    <t>Male Brown S Robe 02 Green</t>
  </si>
  <si>
    <t>Male Brown S Robe 02 Purple</t>
  </si>
  <si>
    <t>Male Brown S Robe 02 Red</t>
  </si>
  <si>
    <t>Male White S Robe 01 Blue</t>
  </si>
  <si>
    <t>Male White S Robe 01 Brown</t>
  </si>
  <si>
    <t>Male White S Robe 01 Green</t>
  </si>
  <si>
    <t>Male White S Robe 01 Purple</t>
  </si>
  <si>
    <t>Male White S Robe 01 Red</t>
  </si>
  <si>
    <t>Male White S Robe 02 Blue</t>
  </si>
  <si>
    <t>Male White S Robe 02 Brown</t>
  </si>
  <si>
    <t>Male White S Robe 02 Green</t>
  </si>
  <si>
    <t>Male White S Robe 02 Purple</t>
  </si>
  <si>
    <t>Male White S Robe 02 Red</t>
  </si>
  <si>
    <t>Female Black L Dress 01 Blue</t>
  </si>
  <si>
    <t>Female Black L Dress 01 Brown</t>
  </si>
  <si>
    <t>Female Black L Dress 01 Green</t>
  </si>
  <si>
    <t>Female Black L Dress 01 Purple</t>
  </si>
  <si>
    <t>Female Black L Dress 01 Red</t>
  </si>
  <si>
    <t>Female Black L Dress 02 Blue</t>
  </si>
  <si>
    <t>Female Black L Dress 02 Brown</t>
  </si>
  <si>
    <t>Female Black L Dress 02 Green</t>
  </si>
  <si>
    <t>Female Black L Dress 02 Purple</t>
  </si>
  <si>
    <t>Female Black L Dress 02 Red</t>
  </si>
  <si>
    <t>Female Black L Dress 03 Blue</t>
  </si>
  <si>
    <t>Female Black L Dress 03 Brown</t>
  </si>
  <si>
    <t>Female Black L Dress 03 Green</t>
  </si>
  <si>
    <t>Female Black L Dress 03 Purple</t>
  </si>
  <si>
    <t>Female Black L Dress 03 Red</t>
  </si>
  <si>
    <t>Female Black L Dress 04 Blue</t>
  </si>
  <si>
    <t>Female Black L Dress 04 Brown</t>
  </si>
  <si>
    <t>Female Black L Dress 04 Green</t>
  </si>
  <si>
    <t>Female Black L Dress 04 Purple</t>
  </si>
  <si>
    <t>Female Black L Dress 04 Red</t>
  </si>
  <si>
    <t>Female Brown L Dress 01 Blue</t>
  </si>
  <si>
    <t>Female Brown L Dress 01 Brown</t>
  </si>
  <si>
    <t>Female Brown L Dress 01 Green</t>
  </si>
  <si>
    <t>Female Brown L Dress 01 Purple</t>
  </si>
  <si>
    <t>Female Brown L Dress 01 Red</t>
  </si>
  <si>
    <t>Female Brown L Dress 02 Blue</t>
  </si>
  <si>
    <t>Female Brown L Dress 02 Brown</t>
  </si>
  <si>
    <t>Female Brown L Dress 02 Green</t>
  </si>
  <si>
    <t>Female Brown L Dress 02 Purple</t>
  </si>
  <si>
    <t>Female Brown L Dress 02 Red</t>
  </si>
  <si>
    <t>Female Brown L Dress 03 Blue</t>
  </si>
  <si>
    <t>Female Brown L Dress 03 Brown</t>
  </si>
  <si>
    <t>Female Brown L Dress 03 Green</t>
  </si>
  <si>
    <t>Female Brown L Dress 03 Purple</t>
  </si>
  <si>
    <t>Female Brown L Dress 03 Red</t>
  </si>
  <si>
    <t>Female Brown L Dress 04 Blue</t>
  </si>
  <si>
    <t>Female Brown L Dress 04 Brown</t>
  </si>
  <si>
    <t>Female Brown L Dress 04 Green</t>
  </si>
  <si>
    <t>Female Brown L Dress 04 Purple</t>
  </si>
  <si>
    <t>Female Brown L Dress 04 Red</t>
  </si>
  <si>
    <t>Female White L Dress 01 Blue</t>
  </si>
  <si>
    <t>Female White L Dress 01 Brown</t>
  </si>
  <si>
    <t>Female White L Dress 01 Green</t>
  </si>
  <si>
    <t>Female White L Dress 01 Purple</t>
  </si>
  <si>
    <t>Female White L Dress 01 Red</t>
  </si>
  <si>
    <t>Female White L Dress 02 Blue</t>
  </si>
  <si>
    <t>Female White L Dress 02 Brown</t>
  </si>
  <si>
    <t>Female White L Dress 02 Green</t>
  </si>
  <si>
    <t>Female White L Dress 02 Purple</t>
  </si>
  <si>
    <t>Female White L Dress 02 Red</t>
  </si>
  <si>
    <t>Female White L Dress 03 Blue</t>
  </si>
  <si>
    <t>Female White L Dress 03 Brown</t>
  </si>
  <si>
    <t>Female White L Dress 03 Green</t>
  </si>
  <si>
    <t>Female White L Dress 03 Purple</t>
  </si>
  <si>
    <t>Female White L Dress 03 Red</t>
  </si>
  <si>
    <t>Female White L Dress 04 Blue</t>
  </si>
  <si>
    <t>Female White L Dress 04 Brown</t>
  </si>
  <si>
    <t>Female White L Dress 04 Green</t>
  </si>
  <si>
    <t>Female White L Dress 04 Purple</t>
  </si>
  <si>
    <t>Female White L Dress 04 Red</t>
  </si>
  <si>
    <t>Male Black L Robe 01 Blue</t>
  </si>
  <si>
    <t>Male Black L Robe 01 Brown</t>
  </si>
  <si>
    <t>Male Black L Robe 01 Green</t>
  </si>
  <si>
    <t>Male Black L Robe 01 Purple</t>
  </si>
  <si>
    <t>Male Black L Robe 01 Red</t>
  </si>
  <si>
    <t>Male Black L Robe 02 Blue</t>
  </si>
  <si>
    <t>Male Black L Robe 02 Brown</t>
  </si>
  <si>
    <t>Male Black L Robe 02 Green</t>
  </si>
  <si>
    <t>Male Black L Robe 02 Purple</t>
  </si>
  <si>
    <t>Male Black L Robe 02 Red</t>
  </si>
  <si>
    <t>Male Brown L Robe 01 Blue</t>
  </si>
  <si>
    <t>Male Brown L Robe 01 Brown</t>
  </si>
  <si>
    <t>Male Brown L Robe 01 Green</t>
  </si>
  <si>
    <t>Male Brown L Robe 01 Purple</t>
  </si>
  <si>
    <t>Male Brown L Robe 01 Red</t>
  </si>
  <si>
    <t>Male Brown L Robe 02 Blue</t>
  </si>
  <si>
    <t>Male Brown L Robe 02 Brown</t>
  </si>
  <si>
    <t>Male Brown L Robe 02 Green</t>
  </si>
  <si>
    <t>Male Brown L Robe 02 Purple</t>
  </si>
  <si>
    <t>Male Brown L Robe 02 Red</t>
  </si>
  <si>
    <t>Male White L Robe 01 Blue</t>
  </si>
  <si>
    <t>Male White L Robe 01 Brown</t>
  </si>
  <si>
    <t>Male White L Robe 01 Green</t>
  </si>
  <si>
    <t>Male White L Robe 01 Purple</t>
  </si>
  <si>
    <t>Male White L Robe 01 Red</t>
  </si>
  <si>
    <t>Male White L Robe 02 Blue</t>
  </si>
  <si>
    <t>Male White L Robe 02 Brown</t>
  </si>
  <si>
    <t>Male White L Robe 02 Green</t>
  </si>
  <si>
    <t>Male White L Robe 02 Purple</t>
  </si>
  <si>
    <t>Male White L Robe 02 Red</t>
  </si>
  <si>
    <t>Beard Aqua</t>
  </si>
  <si>
    <t>Beard Black</t>
  </si>
  <si>
    <t>Beard Blonde</t>
  </si>
  <si>
    <t>Beard Brown</t>
  </si>
  <si>
    <t>Beard Cyan</t>
  </si>
  <si>
    <t>Beard Grey</t>
  </si>
  <si>
    <t>Beard Purple</t>
  </si>
  <si>
    <t>Beard Red</t>
  </si>
  <si>
    <t>Beard 04 Black</t>
  </si>
  <si>
    <t>Beard 04 Blonde</t>
  </si>
  <si>
    <t>Beard 04 Blue</t>
  </si>
  <si>
    <t>Beard 04 Brown</t>
  </si>
  <si>
    <t>Beard 04 Purple</t>
  </si>
  <si>
    <t>Beard 04 Red</t>
    <phoneticPr fontId="1" type="noConversion"/>
  </si>
  <si>
    <t>Beard 04 White</t>
  </si>
  <si>
    <t>Jaw 01 Black</t>
  </si>
  <si>
    <t>Jaw 01 Blue</t>
  </si>
  <si>
    <t>Jaw 01 Green</t>
  </si>
  <si>
    <t>Jaw 01 Purple</t>
  </si>
  <si>
    <t>Jaw 01 Red</t>
  </si>
  <si>
    <t>Bunny Ears Black Blue</t>
  </si>
  <si>
    <t>Bunny Ears Black Pink</t>
  </si>
  <si>
    <t>Bunny Ears Black Purple</t>
  </si>
  <si>
    <t>Bunny Ears Strips Black</t>
  </si>
  <si>
    <t>Bunny Ears Strips Blue</t>
  </si>
  <si>
    <t>Bunny Ears Strips Brown</t>
  </si>
  <si>
    <t>Bunny Ears Strips Purple</t>
  </si>
  <si>
    <t>Bunny Ears White Pink</t>
  </si>
  <si>
    <t>Bunny Ears White Purple</t>
  </si>
  <si>
    <t>Cat Ears Black Blue</t>
  </si>
  <si>
    <t>Cat Ears Black Green</t>
  </si>
  <si>
    <t>Cat Ears Black Pink</t>
  </si>
  <si>
    <t>Cat Ears Black Purple</t>
  </si>
  <si>
    <t>Cat Ears Black Red</t>
  </si>
  <si>
    <t>Cat Ears Black Yellow</t>
  </si>
  <si>
    <t>Cat Ears White Blue</t>
  </si>
  <si>
    <t>Cat Ears White Purple</t>
  </si>
  <si>
    <t>Cat Ears White Red</t>
  </si>
  <si>
    <t>Cat Ears White Yellow</t>
  </si>
  <si>
    <t>Elf Ears Black 01</t>
  </si>
  <si>
    <t>Elf Ears Brown 01</t>
  </si>
  <si>
    <t>Elf Ears White 01</t>
  </si>
  <si>
    <t>Elf Ears 02</t>
  </si>
  <si>
    <t>Elf Ears 03</t>
  </si>
  <si>
    <t>Hair Black</t>
  </si>
  <si>
    <t>Hair Blonde</t>
  </si>
  <si>
    <t>Hair Brown</t>
  </si>
  <si>
    <t>Hair Cyan</t>
  </si>
  <si>
    <t>Hair Female 17 Fire</t>
  </si>
  <si>
    <t>Hair Female 18 Black</t>
  </si>
  <si>
    <t>Hair Female 18 Blue</t>
  </si>
  <si>
    <t>Hair Female 18 Green</t>
  </si>
  <si>
    <t>Hair Female 18 Magenta</t>
  </si>
  <si>
    <t>Hair Female 18 Purple</t>
  </si>
  <si>
    <t>Hair Female 18 Red</t>
  </si>
  <si>
    <t>Hair Female 18 White</t>
  </si>
  <si>
    <t>Hair Female 18 Yellow</t>
  </si>
  <si>
    <t>Hair Grey</t>
  </si>
  <si>
    <t>Hair Male 17 Aqua</t>
  </si>
  <si>
    <t>Hair Male 17 Fire</t>
  </si>
  <si>
    <t>Hair Purple</t>
  </si>
  <si>
    <t>Hair Red</t>
  </si>
  <si>
    <t>Hair Female 01</t>
    <phoneticPr fontId="1" type="noConversion"/>
  </si>
  <si>
    <t>Hair Female 02</t>
    <phoneticPr fontId="1" type="noConversion"/>
  </si>
  <si>
    <t>Antlers Blue</t>
  </si>
  <si>
    <t>Antlers Dark</t>
  </si>
  <si>
    <t>Antlers Green</t>
  </si>
  <si>
    <t>Antlers Light</t>
  </si>
  <si>
    <t>Antlers Purple</t>
  </si>
  <si>
    <t>Antlers Red</t>
  </si>
  <si>
    <t>Horn Black</t>
  </si>
  <si>
    <t>Horn Red</t>
  </si>
  <si>
    <t>Horn White</t>
  </si>
  <si>
    <t>Horn 02 Side Black Blue</t>
  </si>
  <si>
    <t>Horn 02 Side Black Green</t>
  </si>
  <si>
    <t>Horn 02 Side Black Orange</t>
  </si>
  <si>
    <t>Horn 02 Side Black Purple</t>
  </si>
  <si>
    <t>Horn 02 Side Black Red</t>
  </si>
  <si>
    <t>Horn 02 Side Green Green</t>
  </si>
  <si>
    <t>Horn 02 Side Red Yellow</t>
  </si>
  <si>
    <t>Horn 02 Side White</t>
  </si>
  <si>
    <t>Horn 02 Side Yellow</t>
  </si>
  <si>
    <t>Horn 03 Blue</t>
  </si>
  <si>
    <t>Horn 03 Green</t>
  </si>
  <si>
    <t>Horn 03 Purple</t>
  </si>
  <si>
    <t>Horn 03 Red</t>
  </si>
  <si>
    <t>Horn 03 Yellow</t>
  </si>
  <si>
    <t>Horn 03 Side</t>
  </si>
  <si>
    <t>Horn 04 Side</t>
  </si>
  <si>
    <t>Horn 05 Side</t>
  </si>
  <si>
    <t>Horn 06 Side</t>
  </si>
  <si>
    <t>Horn 07 Side</t>
  </si>
  <si>
    <t>Horn 08 Side</t>
  </si>
  <si>
    <t>Horn 09 Side</t>
  </si>
  <si>
    <t>Horn 10 Side</t>
  </si>
  <si>
    <t>Horn 04</t>
  </si>
  <si>
    <t>Horn 05</t>
  </si>
  <si>
    <t>Horn 06</t>
  </si>
  <si>
    <t>Horn 07</t>
  </si>
  <si>
    <t>棍棒</t>
    <phoneticPr fontId="1" type="noConversion"/>
  </si>
  <si>
    <t>身体</t>
    <phoneticPr fontId="1" type="noConversion"/>
  </si>
  <si>
    <t>ID</t>
    <phoneticPr fontId="1" type="noConversion"/>
  </si>
  <si>
    <t>CountIndex</t>
    <phoneticPr fontId="1" type="noConversion"/>
  </si>
  <si>
    <t>ID</t>
    <phoneticPr fontId="1" type="noConversion"/>
  </si>
  <si>
    <t>Female</t>
    <phoneticPr fontId="1" type="noConversion"/>
  </si>
  <si>
    <t>Both</t>
    <phoneticPr fontId="1" type="noConversion"/>
  </si>
  <si>
    <t>Sex</t>
    <phoneticPr fontId="1" type="noConversion"/>
  </si>
  <si>
    <t>Male</t>
  </si>
  <si>
    <t>Male</t>
    <phoneticPr fontId="1" type="noConversion"/>
  </si>
  <si>
    <t>Female</t>
    <phoneticPr fontId="1" type="noConversion"/>
  </si>
  <si>
    <t>Male</t>
    <phoneticPr fontId="1" type="noConversion"/>
  </si>
  <si>
    <t>AvatarPart</t>
    <phoneticPr fontId="1" type="noConversion"/>
  </si>
  <si>
    <t>MESH</t>
    <phoneticPr fontId="1" type="noConversion"/>
  </si>
  <si>
    <t>AvatarPardID</t>
    <phoneticPr fontId="1" type="noConversion"/>
  </si>
  <si>
    <t>SexID</t>
    <phoneticPr fontId="1" type="noConversion"/>
  </si>
  <si>
    <t>Mat</t>
    <phoneticPr fontId="1" type="noConversion"/>
  </si>
  <si>
    <t>MatList</t>
    <phoneticPr fontId="1" type="noConversion"/>
  </si>
  <si>
    <t>AvatarPartID</t>
    <phoneticPr fontId="1" type="noConversion"/>
  </si>
  <si>
    <t>表情</t>
    <phoneticPr fontId="1" type="noConversion"/>
  </si>
  <si>
    <t>RES</t>
    <phoneticPr fontId="2" type="noConversion"/>
  </si>
  <si>
    <t>AvatarPartType</t>
    <phoneticPr fontId="1" type="noConversion"/>
  </si>
  <si>
    <t>MainBody</t>
    <phoneticPr fontId="1" type="noConversion"/>
  </si>
  <si>
    <t>身体</t>
  </si>
  <si>
    <t>胡子</t>
  </si>
  <si>
    <t>Beard</t>
  </si>
  <si>
    <t>背包</t>
  </si>
  <si>
    <t>Bag</t>
  </si>
  <si>
    <t>耳朵</t>
  </si>
  <si>
    <t>Ears</t>
  </si>
  <si>
    <t>表情</t>
  </si>
  <si>
    <t>Face</t>
  </si>
  <si>
    <t>头发</t>
  </si>
  <si>
    <t>Hair</t>
  </si>
  <si>
    <t>皇冠</t>
  </si>
  <si>
    <t>帽子</t>
  </si>
  <si>
    <t>头巾</t>
  </si>
  <si>
    <t>头盔</t>
  </si>
  <si>
    <t>面具</t>
  </si>
  <si>
    <t>角</t>
  </si>
  <si>
    <t>衣服</t>
  </si>
  <si>
    <t>Jacket</t>
  </si>
  <si>
    <t>斧子</t>
  </si>
  <si>
    <t>爪子</t>
  </si>
  <si>
    <t>棍棒</t>
  </si>
  <si>
    <t>弩</t>
  </si>
  <si>
    <t>匕首</t>
  </si>
  <si>
    <t>吉他</t>
  </si>
  <si>
    <t>锤子</t>
  </si>
  <si>
    <t>长弓</t>
  </si>
  <si>
    <t>农具</t>
  </si>
  <si>
    <t>箭袋</t>
  </si>
  <si>
    <t>权杖</t>
  </si>
  <si>
    <t>镰刀</t>
  </si>
  <si>
    <t>盾牌</t>
  </si>
  <si>
    <t>长柄</t>
  </si>
  <si>
    <t>剑</t>
  </si>
  <si>
    <t>双手斧</t>
  </si>
  <si>
    <t>双手剑</t>
  </si>
  <si>
    <t>法杖</t>
  </si>
  <si>
    <t>翅膀</t>
  </si>
  <si>
    <t>Wing</t>
  </si>
  <si>
    <t>Head</t>
  </si>
  <si>
    <t>Enum</t>
    <phoneticPr fontId="1" type="noConversion"/>
  </si>
  <si>
    <t>MountPointType</t>
    <phoneticPr fontId="1" type="noConversion"/>
  </si>
  <si>
    <t>Base</t>
  </si>
  <si>
    <t>Back</t>
  </si>
  <si>
    <t>拳套</t>
    <phoneticPr fontId="1" type="noConversion"/>
  </si>
  <si>
    <t>Right</t>
  </si>
  <si>
    <t>Left</t>
  </si>
  <si>
    <t>Root</t>
    <phoneticPr fontId="1" type="noConversion"/>
  </si>
  <si>
    <t>BothHand</t>
  </si>
  <si>
    <t>//ID</t>
    <phoneticPr fontId="1" type="noConversion"/>
  </si>
  <si>
    <t>//Name</t>
    <phoneticPr fontId="1" type="noConversion"/>
  </si>
  <si>
    <t>HeadCrown</t>
  </si>
  <si>
    <t>HeadHat</t>
  </si>
  <si>
    <t>HeadHeadband</t>
  </si>
  <si>
    <t>HeadHelmet</t>
  </si>
  <si>
    <t>HeadMask</t>
  </si>
  <si>
    <t>WeaponAxe</t>
  </si>
  <si>
    <t>WeaponClub</t>
  </si>
  <si>
    <t>WeaponDagger</t>
  </si>
  <si>
    <t>WeaponHammer</t>
  </si>
  <si>
    <t>WeaponSpear</t>
  </si>
  <si>
    <t>WeaponSword</t>
  </si>
  <si>
    <t>WeaponTHAce</t>
  </si>
  <si>
    <t>WeaponTHSword</t>
  </si>
  <si>
    <t>WeaponWand</t>
  </si>
  <si>
    <t>WeaponMace</t>
  </si>
  <si>
    <t>WeaponPeasantTool</t>
  </si>
  <si>
    <t>WeaponScepter</t>
  </si>
  <si>
    <t>WeaponScythe</t>
  </si>
  <si>
    <t>WeaponClaw</t>
  </si>
  <si>
    <t>WeaponKnuckles</t>
  </si>
  <si>
    <t>WeaponGuitar</t>
  </si>
  <si>
    <t>WeaponCrossbow</t>
  </si>
  <si>
    <t>WeaponLongbow</t>
  </si>
  <si>
    <t>WeaponQuiver</t>
  </si>
  <si>
    <t>WeaponShield</t>
  </si>
  <si>
    <t>Horns</t>
    <phoneticPr fontId="1" type="noConversion"/>
  </si>
  <si>
    <t>//ID</t>
    <phoneticPr fontId="2" type="noConversion"/>
  </si>
  <si>
    <t>Beards/Beard 01 Black</t>
  </si>
  <si>
    <t>Beards/Beard 01 Blonde</t>
  </si>
  <si>
    <t>Beards/Beard 01 Brown</t>
  </si>
  <si>
    <t>Beards/Beard 01 Cyan</t>
  </si>
  <si>
    <t>Beards/Beard 01 Grey</t>
  </si>
  <si>
    <t>Beards/Beard 01 Purple</t>
  </si>
  <si>
    <t>Beards/Beard 01 Red</t>
  </si>
  <si>
    <t>Beards/Beard 02 Black</t>
  </si>
  <si>
    <t>Beards/Beard 02 Blonde</t>
  </si>
  <si>
    <t>Beards/Beard 02 Brown</t>
  </si>
  <si>
    <t>Beards/Beard 02 Cyan</t>
  </si>
  <si>
    <t>Beards/Beard 02 Grey</t>
  </si>
  <si>
    <t>Beards/Beard 02 Purple</t>
  </si>
  <si>
    <t>Beards/Beard 02 Red</t>
  </si>
  <si>
    <t>Beards/Beard 03 Black</t>
  </si>
  <si>
    <t>Beards/Beard 03 Blonde</t>
  </si>
  <si>
    <t>Beards/Beard 03 Brown</t>
  </si>
  <si>
    <t>Beards/Beard 03 Cyan</t>
  </si>
  <si>
    <t>Beards/Beard 03 Grey</t>
  </si>
  <si>
    <t>Beards/Beard 03 Purple</t>
  </si>
  <si>
    <t>Beards/Beard 03 Red</t>
  </si>
  <si>
    <t>Beards/Beard 04 Black</t>
  </si>
  <si>
    <t>Beards/Beard 04 Blonde</t>
  </si>
  <si>
    <t>Beards/Beard 04 Blue</t>
  </si>
  <si>
    <t>Beards/Beard 04 Brown</t>
  </si>
  <si>
    <t>Beards/Beard 04 Purple</t>
  </si>
  <si>
    <t>Beards/Beard 04 Red</t>
  </si>
  <si>
    <t>Beards/Beard 04 White</t>
  </si>
  <si>
    <t>Beards/Jaw 01 Black</t>
  </si>
  <si>
    <t>Beards/Jaw 01 Blue</t>
  </si>
  <si>
    <t>Beards/Jaw 01 Green</t>
  </si>
  <si>
    <t>Beards/Jaw 01 Purple</t>
  </si>
  <si>
    <t>Beards/Jaw 01 Red</t>
  </si>
  <si>
    <t>Ears/Bunny Ears Black Blue</t>
  </si>
  <si>
    <t>Ears/Bunny Ears Black Pink</t>
  </si>
  <si>
    <t>Ears/Bunny Ears Black Purple</t>
  </si>
  <si>
    <t>Ears/Bunny Ears Strips Black</t>
  </si>
  <si>
    <t>Ears/Bunny Ears Strips Blue</t>
  </si>
  <si>
    <t>Ears/Bunny Ears Strips Brown</t>
  </si>
  <si>
    <t>Ears/Bunny Ears Strips Purple</t>
  </si>
  <si>
    <t>Ears/Bunny Ears White Pink</t>
  </si>
  <si>
    <t>Ears/Bunny Ears White Purple</t>
  </si>
  <si>
    <t>Ears/Cat Ears Black Blue</t>
  </si>
  <si>
    <t>Ears/Cat Ears Black Green</t>
  </si>
  <si>
    <t>Ears/Cat Ears Black Pink</t>
  </si>
  <si>
    <t>Ears/Cat Ears Black Purple</t>
  </si>
  <si>
    <t>Ears/Cat Ears Black Red</t>
  </si>
  <si>
    <t>Ears/Cat Ears Black Yellow</t>
  </si>
  <si>
    <t>Ears/Cat Ears White Blue</t>
  </si>
  <si>
    <t>Ears/Cat Ears White Purple</t>
  </si>
  <si>
    <t>Ears/Cat Ears White Red</t>
  </si>
  <si>
    <t>Ears/Cat Ears White Yellow</t>
  </si>
  <si>
    <t>Ears/Elf Ears Black 01</t>
  </si>
  <si>
    <t>Ears/Elf Ears Brown 01</t>
  </si>
  <si>
    <t>Ears/Elf Ears White 01</t>
  </si>
  <si>
    <t>Horns/Antlers Blue</t>
  </si>
  <si>
    <t>Horns/Antlers Dark</t>
  </si>
  <si>
    <t>Horns/Antlers Green</t>
  </si>
  <si>
    <t>Horns/Antlers Light</t>
  </si>
  <si>
    <t>Horns/Antlers Purple</t>
  </si>
  <si>
    <t>Horns/Antlers Red</t>
  </si>
  <si>
    <t>Horns/Horn 01 Front Black</t>
  </si>
  <si>
    <t>Horns/Horn 01 Front Red</t>
  </si>
  <si>
    <t>Horns/Horn 01 Front White</t>
  </si>
  <si>
    <t>Horns/Horn 02 Side Black Blue</t>
  </si>
  <si>
    <t>Horns/Horn 02 Side Black Green</t>
  </si>
  <si>
    <t>Horns/Horn 02 Side Black Orange</t>
  </si>
  <si>
    <t>Horns/Horn 02 Side Black Purple</t>
  </si>
  <si>
    <t>Horns/Horn 02 Side Black Red</t>
  </si>
  <si>
    <t>Horns/Horn 02 Side Green Green</t>
  </si>
  <si>
    <t>Horns/Horn 02 Side Red Yellow</t>
  </si>
  <si>
    <t>Horns/Horn 02 Side White</t>
  </si>
  <si>
    <t>Horns/Horn 02 Side Yellow</t>
  </si>
  <si>
    <t>Horns/Horn 03 Blue</t>
  </si>
  <si>
    <t>Horns/Horn 03 Green</t>
  </si>
  <si>
    <t>Horns/Horn 03 Purple</t>
  </si>
  <si>
    <t>Horns/Horn 03 Red</t>
  </si>
  <si>
    <t>Horns/Horn 03 Yellow</t>
  </si>
  <si>
    <t>MainHand</t>
    <phoneticPr fontId="1" type="noConversion"/>
  </si>
  <si>
    <t>OffHand</t>
    <phoneticPr fontId="1" type="noConversion"/>
  </si>
  <si>
    <t>主手</t>
    <phoneticPr fontId="1" type="noConversion"/>
  </si>
  <si>
    <t>副手</t>
    <phoneticPr fontId="1" type="noConversion"/>
  </si>
  <si>
    <t>Quiver</t>
    <phoneticPr fontId="1" type="noConversion"/>
  </si>
  <si>
    <t>UnderWear</t>
    <phoneticPr fontId="1" type="noConversion"/>
  </si>
  <si>
    <t>内衣</t>
    <phoneticPr fontId="1" type="noConversion"/>
  </si>
  <si>
    <t>None</t>
    <phoneticPr fontId="1" type="noConversion"/>
  </si>
  <si>
    <t>Bag</t>
    <phoneticPr fontId="1" type="noConversion"/>
  </si>
  <si>
    <t>Wing</t>
    <phoneticPr fontId="1" type="noConversion"/>
  </si>
  <si>
    <t>Quiver</t>
  </si>
  <si>
    <t>Wing/Back Prop 01 Black</t>
  </si>
  <si>
    <t>Wing/Back Prop 01 Blue</t>
  </si>
  <si>
    <t>Wing/Back Prop 01 Green</t>
  </si>
  <si>
    <t>Wing/Back Prop 01 Magenta</t>
  </si>
  <si>
    <t>Wing/Back Prop 01 Purple</t>
  </si>
  <si>
    <t>Wing/Back Prop 01 Red</t>
  </si>
  <si>
    <t>Wing/Back Prop 01 White</t>
  </si>
  <si>
    <t>Wing/Back Prop 01 Yellow</t>
  </si>
  <si>
    <t>Wing/Back Prop 02 Blue</t>
  </si>
  <si>
    <t>Wing/Back Prop 02 Green</t>
  </si>
  <si>
    <t>Wing/Back Prop 02 Magenta</t>
  </si>
  <si>
    <t>Wing/Back Prop 02 Purple</t>
  </si>
  <si>
    <t>Wing/Back Prop 02 Red</t>
  </si>
  <si>
    <t>Wing/Back Prop 02 Yellow</t>
  </si>
  <si>
    <t>Wing/Wings 01 Black</t>
  </si>
  <si>
    <t>Wing/Wings 01 Gold</t>
  </si>
  <si>
    <t>Wing/Wings 01 White</t>
  </si>
  <si>
    <t>Wing/Wings 02 Dragon Black</t>
  </si>
  <si>
    <t>Wing/Wings 02 Dragon Blue</t>
  </si>
  <si>
    <t>Wing/Wings 02 Dragon Green</t>
  </si>
  <si>
    <t>Wing/Wings 02 Dragon Purple</t>
  </si>
  <si>
    <t>Wing/Wings 02 Dragon Red</t>
  </si>
  <si>
    <t>Wing/Wings 02 Dragon White</t>
  </si>
  <si>
    <t>Wing/Wings 03 Bone Black</t>
  </si>
  <si>
    <t>Wing/Wings 03 Bone Blue</t>
  </si>
  <si>
    <t>Wing/Wings 03 Bone Green</t>
  </si>
  <si>
    <t>Wing/Wings 03 Bone Purple</t>
  </si>
  <si>
    <t>Wing/Wings 03 Bone Red</t>
  </si>
  <si>
    <t>Wing/Wings 03 Bone White</t>
  </si>
  <si>
    <t>Wing/Wings 04 Dragonfly Blue</t>
  </si>
  <si>
    <t>Wing/Wings 04 Dragonfly Brown</t>
  </si>
  <si>
    <t>Wing/Wings 04 Dragonfly Grey</t>
  </si>
  <si>
    <t>Wing/Wings 04 Dragonfly Purple</t>
  </si>
  <si>
    <t>Wing/Wings 04 Dragonfly White</t>
  </si>
  <si>
    <t>Wing/Wings 05 Butterfly Blue</t>
  </si>
  <si>
    <t>Wing/Wings 05 Butterfly Green</t>
  </si>
  <si>
    <t>Wing/Wings 05 Butterfly Orange</t>
  </si>
  <si>
    <t>Wing/Wings 05 Butterfly Purple</t>
  </si>
  <si>
    <t>Wing/Wings 05 Butterfly Rainbow</t>
  </si>
  <si>
    <t>Wing/Wings 05 Butterfly Red</t>
  </si>
  <si>
    <t>Wing/Wings 05 Butterfly Yellow</t>
  </si>
  <si>
    <t>Wing/Wings 06 Leaves Blue</t>
  </si>
  <si>
    <t>Wing/Wings 06 Leaves Brown Green</t>
  </si>
  <si>
    <t>Wing/Wings 06 Leaves Brown</t>
  </si>
  <si>
    <t>Wing/Wings 06 Leaves Green Yellow</t>
  </si>
  <si>
    <t>Wing/Wings 06 Leaves Green</t>
  </si>
  <si>
    <t>Wing/Wings 06 Leaves Mint</t>
  </si>
  <si>
    <t>Wing/Wings 06 Leaves Purple</t>
  </si>
  <si>
    <t>Wing/Wings 06 Leaves Yellow</t>
  </si>
  <si>
    <t>Wing/Wings 07 Love Blue</t>
  </si>
  <si>
    <t>Wing/Wings 07 Love Green</t>
  </si>
  <si>
    <t>Wing/Wings 07 Love Orange</t>
  </si>
  <si>
    <t>Wing/Wings 07 Love Pink</t>
  </si>
  <si>
    <t>Wing/Wings 07 Love Purple</t>
  </si>
  <si>
    <t>Wing/Wings 07 Love Yellow</t>
  </si>
  <si>
    <t>Wing/Wings 08 Black</t>
  </si>
  <si>
    <t>Wing/Wings 08 Blue</t>
  </si>
  <si>
    <t>Wing/Wings 08 Brown</t>
  </si>
  <si>
    <t>Wing/Wings 08 Green</t>
  </si>
  <si>
    <t>Wing/Wings 08 Magenta</t>
  </si>
  <si>
    <t>Wing/Wings 08 Purple</t>
  </si>
  <si>
    <t>Wing/Wings 08 Red</t>
  </si>
  <si>
    <t>Wing/Wings 08 White</t>
  </si>
  <si>
    <t>Wing/Wings 09 Black Red</t>
  </si>
  <si>
    <t>Wing/Wings 09 Black</t>
  </si>
  <si>
    <t>Wing/Wings 09 Blue</t>
  </si>
  <si>
    <t>Wing/Wings 09 Gold White</t>
  </si>
  <si>
    <t>Wing/Wings 09 Green</t>
  </si>
  <si>
    <t>Wing/Wings 09 Magenta</t>
  </si>
  <si>
    <t>Wing/Wings 09 Purple</t>
  </si>
  <si>
    <t>Wing/Wings 09 Red</t>
  </si>
  <si>
    <t>Wing/Wings 09 White</t>
  </si>
  <si>
    <t>Wing/Wings 09 Yellow</t>
  </si>
  <si>
    <t>Wing/Wings 10 Black Purple</t>
  </si>
  <si>
    <t>Wing/Wings 10 Gold White</t>
  </si>
  <si>
    <t>Wing/Wings 10 Purple Green</t>
  </si>
  <si>
    <t>Wing/Wings 10 Purple Magenta</t>
  </si>
  <si>
    <t>Wing/Wings 10 Purple Red</t>
  </si>
  <si>
    <t>Wing/Wings 10 Red Yellow</t>
  </si>
  <si>
    <t>Wing/Wings 10 White Black</t>
  </si>
  <si>
    <t>Wing/Wings 10 White Blue</t>
  </si>
  <si>
    <t>Wing/Wings 11 Blue</t>
  </si>
  <si>
    <t>Wing/Wings 11 Green</t>
  </si>
  <si>
    <t>Wing/Wings 11 Purple</t>
  </si>
  <si>
    <t>Wing/Wings 11 Red</t>
  </si>
  <si>
    <t>Wing/Wings 11 Yellow</t>
  </si>
  <si>
    <t>Bag/Bag 01 Blue</t>
  </si>
  <si>
    <t>Bag/Bag 01 Green</t>
  </si>
  <si>
    <t>Bag/Bag 01 Magenta</t>
  </si>
  <si>
    <t>Bag/Bag 01 Purple</t>
  </si>
  <si>
    <t>Bag/Bag 01 Red</t>
  </si>
  <si>
    <t>Bag/Bag 01 Yellow</t>
  </si>
  <si>
    <t>Bag/Basket 01 Blue Tomato</t>
  </si>
  <si>
    <t>Bag/Basket 01 Blue Vege</t>
  </si>
  <si>
    <t>Bag/Basket 01 Blue Water</t>
  </si>
  <si>
    <t>Bag/Basket 01 Brown Tomato</t>
  </si>
  <si>
    <t>Bag/Basket 01 Brown Vege</t>
  </si>
  <si>
    <t>Bag/Basket 01 Brown Water</t>
  </si>
  <si>
    <t>Bag/Basket 01 Green Tomato</t>
  </si>
  <si>
    <t>Bag/Basket 01 Green Vege</t>
  </si>
  <si>
    <t>Bag/Basket 01 Green Water</t>
  </si>
  <si>
    <t>Bag/Basket 01 Purple Tomato</t>
  </si>
  <si>
    <t>Bag/Basket 01 Purple Vege</t>
  </si>
  <si>
    <t>Bag/Basket 01 Purple Water</t>
  </si>
  <si>
    <t>Bag/Sack 01 Black</t>
  </si>
  <si>
    <t>Bag/Sack 01 Blue</t>
  </si>
  <si>
    <t>Bag/Sack 01 Brown</t>
  </si>
  <si>
    <t>Bag/Sack 01 Green</t>
  </si>
  <si>
    <t>Bag/Sack 01 Magenta</t>
  </si>
  <si>
    <t>Bag/Sack 01 Purple</t>
  </si>
  <si>
    <t>Bag/Sack 01 Red</t>
  </si>
  <si>
    <t>Bag/Sack 01 White</t>
  </si>
  <si>
    <t>Underwear</t>
    <phoneticPr fontId="1" type="noConversion"/>
  </si>
  <si>
    <t>Underwear/Female/Female Aqua 01 Blue</t>
  </si>
  <si>
    <t>Underwear/Female/Female Aqua 01 Cyan</t>
  </si>
  <si>
    <t>Underwear/Female/Female Black Archer 01 Black</t>
  </si>
  <si>
    <t>Underwear/Female/Female Black Archer 01 Blue</t>
  </si>
  <si>
    <t>Underwear/Female/Female Black Archer 01 Green</t>
  </si>
  <si>
    <t>Underwear/Female/Female Black Archer 01 Magenta</t>
  </si>
  <si>
    <t>Underwear/Female/Female Black Archer 01 Purple</t>
  </si>
  <si>
    <t>Underwear/Female/Female Black Archer 01 White</t>
  </si>
  <si>
    <t>Underwear/Female/Female Black Archer 02 Black</t>
  </si>
  <si>
    <t>Underwear/Female/Female Black Archer 02 Blue</t>
  </si>
  <si>
    <t>Underwear/Female/Female Black Archer 02 Green</t>
  </si>
  <si>
    <t>Underwear/Female/Female Black Archer 02 Lime</t>
  </si>
  <si>
    <t>Underwear/Female/Female Black Archer 02 Magenta</t>
  </si>
  <si>
    <t>Underwear/Female/Female Black Archer 02 Purple</t>
  </si>
  <si>
    <t>Underwear/Female/Female Black Archer 02 White</t>
  </si>
  <si>
    <t>Underwear/Female/Female Black Archer 03 Black</t>
  </si>
  <si>
    <t>Underwear/Female/Female Black Archer 03 Blue</t>
  </si>
  <si>
    <t>Underwear/Female/Female Black Archer 03 Green</t>
  </si>
  <si>
    <t>Underwear/Female/Female Black Archer 03 Maroon</t>
  </si>
  <si>
    <t>Underwear/Female/Female Black Archer 03 Olive</t>
  </si>
  <si>
    <t>Underwear/Female/Female Black Archer 03 Purple</t>
  </si>
  <si>
    <t>Underwear/Female/Female Black Archer 03 White</t>
  </si>
  <si>
    <t>Underwear/Female/Female Black Archer 04 Black</t>
  </si>
  <si>
    <t>Underwear/Female/Female Black Archer 04 Blue</t>
  </si>
  <si>
    <t>Underwear/Female/Female Black Archer 04 Green</t>
  </si>
  <si>
    <t>Underwear/Female/Female Black Archer 04 Magenta</t>
  </si>
  <si>
    <t>Underwear/Female/Female Black Archer 04 Purple</t>
  </si>
  <si>
    <t>Underwear/Female/Female Black Archer 04 Red</t>
  </si>
  <si>
    <t>Underwear/Female/Female Black Archer 04 White</t>
  </si>
  <si>
    <t>Underwear/Female/Female Black Archer 04 Yellow</t>
  </si>
  <si>
    <t>Underwear/Female/Female Black Archer 05 Black</t>
  </si>
  <si>
    <t>Underwear/Female/Female Black Archer 05 Blue</t>
  </si>
  <si>
    <t>Underwear/Female/Female Black Archer 05 Green</t>
  </si>
  <si>
    <t>Underwear/Female/Female Black Archer 05 Magenta</t>
  </si>
  <si>
    <t>Underwear/Female/Female Black Archer 05 Purple</t>
  </si>
  <si>
    <t>Underwear/Female/Female Black Archer 05 Red</t>
  </si>
  <si>
    <t>Underwear/Female/Female Black Archer 05 White</t>
  </si>
  <si>
    <t>Underwear/Female/Female Black Archer 05 Yellow</t>
  </si>
  <si>
    <t>Underwear/Female/Female Black Barbarian 01 Blue</t>
  </si>
  <si>
    <t>Underwear/Female/Female Black Barbarian 01 Green</t>
  </si>
  <si>
    <t>Underwear/Female/Female Black Barbarian 01 Pink</t>
  </si>
  <si>
    <t>Underwear/Female/Female Black Barbarian 01 Purple</t>
  </si>
  <si>
    <t>Underwear/Female/Female Black Barbarian 01 Yellow</t>
  </si>
  <si>
    <t>Underwear/Female/Female Black Barbarian 02 Black</t>
  </si>
  <si>
    <t>Underwear/Female/Female Black Barbarian 02 Blue</t>
  </si>
  <si>
    <t>Underwear/Female/Female Black Barbarian 02 Green</t>
  </si>
  <si>
    <t>Underwear/Female/Female Black Barbarian 02 Purple</t>
  </si>
  <si>
    <t>Underwear/Female/Female Black Barbarian 02 Red</t>
  </si>
  <si>
    <t>Underwear/Female/Female Black Barbarian 02 White</t>
  </si>
  <si>
    <t>Underwear/Female/Female Black Barbarian 03 Black</t>
  </si>
  <si>
    <t>Underwear/Female/Female Black Barbarian 03 Blue</t>
  </si>
  <si>
    <t>Underwear/Female/Female Black Barbarian 03 Brown</t>
  </si>
  <si>
    <t>Underwear/Female/Female Black Barbarian 03 Green</t>
  </si>
  <si>
    <t>Underwear/Female/Female Black Barbarian 03 Magenta</t>
  </si>
  <si>
    <t>Underwear/Female/Female Black Barbarian 03 Purple</t>
  </si>
  <si>
    <t>Underwear/Female/Female Black Barbarian 03 Red</t>
  </si>
  <si>
    <t>Underwear/Female/Female Black Barbarian 03 White</t>
  </si>
  <si>
    <t>Underwear/Female/Female Black Barbarian 04 Black</t>
  </si>
  <si>
    <t>Underwear/Female/Female Black Barbarian 04 Blue</t>
  </si>
  <si>
    <t>Underwear/Female/Female Black Barbarian 04 Green</t>
  </si>
  <si>
    <t>Underwear/Female/Female Black Barbarian 04 Magenta</t>
  </si>
  <si>
    <t>Underwear/Female/Female Black Barbarian 04 Purple</t>
  </si>
  <si>
    <t>Underwear/Female/Female Black Barbarian 04 Red</t>
  </si>
  <si>
    <t>Underwear/Female/Female Black Barbarian 04 White</t>
  </si>
  <si>
    <t>Underwear/Female/Female Black Barbarian 04 Yellow</t>
  </si>
  <si>
    <t>Underwear/Female/Female Black Barbarian 05 Black</t>
  </si>
  <si>
    <t>Underwear/Female/Female Black Barbarian 05 Blue</t>
  </si>
  <si>
    <t>Underwear/Female/Female Black Barbarian 05 Green</t>
  </si>
  <si>
    <t>Underwear/Female/Female Black Barbarian 05 Magenta</t>
  </si>
  <si>
    <t>Underwear/Female/Female Black Barbarian 05 Purple</t>
  </si>
  <si>
    <t>Underwear/Female/Female Black Barbarian 05 Red</t>
  </si>
  <si>
    <t>Underwear/Female/Female Black Barbarian 05 White</t>
  </si>
  <si>
    <t>Underwear/Female/Female Black Barbarian 05 Yellow</t>
  </si>
  <si>
    <t>Underwear/Female/Female Black Casual 01A</t>
  </si>
  <si>
    <t>Underwear/Female/Female Black Casual 01B</t>
  </si>
  <si>
    <t>Underwear/Female/Female Black Casual 01C</t>
  </si>
  <si>
    <t>Underwear/Female/Female Black Casual 02A</t>
  </si>
  <si>
    <t>Underwear/Female/Female Black Casual 02B</t>
  </si>
  <si>
    <t>Underwear/Female/Female Black Casual 02C</t>
  </si>
  <si>
    <t>Underwear/Female/Female Black Casual 03A</t>
  </si>
  <si>
    <t>Underwear/Female/Female Black Casual 03B</t>
  </si>
  <si>
    <t>Underwear/Female/Female Black Casual 03C</t>
  </si>
  <si>
    <t>Underwear/Female/Female Black Casual 04A</t>
  </si>
  <si>
    <t>Underwear/Female/Female Black Casual 04B</t>
  </si>
  <si>
    <t>Underwear/Female/Female Black Casual 04C</t>
  </si>
  <si>
    <t>Underwear/Female/Female Black Casual 05A</t>
  </si>
  <si>
    <t>Underwear/Female/Female Black Casual 05B</t>
  </si>
  <si>
    <t>Underwear/Female/Female Black Casual 05C</t>
  </si>
  <si>
    <t>Underwear/Female/Female Black Casual 06A</t>
  </si>
  <si>
    <t>Underwear/Female/Female Black Casual 06B</t>
  </si>
  <si>
    <t>Underwear/Female/Female Black Casual 06C</t>
  </si>
  <si>
    <t>Underwear/Female/Female Black Casual 07A</t>
  </si>
  <si>
    <t>Underwear/Female/Female Black Casual 07B</t>
  </si>
  <si>
    <t>Underwear/Female/Female Black Casual 07C</t>
  </si>
  <si>
    <t>Underwear/Female/Female Black Casual 08A</t>
  </si>
  <si>
    <t>Underwear/Female/Female Black Casual 08B</t>
  </si>
  <si>
    <t>Underwear/Female/Female Black Casual 08C</t>
  </si>
  <si>
    <t>Underwear/Female/Female Black Elf 01</t>
  </si>
  <si>
    <t>Underwear/Female/Female Black Knight 01 Black</t>
  </si>
  <si>
    <t>Underwear/Female/Female Black Knight 01 Blue</t>
  </si>
  <si>
    <t>Underwear/Female/Female Black Knight 01 Green</t>
  </si>
  <si>
    <t>Underwear/Female/Female Black Knight 01 Purple</t>
  </si>
  <si>
    <t>Underwear/Female/Female Black Knight 01 Red</t>
  </si>
  <si>
    <t>Underwear/Female/Female Black Knight 01 White</t>
  </si>
  <si>
    <t>Underwear/Female/Female Black Knight 02 Black</t>
  </si>
  <si>
    <t>Underwear/Female/Female Black Knight 02 Blue</t>
  </si>
  <si>
    <t>Underwear/Female/Female Black Knight 02 Green</t>
  </si>
  <si>
    <t>Underwear/Female/Female Black Knight 02 Purple</t>
  </si>
  <si>
    <t>Underwear/Female/Female Black Knight 02 Red</t>
  </si>
  <si>
    <t>Underwear/Female/Female Black Knight 02 White</t>
  </si>
  <si>
    <t>Underwear/Female/Female Black Knight 03 Black</t>
  </si>
  <si>
    <t>Underwear/Female/Female Black Knight 03 Blue</t>
  </si>
  <si>
    <t>Underwear/Female/Female Black Knight 03 Green</t>
  </si>
  <si>
    <t>Underwear/Female/Female Black Knight 03 Purple</t>
  </si>
  <si>
    <t>Underwear/Female/Female Black Knight 03 Red</t>
  </si>
  <si>
    <t>Underwear/Female/Female Black Knight 03 White</t>
  </si>
  <si>
    <t>Underwear/Female/Female Black Knight 04 Black</t>
  </si>
  <si>
    <t>Underwear/Female/Female Black Knight 04 Blue</t>
  </si>
  <si>
    <t>Underwear/Female/Female Black Knight 04 Green</t>
  </si>
  <si>
    <t>Underwear/Female/Female Black Knight 04 Magenta</t>
  </si>
  <si>
    <t>Underwear/Female/Female Black Knight 04 Purple</t>
  </si>
  <si>
    <t>Underwear/Female/Female Black Knight 04 Red</t>
  </si>
  <si>
    <t>Underwear/Female/Female Black Knight 04 White</t>
  </si>
  <si>
    <t>Underwear/Female/Female Black Knight 04 Yellow</t>
  </si>
  <si>
    <t>Underwear/Female/Female Black Knight 05 Black</t>
  </si>
  <si>
    <t>Underwear/Female/Female Black Knight 05 Blue</t>
  </si>
  <si>
    <t>Underwear/Female/Female Black Knight 05 Green</t>
  </si>
  <si>
    <t>Underwear/Female/Female Black Knight 05 Magenta</t>
  </si>
  <si>
    <t>Underwear/Female/Female Black Knight 05 Purple</t>
  </si>
  <si>
    <t>Underwear/Female/Female Black Knight 05 Red</t>
  </si>
  <si>
    <t>Underwear/Female/Female Black Knight 05 White</t>
  </si>
  <si>
    <t>Underwear/Female/Female Black Knight 05 Yellow</t>
  </si>
  <si>
    <t>Underwear/Female/Female Black Knight 06 Black</t>
  </si>
  <si>
    <t>Underwear/Female/Female Black Knight 06 Blue</t>
  </si>
  <si>
    <t>Underwear/Female/Female Black Knight 06 Green</t>
  </si>
  <si>
    <t>Underwear/Female/Female Black Knight 06 Magenta</t>
  </si>
  <si>
    <t>Underwear/Female/Female Black Knight 06 Purple</t>
  </si>
  <si>
    <t>Underwear/Female/Female Black Knight 06 Red</t>
  </si>
  <si>
    <t>Underwear/Female/Female Black Knight 06 White</t>
  </si>
  <si>
    <t>Underwear/Female/Female Black Knight 06 Yellow</t>
  </si>
  <si>
    <t>Underwear/Female/Female Black L Dress 01 Blue</t>
  </si>
  <si>
    <t>Underwear/Female/Female Black L Dress 01 Brown</t>
  </si>
  <si>
    <t>Underwear/Female/Female Black L Dress 01 Green</t>
  </si>
  <si>
    <t>Underwear/Female/Female Black L Dress 01 Purple</t>
  </si>
  <si>
    <t>Underwear/Female/Female Black L Dress 01 Red</t>
  </si>
  <si>
    <t>Underwear/Female/Female Black L Dress 02 Blue</t>
  </si>
  <si>
    <t>Underwear/Female/Female Black L Dress 02 Brown</t>
  </si>
  <si>
    <t>Underwear/Female/Female Black L Dress 02 Green</t>
  </si>
  <si>
    <t>Underwear/Female/Female Black L Dress 02 Purple</t>
  </si>
  <si>
    <t>Underwear/Female/Female Black L Dress 02 Red</t>
  </si>
  <si>
    <t>Underwear/Female/Female Black L Dress 03 Blue</t>
  </si>
  <si>
    <t>Underwear/Female/Female Black L Dress 03 Brown</t>
  </si>
  <si>
    <t>Underwear/Female/Female Black L Dress 03 Green</t>
  </si>
  <si>
    <t>Underwear/Female/Female Black L Dress 03 Purple</t>
  </si>
  <si>
    <t>Underwear/Female/Female Black L Dress 03 Red</t>
  </si>
  <si>
    <t>Underwear/Female/Female Black L Dress 04 Blue</t>
  </si>
  <si>
    <t>Underwear/Female/Female Black L Dress 04 Brown</t>
  </si>
  <si>
    <t>Underwear/Female/Female Black L Dress 04 Green</t>
  </si>
  <si>
    <t>Underwear/Female/Female Black L Dress 04 Purple</t>
  </si>
  <si>
    <t>Underwear/Female/Female Black L Dress 04 Red</t>
  </si>
  <si>
    <t>Underwear/Female/Female Black Naked</t>
  </si>
  <si>
    <t>Underwear/Female/Female Black Sorceress 01 Black</t>
  </si>
  <si>
    <t>Underwear/Female/Female Black Sorceress 01 Blue</t>
  </si>
  <si>
    <t>Underwear/Female/Female Black Sorceress 01 Green</t>
  </si>
  <si>
    <t>Underwear/Female/Female Black Sorceress 01 Pink</t>
  </si>
  <si>
    <t>Underwear/Female/Female Black Sorceress 01 Purple</t>
  </si>
  <si>
    <t>Underwear/Female/Female Black Sorceress 02 Blue</t>
  </si>
  <si>
    <t>Underwear/Female/Female Black Sorceress 02 Green</t>
  </si>
  <si>
    <t>Underwear/Female/Female Black Sorceress 02 Purple</t>
  </si>
  <si>
    <t>Underwear/Female/Female Black Sorceress 02 Red</t>
  </si>
  <si>
    <t>Underwear/Female/Female Black Sorceress 03 Black</t>
  </si>
  <si>
    <t>Underwear/Female/Female Black Sorceress 03 Blue</t>
  </si>
  <si>
    <t>Underwear/Female/Female Black Sorceress 03 Brown</t>
  </si>
  <si>
    <t>Underwear/Female/Female Black Sorceress 03 Green</t>
  </si>
  <si>
    <t>Underwear/Female/Female Black Sorceress 03 Purple</t>
  </si>
  <si>
    <t>Underwear/Female/Female Black Sorceress 03 Red</t>
  </si>
  <si>
    <t>Underwear/Female/Female Black Sorceress 03 White</t>
  </si>
  <si>
    <t>Underwear/Female/Female Black Sorceress 04 Black</t>
  </si>
  <si>
    <t>Underwear/Female/Female Black Sorceress 04 Blue</t>
  </si>
  <si>
    <t>Underwear/Female/Female Black Sorceress 04 Brown</t>
  </si>
  <si>
    <t>Underwear/Female/Female Black Sorceress 04 Green</t>
  </si>
  <si>
    <t>Underwear/Female/Female Black Sorceress 04 Magenta</t>
  </si>
  <si>
    <t>Underwear/Female/Female Black Sorceress 04 Purple</t>
  </si>
  <si>
    <t>Underwear/Female/Female Black Sorceress 04 Red</t>
  </si>
  <si>
    <t>Underwear/Female/Female Black Sorceress 04 White</t>
  </si>
  <si>
    <t>Underwear/Female/Female Black Sorceress 05 Black</t>
  </si>
  <si>
    <t>Underwear/Female/Female Black Sorceress 05 Blue</t>
  </si>
  <si>
    <t>Underwear/Female/Female Black Sorceress 05 Brown</t>
  </si>
  <si>
    <t>Underwear/Female/Female Black Sorceress 05 Green</t>
  </si>
  <si>
    <t>Underwear/Female/Female Black Sorceress 05 Magenta</t>
  </si>
  <si>
    <t>Underwear/Female/Female Black Sorceress 05 Purple</t>
  </si>
  <si>
    <t>Underwear/Female/Female Black Sorceress 05 Red</t>
  </si>
  <si>
    <t>Underwear/Female/Female Black Sorceress 05 White</t>
  </si>
  <si>
    <t>Underwear/Female/Female Black Sorceress 06 Black</t>
  </si>
  <si>
    <t>Underwear/Female/Female Black Sorceress 06 Blue</t>
  </si>
  <si>
    <t>Underwear/Female/Female Black Sorceress 06 Brown</t>
  </si>
  <si>
    <t>Underwear/Female/Female Black Sorceress 06 Green</t>
  </si>
  <si>
    <t>Underwear/Female/Female Black Sorceress 06 Magenta</t>
  </si>
  <si>
    <t>Underwear/Female/Female Black Sorceress 06 Purple</t>
  </si>
  <si>
    <t>Underwear/Female/Female Black Sorceress 06 Red</t>
  </si>
  <si>
    <t>Underwear/Female/Female Black Sorceress 06 White</t>
  </si>
  <si>
    <t>Underwear/Female/Female Brown Archer 01 Black</t>
  </si>
  <si>
    <t>Underwear/Female/Female Brown Archer 01 Blue</t>
  </si>
  <si>
    <t>Underwear/Female/Female Brown Archer 01 Green</t>
  </si>
  <si>
    <t>Underwear/Female/Female Brown Archer 01 Magenta</t>
  </si>
  <si>
    <t>Underwear/Female/Female Brown Archer 01 Purple</t>
  </si>
  <si>
    <t>Underwear/Female/Female Brown Archer 01 White</t>
  </si>
  <si>
    <t>Underwear/Female/Female Brown Archer 02 Black</t>
  </si>
  <si>
    <t>Underwear/Female/Female Brown Archer 02 Blue</t>
  </si>
  <si>
    <t>Underwear/Female/Female Brown Archer 02 Green</t>
  </si>
  <si>
    <t>Underwear/Female/Female Brown Archer 02 Lime</t>
  </si>
  <si>
    <t>Underwear/Female/Female Brown Archer 02 Magenta</t>
  </si>
  <si>
    <t>Underwear/Female/Female Brown Archer 02 Purple</t>
  </si>
  <si>
    <t>Underwear/Female/Female Brown Archer 02 White</t>
  </si>
  <si>
    <t>Underwear/Female/Female Brown Archer 03 Black</t>
  </si>
  <si>
    <t>Underwear/Female/Female Brown Archer 03 Blue</t>
  </si>
  <si>
    <t>Underwear/Female/Female Brown Archer 03 Green</t>
  </si>
  <si>
    <t>Underwear/Female/Female Brown Archer 03 Maroon</t>
  </si>
  <si>
    <t>Underwear/Female/Female Brown Archer 03 Olive</t>
  </si>
  <si>
    <t>Underwear/Female/Female Brown Archer 03 Purple</t>
  </si>
  <si>
    <t>Underwear/Female/Female Brown Archer 03 White</t>
  </si>
  <si>
    <t>Underwear/Female/Female Brown Archer 04 Black</t>
  </si>
  <si>
    <t>Underwear/Female/Female Brown Archer 04 Blue</t>
  </si>
  <si>
    <t>Underwear/Female/Female Brown Archer 04 Green</t>
  </si>
  <si>
    <t>Underwear/Female/Female Brown Archer 04 Magenta</t>
  </si>
  <si>
    <t>Underwear/Female/Female Brown Archer 04 Purple</t>
  </si>
  <si>
    <t>Underwear/Female/Female Brown Archer 04 Red</t>
  </si>
  <si>
    <t>Underwear/Female/Female Brown Archer 04 White</t>
  </si>
  <si>
    <t>Underwear/Female/Female Brown Archer 04 Yellow</t>
  </si>
  <si>
    <t>Underwear/Female/Female Brown Archer 05 Black</t>
  </si>
  <si>
    <t>Underwear/Female/Female Brown Archer 05 Blue</t>
  </si>
  <si>
    <t>Underwear/Female/Female Brown Archer 05 Green</t>
  </si>
  <si>
    <t>Underwear/Female/Female Brown Archer 05 Magenta</t>
  </si>
  <si>
    <t>Underwear/Female/Female Brown Archer 05 Purple</t>
  </si>
  <si>
    <t>Underwear/Female/Female Brown Archer 05 Red</t>
  </si>
  <si>
    <t>Underwear/Female/Female Brown Archer 05 White</t>
  </si>
  <si>
    <t>Underwear/Female/Female Brown Archer 05 Yellow</t>
  </si>
  <si>
    <t>Underwear/Female/Female Brown Barbarian 01 Blue</t>
  </si>
  <si>
    <t>Underwear/Female/Female Brown Barbarian 01 Green</t>
  </si>
  <si>
    <t>Underwear/Female/Female Brown Barbarian 01 Pink</t>
  </si>
  <si>
    <t>Underwear/Female/Female Brown Barbarian 01 Purple</t>
  </si>
  <si>
    <t>Underwear/Female/Female Brown Barbarian 01 Yellow</t>
  </si>
  <si>
    <t>Underwear/Female/Female Brown Barbarian 02 Black</t>
  </si>
  <si>
    <t>Underwear/Female/Female Brown Barbarian 02 Blue</t>
  </si>
  <si>
    <t>Underwear/Female/Female Brown Barbarian 02 Green</t>
  </si>
  <si>
    <t>Underwear/Female/Female Brown Barbarian 02 Purple</t>
  </si>
  <si>
    <t>Underwear/Female/Female Brown Barbarian 02 Red</t>
  </si>
  <si>
    <t>Underwear/Female/Female Brown Barbarian 02 White</t>
  </si>
  <si>
    <t>Underwear/Female/Female Brown Barbarian 03 Black</t>
  </si>
  <si>
    <t>Underwear/Female/Female Brown Barbarian 03 Blue</t>
  </si>
  <si>
    <t>Underwear/Female/Female Brown Barbarian 03 Brown</t>
  </si>
  <si>
    <t>Underwear/Female/Female Brown Barbarian 03 Green</t>
  </si>
  <si>
    <t>Underwear/Female/Female Brown Barbarian 03 Magenta</t>
  </si>
  <si>
    <t>Underwear/Female/Female Brown Barbarian 03 Purple</t>
  </si>
  <si>
    <t>Underwear/Female/Female Brown Barbarian 03 Red</t>
  </si>
  <si>
    <t>Underwear/Female/Female Brown Barbarian 03 White</t>
  </si>
  <si>
    <t>Underwear/Female/Female Brown Barbarian 04 Black</t>
  </si>
  <si>
    <t>Underwear/Female/Female Brown Barbarian 04 Blue</t>
  </si>
  <si>
    <t>Underwear/Female/Female Brown Barbarian 04 Green</t>
  </si>
  <si>
    <t>Underwear/Female/Female Brown Barbarian 04 Magenta</t>
  </si>
  <si>
    <t>Underwear/Female/Female Brown Barbarian 04 Purple</t>
  </si>
  <si>
    <t>Underwear/Female/Female Brown Barbarian 04 Red</t>
  </si>
  <si>
    <t>Underwear/Female/Female Brown Barbarian 04 White</t>
  </si>
  <si>
    <t>Underwear/Female/Female Brown Barbarian 04 Yellow</t>
  </si>
  <si>
    <t>Underwear/Female/Female Brown Barbarian 05 Black</t>
  </si>
  <si>
    <t>Underwear/Female/Female Brown Barbarian 05 Blue</t>
  </si>
  <si>
    <t>Underwear/Female/Female Brown Barbarian 05 Green</t>
  </si>
  <si>
    <t>Underwear/Female/Female Brown Barbarian 05 Magenta</t>
  </si>
  <si>
    <t>Underwear/Female/Female Brown Barbarian 05 Purple</t>
  </si>
  <si>
    <t>Underwear/Female/Female Brown Barbarian 05 Red</t>
  </si>
  <si>
    <t>Underwear/Female/Female Brown Barbarian 05 White</t>
  </si>
  <si>
    <t>Underwear/Female/Female Brown Barbarian 05 Yellow</t>
  </si>
  <si>
    <t>Underwear/Female/Female Brown Casual 01A</t>
  </si>
  <si>
    <t>Underwear/Female/Female Brown Casual 01B</t>
  </si>
  <si>
    <t>Underwear/Female/Female Brown Casual 01C</t>
  </si>
  <si>
    <t>Underwear/Female/Female Brown Casual 02A</t>
  </si>
  <si>
    <t>Underwear/Female/Female Brown Casual 02B</t>
  </si>
  <si>
    <t>Underwear/Female/Female Brown Casual 02C</t>
  </si>
  <si>
    <t>Underwear/Female/Female Brown Casual 03A</t>
  </si>
  <si>
    <t>Underwear/Female/Female Brown Casual 03B</t>
  </si>
  <si>
    <t>Underwear/Female/Female Brown Casual 03C</t>
  </si>
  <si>
    <t>Underwear/Female/Female Brown Casual 04A</t>
  </si>
  <si>
    <t>Underwear/Female/Female Brown Casual 04B</t>
  </si>
  <si>
    <t>Underwear/Female/Female Brown Casual 04C</t>
  </si>
  <si>
    <t>Underwear/Female/Female Brown Casual 05A</t>
  </si>
  <si>
    <t>Underwear/Female/Female Brown Casual 05B</t>
  </si>
  <si>
    <t>Underwear/Female/Female Brown Casual 05C</t>
  </si>
  <si>
    <t>Underwear/Female/Female Brown Casual 06A</t>
  </si>
  <si>
    <t>Underwear/Female/Female Brown Casual 06B</t>
  </si>
  <si>
    <t>Underwear/Female/Female Brown Casual 06C</t>
  </si>
  <si>
    <t>Underwear/Female/Female Brown Casual 07A</t>
  </si>
  <si>
    <t>Underwear/Female/Female Brown Casual 07B</t>
  </si>
  <si>
    <t>Underwear/Female/Female Brown Casual 07C</t>
  </si>
  <si>
    <t>Underwear/Female/Female Brown Casual 08A</t>
  </si>
  <si>
    <t>Underwear/Female/Female Brown Casual 08B</t>
  </si>
  <si>
    <t>Underwear/Female/Female Brown Casual 08C</t>
  </si>
  <si>
    <t>Underwear/Female/Female Brown Elf 01</t>
  </si>
  <si>
    <t>Underwear/Female/Female Brown Knight 01 Black</t>
  </si>
  <si>
    <t>Underwear/Female/Female Brown Knight 01 Blue</t>
  </si>
  <si>
    <t>Underwear/Female/Female Brown Knight 01 Green</t>
  </si>
  <si>
    <t>Underwear/Female/Female Brown Knight 01 Purple</t>
  </si>
  <si>
    <t>Underwear/Female/Female Brown Knight 01 Red</t>
  </si>
  <si>
    <t>Underwear/Female/Female Brown Knight 01 White</t>
  </si>
  <si>
    <t>Underwear/Female/Female Brown Knight 02 Black</t>
  </si>
  <si>
    <t>Underwear/Female/Female Brown Knight 02 Blue</t>
  </si>
  <si>
    <t>Underwear/Female/Female Brown Knight 02 Green</t>
  </si>
  <si>
    <t>Underwear/Female/Female Brown Knight 02 Purple</t>
  </si>
  <si>
    <t>Underwear/Female/Female Brown Knight 02 Red</t>
  </si>
  <si>
    <t>Underwear/Female/Female Brown Knight 02 White</t>
  </si>
  <si>
    <t>Underwear/Female/Female Brown Knight 03 Black</t>
  </si>
  <si>
    <t>Underwear/Female/Female Brown Knight 03 Blue</t>
  </si>
  <si>
    <t>Underwear/Female/Female Brown Knight 03 Green</t>
  </si>
  <si>
    <t>Underwear/Female/Female Brown Knight 03 Purple</t>
  </si>
  <si>
    <t>Underwear/Female/Female Brown Knight 03 Red</t>
  </si>
  <si>
    <t>Underwear/Female/Female Brown Knight 03 White</t>
  </si>
  <si>
    <t>Underwear/Female/Female Brown Knight 04 Black</t>
  </si>
  <si>
    <t>Underwear/Female/Female Brown Knight 04 Blue</t>
  </si>
  <si>
    <t>Underwear/Female/Female Brown Knight 04 Green</t>
  </si>
  <si>
    <t>Underwear/Female/Female Brown Knight 04 Magenta</t>
  </si>
  <si>
    <t>Underwear/Female/Female Brown Knight 04 Purple</t>
  </si>
  <si>
    <t>Underwear/Female/Female Brown Knight 04 Red</t>
  </si>
  <si>
    <t>Underwear/Female/Female Brown Knight 04 White</t>
  </si>
  <si>
    <t>Underwear/Female/Female Brown Knight 04 Yellow</t>
  </si>
  <si>
    <t>Underwear/Female/Female Brown Knight 05 Blue</t>
  </si>
  <si>
    <t>Underwear/Female/Female Brown Knight 05 Green</t>
  </si>
  <si>
    <t>Underwear/Female/Female Brown Knight 05 Magenta</t>
  </si>
  <si>
    <t>Underwear/Female/Female Brown Knight 05 Purple</t>
  </si>
  <si>
    <t>Underwear/Female/Female Brown Knight 05 Red</t>
  </si>
  <si>
    <t>Underwear/Female/Female Brown Knight 05 White</t>
  </si>
  <si>
    <t>Underwear/Female/Female Brown Knight 05 Yellow</t>
  </si>
  <si>
    <t>Underwear/Female/Female Brown Knight 06 Black</t>
  </si>
  <si>
    <t>Underwear/Female/Female Brown Knight 06 Blue</t>
  </si>
  <si>
    <t>Underwear/Female/Female Brown Knight 06 Green</t>
  </si>
  <si>
    <t>Underwear/Female/Female Brown Knight 06 Magenta</t>
  </si>
  <si>
    <t>Underwear/Female/Female Brown Knight 06 Purple</t>
  </si>
  <si>
    <t>Underwear/Female/Female Brown Knight 06 Red</t>
  </si>
  <si>
    <t>Underwear/Female/Female Brown Knight 06 White</t>
  </si>
  <si>
    <t>Underwear/Female/Female Brown Knight 06 Yellow</t>
  </si>
  <si>
    <t>Underwear/Female/Female Brown L Dress 01 Blue</t>
  </si>
  <si>
    <t>Underwear/Female/Female Brown L Dress 01 Brown</t>
  </si>
  <si>
    <t>Underwear/Female/Female Brown L Dress 01 Green</t>
  </si>
  <si>
    <t>Underwear/Female/Female Brown L Dress 01 Purple</t>
  </si>
  <si>
    <t>Underwear/Female/Female Brown L Dress 01 Red</t>
  </si>
  <si>
    <t>Underwear/Female/Female Brown L Dress 02 Blue</t>
  </si>
  <si>
    <t>Underwear/Female/Female Brown L Dress 02 Brown</t>
  </si>
  <si>
    <t>Underwear/Female/Female Brown L Dress 02 Green</t>
  </si>
  <si>
    <t>Underwear/Female/Female Brown L Dress 02 Purple</t>
  </si>
  <si>
    <t>Underwear/Female/Female Brown L Dress 02 Red</t>
  </si>
  <si>
    <t>Underwear/Female/Female Brown L Dress 03 Blue</t>
  </si>
  <si>
    <t>Underwear/Female/Female Brown L Dress 03 Brown</t>
  </si>
  <si>
    <t>Underwear/Female/Female Brown L Dress 03 Green</t>
  </si>
  <si>
    <t>Underwear/Female/Female Brown L Dress 03 Purple</t>
  </si>
  <si>
    <t>Underwear/Female/Female Brown L Dress 03 Red</t>
  </si>
  <si>
    <t>Underwear/Female/Female Brown L Dress 04 Blue</t>
  </si>
  <si>
    <t>Underwear/Female/Female Brown L Dress 04 Brown</t>
  </si>
  <si>
    <t>Underwear/Female/Female Brown L Dress 04 Green</t>
  </si>
  <si>
    <t>Underwear/Female/Female Brown L Dress 04 Purple</t>
  </si>
  <si>
    <t>Underwear/Female/Female Brown L Dress 04 Red</t>
  </si>
  <si>
    <t>Underwear/Female/Female Brown Naked</t>
  </si>
  <si>
    <t>Underwear/Female/Female Brown Sorceress 01 Black</t>
  </si>
  <si>
    <t>Underwear/Female/Female Brown Sorceress 01 Blue</t>
  </si>
  <si>
    <t>Underwear/Female/Female Brown Sorceress 01 Green</t>
  </si>
  <si>
    <t>Underwear/Female/Female Brown Sorceress 01 Pink</t>
  </si>
  <si>
    <t>Underwear/Female/Female Brown Sorceress 01 Purple</t>
  </si>
  <si>
    <t>Underwear/Female/Female Brown Sorceress 02 Blue</t>
  </si>
  <si>
    <t>Underwear/Female/Female Brown Sorceress 02 Green</t>
  </si>
  <si>
    <t>Underwear/Female/Female Brown Sorceress 02 Purple</t>
  </si>
  <si>
    <t>Underwear/Female/Female Brown Sorceress 02 Red</t>
  </si>
  <si>
    <t>Underwear/Female/Female Brown Sorceress 03 Black</t>
  </si>
  <si>
    <t>Underwear/Female/Female Brown Sorceress 03 Blue</t>
  </si>
  <si>
    <t>Underwear/Female/Female Brown Sorceress 03 Brown</t>
  </si>
  <si>
    <t>Underwear/Female/Female Brown Sorceress 03 Green</t>
  </si>
  <si>
    <t>Underwear/Female/Female Brown Sorceress 03 Purple</t>
  </si>
  <si>
    <t>Underwear/Female/Female Brown Sorceress 03 Red</t>
  </si>
  <si>
    <t>Underwear/Female/Female Brown Sorceress 03 White</t>
  </si>
  <si>
    <t>Underwear/Female/Female Brown Sorceress 04 Black</t>
  </si>
  <si>
    <t>Underwear/Female/Female Brown Sorceress 04 Blue</t>
  </si>
  <si>
    <t>Underwear/Female/Female Brown Sorceress 04 Brown</t>
  </si>
  <si>
    <t>Underwear/Female/Female Brown Sorceress 04 Green</t>
  </si>
  <si>
    <t>Underwear/Female/Female Brown Sorceress 04 Magenta</t>
  </si>
  <si>
    <t>Underwear/Female/Female Brown Sorceress 04 Purple</t>
  </si>
  <si>
    <t>Underwear/Female/Female Brown Sorceress 04 Red</t>
  </si>
  <si>
    <t>Underwear/Female/Female Brown Sorceress 04 White</t>
  </si>
  <si>
    <t>Underwear/Female/Female Brown Sorceress 05 Black</t>
  </si>
  <si>
    <t>Underwear/Female/Female Brown Sorceress 05 Blue</t>
  </si>
  <si>
    <t>Underwear/Female/Female Brown Sorceress 05 Brown</t>
  </si>
  <si>
    <t>Underwear/Female/Female Brown Sorceress 05 Green</t>
  </si>
  <si>
    <t>Underwear/Female/Female Brown Sorceress 05 Magenta</t>
  </si>
  <si>
    <t>Underwear/Female/Female Brown Sorceress 05 Purple</t>
  </si>
  <si>
    <t>Underwear/Female/Female Brown Sorceress 05 Red</t>
  </si>
  <si>
    <t>Underwear/Female/Female Brown Sorceress 05 White</t>
  </si>
  <si>
    <t>Underwear/Female/Female Brown Sorceress 06 Black</t>
  </si>
  <si>
    <t>Underwear/Female/Female Brown Sorceress 06 Blue</t>
  </si>
  <si>
    <t>Underwear/Female/Female Brown Sorceress 06 Brown</t>
  </si>
  <si>
    <t>Underwear/Female/Female Brown Sorceress 06 Green</t>
  </si>
  <si>
    <t>Underwear/Female/Female Brown Sorceress 06 Magenta</t>
  </si>
  <si>
    <t>Underwear/Female/Female Brown Sorceress 06 Purple</t>
  </si>
  <si>
    <t>Underwear/Female/Female Brown Sorceress 06 Red</t>
  </si>
  <si>
    <t>Underwear/Female/Female Brown Sorceress 06 White</t>
  </si>
  <si>
    <t>Underwear/Female/Female Fire 01 Orange</t>
  </si>
  <si>
    <t>Underwear/Female/Female Fire 01 Yellow</t>
  </si>
  <si>
    <t>Underwear/Female/Female Gorgon 01 Black</t>
  </si>
  <si>
    <t>Underwear/Female/Female Gorgon 01 Blue</t>
  </si>
  <si>
    <t>Underwear/Female/Female Gorgon 01 Brown</t>
  </si>
  <si>
    <t>Underwear/Female/Female Gorgon 01 Green</t>
  </si>
  <si>
    <t>Underwear/Female/Female Gorgon 01 Magenta</t>
  </si>
  <si>
    <t>Underwear/Female/Female Gorgon 01 Purple</t>
  </si>
  <si>
    <t>Underwear/Female/Female Gorgon 01 Red</t>
  </si>
  <si>
    <t>Underwear/Female/Female Gorgon 02 Black</t>
  </si>
  <si>
    <t>Underwear/Female/Female Gorgon 02 Blue</t>
  </si>
  <si>
    <t>Underwear/Female/Female Gorgon 02 Green</t>
  </si>
  <si>
    <t>Underwear/Female/Female Gorgon 02 Magenta</t>
  </si>
  <si>
    <t>Underwear/Female/Female Gorgon 02 Purple</t>
  </si>
  <si>
    <t>Underwear/Female/Female Gorgon 02 Red</t>
  </si>
  <si>
    <t>Underwear/Female/Female Gorgon 02 White</t>
  </si>
  <si>
    <t>Underwear/Female/Female Gorgon 02 Yellow</t>
  </si>
  <si>
    <t>Underwear/Female/Female Gorgon 03 Black</t>
  </si>
  <si>
    <t>Underwear/Female/Female Gorgon 03 Blue</t>
  </si>
  <si>
    <t>Underwear/Female/Female Gorgon 03 Green</t>
  </si>
  <si>
    <t>Underwear/Female/Female Gorgon 03 Magenta</t>
  </si>
  <si>
    <t>Underwear/Female/Female Gorgon 03 Purple</t>
  </si>
  <si>
    <t>Underwear/Female/Female Gorgon 03 Red</t>
  </si>
  <si>
    <t>Underwear/Female/Female Gorgon 03 Yellow</t>
  </si>
  <si>
    <t>Underwear/Female/Female Gorgon Underwear</t>
  </si>
  <si>
    <t>Underwear/Female/Female Spideress 01 Blue</t>
  </si>
  <si>
    <t>Underwear/Female/Female Spideress 01 Green</t>
  </si>
  <si>
    <t>Underwear/Female/Female Spideress 01 Magenta</t>
  </si>
  <si>
    <t>Underwear/Female/Female Spideress 01 Purple</t>
  </si>
  <si>
    <t>Underwear/Female/Female Spideress 01 Red</t>
  </si>
  <si>
    <t>Underwear/Female/Female Spideress 01 White</t>
  </si>
  <si>
    <t>Underwear/Female/Female Spideress 01 Yellow</t>
  </si>
  <si>
    <t>Underwear/Female/Female Spideress 02 Black</t>
  </si>
  <si>
    <t>Underwear/Female/Female Spideress 02 Blue</t>
  </si>
  <si>
    <t>Underwear/Female/Female Spideress 02 Green</t>
  </si>
  <si>
    <t>Underwear/Female/Female Spideress 02 Magenta</t>
  </si>
  <si>
    <t>Underwear/Female/Female Spideress 02 Purple</t>
  </si>
  <si>
    <t>Underwear/Female/Female Spideress 02 Yellow</t>
  </si>
  <si>
    <t>Underwear/Female/Female Spideress 03 Black</t>
  </si>
  <si>
    <t>Underwear/Female/Female Spideress 03 Blue</t>
  </si>
  <si>
    <t>Underwear/Female/Female Spideress 03 Green</t>
  </si>
  <si>
    <t>Underwear/Female/Female Spideress 03 Magenta</t>
  </si>
  <si>
    <t>Underwear/Female/Female Spideress 03 Purple</t>
  </si>
  <si>
    <t>Underwear/Female/Female Spideress 03 Red</t>
  </si>
  <si>
    <t>Underwear/Female/Female Spideress 03 Yellow</t>
  </si>
  <si>
    <t>Underwear/Female/Female Spideress Underwear</t>
  </si>
  <si>
    <t>Underwear/Female/Female White Archer 01 Black</t>
  </si>
  <si>
    <t>Underwear/Female/Female White Archer 01 Blue</t>
  </si>
  <si>
    <t>Underwear/Female/Female White Archer 01 Green</t>
  </si>
  <si>
    <t>Underwear/Female/Female White Archer 01 Magenta</t>
  </si>
  <si>
    <t>Underwear/Female/Female White Archer 01 Purple</t>
  </si>
  <si>
    <t>Underwear/Female/Female White Archer 01 White</t>
  </si>
  <si>
    <t>Underwear/Female/Female White Archer 02 Black</t>
  </si>
  <si>
    <t>Underwear/Female/Female White Archer 02 Blue</t>
  </si>
  <si>
    <t>Underwear/Female/Female White Archer 02 Green</t>
  </si>
  <si>
    <t>Underwear/Female/Female White Archer 02 Lime</t>
  </si>
  <si>
    <t>Underwear/Female/Female White Archer 02 Magenta</t>
  </si>
  <si>
    <t>Underwear/Female/Female White Archer 02 Purple</t>
  </si>
  <si>
    <t>Underwear/Female/Female White Archer 02 White</t>
  </si>
  <si>
    <t>Underwear/Female/Female White Archer 03 Black</t>
  </si>
  <si>
    <t>Underwear/Female/Female White Archer 03 Blue</t>
  </si>
  <si>
    <t>Underwear/Female/Female White Archer 03 Green</t>
  </si>
  <si>
    <t>Underwear/Female/Female White Archer 03 Maroon</t>
  </si>
  <si>
    <t>Underwear/Female/Female White Archer 03 Olive</t>
  </si>
  <si>
    <t>Underwear/Female/Female White Archer 03 Purple</t>
  </si>
  <si>
    <t>Underwear/Female/Female White Archer 03 White</t>
  </si>
  <si>
    <t>Underwear/Female/Female White Archer 04 Black</t>
  </si>
  <si>
    <t>Underwear/Female/Female White Archer 04 Blue</t>
  </si>
  <si>
    <t>Underwear/Female/Female White Archer 04 Green</t>
  </si>
  <si>
    <t>Underwear/Female/Female White Archer 04 Magenta</t>
  </si>
  <si>
    <t>Underwear/Female/Female White Archer 04 Purple</t>
  </si>
  <si>
    <t>Underwear/Female/Female White Archer 04 Red</t>
  </si>
  <si>
    <t>Underwear/Female/Female White Archer 04 White</t>
  </si>
  <si>
    <t>Underwear/Female/Female White Archer 04 Yellow</t>
  </si>
  <si>
    <t>Underwear/Female/Female White Archer 05 Black</t>
  </si>
  <si>
    <t>Underwear/Female/Female White Archer 05 Blue</t>
  </si>
  <si>
    <t>Underwear/Female/Female White Archer 05 Green</t>
  </si>
  <si>
    <t>Underwear/Female/Female White Archer 05 Magenta</t>
  </si>
  <si>
    <t>Underwear/Female/Female White Archer 05 Purple</t>
  </si>
  <si>
    <t>Underwear/Female/Female White Archer 05 Red</t>
  </si>
  <si>
    <t>Underwear/Female/Female White Archer 05 White</t>
  </si>
  <si>
    <t>Underwear/Female/Female White Archer 05 Yellow</t>
  </si>
  <si>
    <t>Underwear/Female/Female White Barbarian 01 Blue</t>
  </si>
  <si>
    <t>Underwear/Female/Female White Barbarian 01 Green</t>
  </si>
  <si>
    <t>Underwear/Female/Female White Barbarian 01 Pink</t>
  </si>
  <si>
    <t>Underwear/Female/Female White Barbarian 01 Purple</t>
  </si>
  <si>
    <t>Underwear/Female/Female White Barbarian 01 Yellow</t>
  </si>
  <si>
    <t>Underwear/Female/Female White Barbarian 02 Black</t>
  </si>
  <si>
    <t>Underwear/Female/Female White Barbarian 02 Blue</t>
  </si>
  <si>
    <t>Underwear/Female/Female White Barbarian 02 Green</t>
  </si>
  <si>
    <t>Underwear/Female/Female White Barbarian 02 Purple</t>
  </si>
  <si>
    <t>Underwear/Female/Female White Barbarian 02 Red</t>
  </si>
  <si>
    <t>Underwear/Female/Female White Barbarian 02 White</t>
  </si>
  <si>
    <t>Underwear/Female/Female White Barbarian 03 Blue</t>
  </si>
  <si>
    <t>Underwear/Female/Female White Barbarian 03 Brown</t>
  </si>
  <si>
    <t>Underwear/Female/Female White Barbarian 03 Green</t>
  </si>
  <si>
    <t>Underwear/Female/Female White Barbarian 03 Magenta</t>
  </si>
  <si>
    <t>Underwear/Female/Female White Barbarian 03 Purple</t>
  </si>
  <si>
    <t>Underwear/Female/Female White Barbarian 03 Red</t>
  </si>
  <si>
    <t>Underwear/Female/Female White Barbarian 03 White</t>
  </si>
  <si>
    <t>Underwear/Female/Female White Barbarian 04 Black</t>
  </si>
  <si>
    <t>Underwear/Female/Female White Barbarian 04 Blue</t>
  </si>
  <si>
    <t>Underwear/Female/Female White Barbarian 04 Green</t>
  </si>
  <si>
    <t>Underwear/Female/Female White Barbarian 04 Magenta</t>
  </si>
  <si>
    <t>Underwear/Female/Female White Barbarian 04 Purple</t>
  </si>
  <si>
    <t>Underwear/Female/Female White Barbarian 04 Red</t>
  </si>
  <si>
    <t>Underwear/Female/Female White Barbarian 04 White</t>
  </si>
  <si>
    <t>Underwear/Female/Female White Barbarian 04 Yellow</t>
  </si>
  <si>
    <t>Underwear/Female/Female White Barbarian 05 Black</t>
  </si>
  <si>
    <t>Underwear/Female/Female White Barbarian 05 Blue</t>
  </si>
  <si>
    <t>Underwear/Female/Female White Barbarian 05 Green</t>
  </si>
  <si>
    <t>Underwear/Female/Female White Barbarian 05 Magenta</t>
  </si>
  <si>
    <t>Underwear/Female/Female White Barbarian 05 Purple</t>
  </si>
  <si>
    <t>Underwear/Female/Female White Barbarian 05 Red</t>
  </si>
  <si>
    <t>Underwear/Female/Female White Barbarian 05 White</t>
  </si>
  <si>
    <t>Underwear/Female/Female White Barbarian 05 Yellow</t>
  </si>
  <si>
    <t>Underwear/Female/Female White Casual 01A</t>
  </si>
  <si>
    <t>Underwear/Female/Female White Casual 01B</t>
  </si>
  <si>
    <t>Underwear/Female/Female White Casual 01C</t>
  </si>
  <si>
    <t>Underwear/Female/Female White Casual 02 Punk</t>
  </si>
  <si>
    <t>Underwear/Female/Female White Casual 02A</t>
  </si>
  <si>
    <t>Underwear/Female/Female White Casual 02B</t>
  </si>
  <si>
    <t>Underwear/Female/Female White Casual 02C</t>
  </si>
  <si>
    <t>Underwear/Female/Female White Casual 03 Red</t>
  </si>
  <si>
    <t>Underwear/Female/Female White Casual 03</t>
  </si>
  <si>
    <t>Underwear/Female/Female White Casual 03A</t>
  </si>
  <si>
    <t>Underwear/Female/Female White Casual 03B</t>
  </si>
  <si>
    <t>Underwear/Female/Female White Casual 03C</t>
  </si>
  <si>
    <t>Underwear/Female/Female White Casual 04</t>
  </si>
  <si>
    <t>Underwear/Female/Female White Casual 04A</t>
  </si>
  <si>
    <t>Underwear/Female/Female White Casual 04B</t>
  </si>
  <si>
    <t>Underwear/Female/Female White Casual 04C</t>
  </si>
  <si>
    <t>Underwear/Female/Female White Casual 05</t>
  </si>
  <si>
    <t>Underwear/Female/Female White Casual 05A</t>
  </si>
  <si>
    <t>Underwear/Female/Female White Casual 05B</t>
  </si>
  <si>
    <t>Underwear/Female/Female White Casual 05C</t>
  </si>
  <si>
    <t>Underwear/Female/Female White Casual 06</t>
  </si>
  <si>
    <t>Underwear/Female/Female White Casual 06A</t>
  </si>
  <si>
    <t>Underwear/Female/Female White Casual 06B</t>
  </si>
  <si>
    <t>Underwear/Female/Female White Casual 06C</t>
  </si>
  <si>
    <t>Underwear/Female/Female White Casual 07A</t>
  </si>
  <si>
    <t>Underwear/Female/Female White Casual 07B</t>
  </si>
  <si>
    <t>Underwear/Female/Female White Casual 07C</t>
  </si>
  <si>
    <t>Underwear/Female/Female White Casual 08A</t>
  </si>
  <si>
    <t>Underwear/Female/Female White Casual 08B</t>
  </si>
  <si>
    <t>Underwear/Female/Female White Casual 08C</t>
  </si>
  <si>
    <t>Underwear/Female/Female White Elf 01</t>
  </si>
  <si>
    <t>Underwear/Female/Female White Knight 01 Black</t>
  </si>
  <si>
    <t>Underwear/Female/Female White Knight 01 Blue</t>
  </si>
  <si>
    <t>Underwear/Female/Female White Knight 01 Green</t>
  </si>
  <si>
    <t>Underwear/Female/Female White Knight 01 Purple</t>
  </si>
  <si>
    <t>Underwear/Female/Female White Knight 01 Red</t>
  </si>
  <si>
    <t>Underwear/Female/Female White Knight 01 White</t>
  </si>
  <si>
    <t>Underwear/Female/Female White Knight 02 Black</t>
  </si>
  <si>
    <t>Underwear/Female/Female White Knight 02 Blue</t>
  </si>
  <si>
    <t>Underwear/Female/Female White Knight 02 Green</t>
  </si>
  <si>
    <t>Underwear/Female/Female White Knight 02 Purple</t>
  </si>
  <si>
    <t>Underwear/Female/Female White Knight 02 Red</t>
  </si>
  <si>
    <t>Underwear/Female/Female White Knight 02 White</t>
  </si>
  <si>
    <t>Underwear/Female/Female White Knight 03 Black</t>
  </si>
  <si>
    <t>Underwear/Female/Female White Knight 03 Blue</t>
  </si>
  <si>
    <t>Underwear/Female/Female White Knight 03 Green</t>
  </si>
  <si>
    <t>Underwear/Female/Female White Knight 03 Purple</t>
  </si>
  <si>
    <t>Underwear/Female/Female White Knight 03 Red</t>
  </si>
  <si>
    <t>Underwear/Female/Female White Knight 03 White</t>
  </si>
  <si>
    <t>Underwear/Female/Female White Knight 04 Black</t>
  </si>
  <si>
    <t>Underwear/Female/Female White Knight 04 Blue</t>
  </si>
  <si>
    <t>Underwear/Female/Female White Knight 04 Green</t>
  </si>
  <si>
    <t>Underwear/Female/Female White Knight 04 Magenta</t>
  </si>
  <si>
    <t>Underwear/Female/Female White Knight 04 Purple</t>
  </si>
  <si>
    <t>Underwear/Female/Female White Knight 04 Red</t>
  </si>
  <si>
    <t>Underwear/Female/Female White Knight 04 White</t>
  </si>
  <si>
    <t>Underwear/Female/Female White Knight 04 Yellow</t>
  </si>
  <si>
    <t>Underwear/Female/Female White Knight 05 Black</t>
  </si>
  <si>
    <t>Underwear/Female/Female White Knight 05 Blue</t>
  </si>
  <si>
    <t>Underwear/Female/Female White Knight 05 Green</t>
  </si>
  <si>
    <t>Underwear/Female/Female White Knight 05 Magenta</t>
  </si>
  <si>
    <t>Underwear/Female/Female White Knight 05 Purple</t>
  </si>
  <si>
    <t>Underwear/Female/Female White Knight 05 Red</t>
  </si>
  <si>
    <t>Underwear/Female/Female White Knight 05 White</t>
  </si>
  <si>
    <t>Underwear/Female/Female White Knight 05 Yellow</t>
  </si>
  <si>
    <t>Underwear/Female/Female White Knight 06 Black</t>
  </si>
  <si>
    <t>Underwear/Female/Female White Knight 06 Blue</t>
  </si>
  <si>
    <t>Underwear/Female/Female White Knight 06 Green</t>
  </si>
  <si>
    <t>Underwear/Female/Female White Knight 06 Magenta</t>
  </si>
  <si>
    <t>Underwear/Female/Female White Knight 06 Purple</t>
  </si>
  <si>
    <t>Underwear/Female/Female White Knight 06 Red</t>
  </si>
  <si>
    <t>Underwear/Female/Female White Knight 06 White</t>
  </si>
  <si>
    <t>Underwear/Female/Female White Knight 06 Yellow</t>
  </si>
  <si>
    <t>Underwear/Female/Female White L Dress 01 Blue</t>
  </si>
  <si>
    <t>Underwear/Female/Female White L Dress 01 Brown</t>
  </si>
  <si>
    <t>Underwear/Female/Female White L Dress 01 Green</t>
  </si>
  <si>
    <t>Underwear/Female/Female White L Dress 01 Purple</t>
  </si>
  <si>
    <t>Underwear/Female/Female White L Dress 01 Red</t>
  </si>
  <si>
    <t>Underwear/Female/Female White L Dress 02 Blue</t>
  </si>
  <si>
    <t>Underwear/Female/Female White L Dress 02 Brown</t>
  </si>
  <si>
    <t>Underwear/Female/Female White L Dress 02 Green</t>
  </si>
  <si>
    <t>Underwear/Female/Female White L Dress 02 Purple</t>
  </si>
  <si>
    <t>Underwear/Female/Female White L Dress 02 Red</t>
  </si>
  <si>
    <t>Underwear/Female/Female White L Dress 03 Blue</t>
  </si>
  <si>
    <t>Underwear/Female/Female White L Dress 03 Brown</t>
  </si>
  <si>
    <t>Underwear/Female/Female White L Dress 03 Green</t>
  </si>
  <si>
    <t>Underwear/Female/Female White L Dress 03 Purple</t>
  </si>
  <si>
    <t>Underwear/Female/Female White L Dress 03 Red</t>
  </si>
  <si>
    <t>Underwear/Female/Female White L Dress 04 Blue</t>
  </si>
  <si>
    <t>Underwear/Female/Female White L Dress 04 Brown</t>
  </si>
  <si>
    <t>Underwear/Female/Female White L Dress 04 Green</t>
  </si>
  <si>
    <t>Underwear/Female/Female White L Dress 04 Purple</t>
  </si>
  <si>
    <t>Underwear/Female/Female White L Dress 04 Red</t>
  </si>
  <si>
    <t>Underwear/Female/Female White Naked</t>
  </si>
  <si>
    <t>Underwear/Female/Female White Sorceress 01 Black</t>
  </si>
  <si>
    <t>Underwear/Female/Female White Sorceress 01 Blue</t>
  </si>
  <si>
    <t>Underwear/Female/Female White Sorceress 01 Green</t>
  </si>
  <si>
    <t>Underwear/Female/Female White Sorceress 01 Pink</t>
  </si>
  <si>
    <t>Underwear/Female/Female White Sorceress 01 Purple</t>
  </si>
  <si>
    <t>Underwear/Female/Female White Sorceress 02 Blue</t>
  </si>
  <si>
    <t>Underwear/Female/Female White Sorceress 02 Green</t>
  </si>
  <si>
    <t>Underwear/Female/Female White Sorceress 02 Purple</t>
  </si>
  <si>
    <t>Underwear/Female/Female White Sorceress 02 Red</t>
  </si>
  <si>
    <t>Underwear/Female/Female White Sorceress 03 Black</t>
  </si>
  <si>
    <t>Underwear/Female/Female White Sorceress 03 Blue</t>
  </si>
  <si>
    <t>Underwear/Female/Female White Sorceress 03 Brown</t>
  </si>
  <si>
    <t>Underwear/Female/Female White Sorceress 03 Green</t>
  </si>
  <si>
    <t>Underwear/Female/Female White Sorceress 03 Purple</t>
  </si>
  <si>
    <t>Underwear/Female/Female White Sorceress 03 Red</t>
  </si>
  <si>
    <t>Underwear/Female/Female White Sorceress 03 White</t>
  </si>
  <si>
    <t>Underwear/Female/Female White Sorceress 04 Black</t>
  </si>
  <si>
    <t>Underwear/Female/Female White Sorceress 04 Blue</t>
  </si>
  <si>
    <t>Underwear/Female/Female White Sorceress 04 Brown</t>
  </si>
  <si>
    <t>Underwear/Female/Female White Sorceress 04 Green</t>
  </si>
  <si>
    <t>Underwear/Female/Female White Sorceress 04 Magenta</t>
  </si>
  <si>
    <t>Underwear/Female/Female White Sorceress 04 Purple</t>
  </si>
  <si>
    <t>Underwear/Female/Female White Sorceress 04 Red</t>
  </si>
  <si>
    <t>Underwear/Female/Female White Sorceress 04 White</t>
  </si>
  <si>
    <t>Underwear/Female/Female White Sorceress 05 Black</t>
  </si>
  <si>
    <t>Underwear/Female/Female White Sorceress 05 Blue</t>
  </si>
  <si>
    <t>Underwear/Female/Female White Sorceress 05 Brown</t>
  </si>
  <si>
    <t>Underwear/Female/Female White Sorceress 05 Green</t>
  </si>
  <si>
    <t>Underwear/Female/Female White Sorceress 05 Magenta</t>
  </si>
  <si>
    <t>Underwear/Female/Female White Sorceress 05 Purple</t>
  </si>
  <si>
    <t>Underwear/Female/Female White Sorceress 05 Red</t>
  </si>
  <si>
    <t>Underwear/Female/Female White Sorceress 05 White</t>
  </si>
  <si>
    <t>Underwear/Female/Female White Sorceress 06 Black</t>
  </si>
  <si>
    <t>Underwear/Female/Female White Sorceress 06 Blue</t>
  </si>
  <si>
    <t>Underwear/Female/Female White Sorceress 06 Brown</t>
  </si>
  <si>
    <t>Underwear/Female/Female White Sorceress 06 Green</t>
  </si>
  <si>
    <t>Underwear/Female/Female White Sorceress 06 Magenta</t>
  </si>
  <si>
    <t>Underwear/Female/Female White Sorceress 06 Purple</t>
  </si>
  <si>
    <t>Underwear/Female/Female White Sorceress 06 Red</t>
  </si>
  <si>
    <t>Underwear/Female/Female White Sorceress 06 White</t>
  </si>
  <si>
    <t>Underwear/Male/Male Aqua 01 Blue</t>
  </si>
  <si>
    <t>Underwear/Male/Male Aqua 01 Cyan</t>
  </si>
  <si>
    <t>Underwear/Male/Male Black Archer 01 Black</t>
  </si>
  <si>
    <t>Underwear/Male/Male Black Archer 01 Blue</t>
  </si>
  <si>
    <t>Underwear/Male/Male Black Archer 01 Green</t>
  </si>
  <si>
    <t>Underwear/Male/Male Black Archer 01 Maroon</t>
  </si>
  <si>
    <t>Underwear/Male/Male Black Archer 01 Olive</t>
  </si>
  <si>
    <t>Underwear/Male/Male Black Archer 01 Purple</t>
  </si>
  <si>
    <t>Underwear/Male/Male Black Archer 01 White</t>
  </si>
  <si>
    <t>Underwear/Male/Male Black Archer 02 Blue</t>
  </si>
  <si>
    <t>Underwear/Male/Male Black Archer 02 Green</t>
  </si>
  <si>
    <t>Underwear/Male/Male Black Archer 02 Olive</t>
  </si>
  <si>
    <t>Underwear/Male/Male Black Archer 02 Purple</t>
  </si>
  <si>
    <t>Underwear/Male/Male Black Archer 02 Red</t>
  </si>
  <si>
    <t>Underwear/Male/Male Black Archer 02 White</t>
  </si>
  <si>
    <t>Underwear/Male/Male Black Archer 03 Black</t>
  </si>
  <si>
    <t>Underwear/Male/Male Black Archer 03 Blue</t>
  </si>
  <si>
    <t>Underwear/Male/Male Black Archer 03 Green</t>
  </si>
  <si>
    <t>Underwear/Male/Male Black Archer 03 Magenta</t>
  </si>
  <si>
    <t>Underwear/Male/Male Black Archer 03 Purple</t>
  </si>
  <si>
    <t>Underwear/Male/Male Black Archer 03 Red</t>
  </si>
  <si>
    <t>Underwear/Male/Male Black Archer 03 White</t>
  </si>
  <si>
    <t>Underwear/Male/Male Black Archer 03 Yellow</t>
  </si>
  <si>
    <t>Underwear/Male/Male Black Archer 04 Black</t>
  </si>
  <si>
    <t>Underwear/Male/Male Black Archer 04 Blue</t>
  </si>
  <si>
    <t>Underwear/Male/Male Black Archer 04 Green</t>
  </si>
  <si>
    <t>Underwear/Male/Male Black Archer 04 Magenta</t>
  </si>
  <si>
    <t>Underwear/Male/Male Black Archer 04 Purple</t>
  </si>
  <si>
    <t>Underwear/Male/Male Black Archer 04 Red</t>
  </si>
  <si>
    <t>Underwear/Male/Male Black Archer 04 White</t>
  </si>
  <si>
    <t>Underwear/Male/Male Black Archer 04 Yellow</t>
  </si>
  <si>
    <t>Underwear/Male/Male Black Archer 05 Black</t>
  </si>
  <si>
    <t>Underwear/Male/Male Black Archer 05 Blue</t>
  </si>
  <si>
    <t>Underwear/Male/Male Black Archer 05 Green</t>
  </si>
  <si>
    <t>Underwear/Male/Male Black Archer 05 Magenta</t>
  </si>
  <si>
    <t>Underwear/Male/Male Black Archer 05 Purple</t>
  </si>
  <si>
    <t>Underwear/Male/Male Black Archer 05 Red</t>
  </si>
  <si>
    <t>Underwear/Male/Male Black Archer 05 White</t>
  </si>
  <si>
    <t>Underwear/Male/Male Black Archer 05 Yellow</t>
  </si>
  <si>
    <t>Underwear/Male/Male Black Barbarian 01 Blue</t>
  </si>
  <si>
    <t>Underwear/Male/Male Black Barbarian 01 Green</t>
  </si>
  <si>
    <t>Underwear/Male/Male Black Barbarian 01 Purple</t>
  </si>
  <si>
    <t>Underwear/Male/Male Black Barbarian 01 Red</t>
  </si>
  <si>
    <t>Underwear/Male/Male Black Barbarian 02 Black</t>
  </si>
  <si>
    <t>Underwear/Male/Male Black Barbarian 02 Blue</t>
  </si>
  <si>
    <t>Underwear/Male/Male Black Barbarian 02 Brown</t>
  </si>
  <si>
    <t>Underwear/Male/Male Black Barbarian 02 Green</t>
  </si>
  <si>
    <t>Underwear/Male/Male Black Barbarian 02 Purple</t>
  </si>
  <si>
    <t>Underwear/Male/Male Black Barbarian 02 White</t>
  </si>
  <si>
    <t>Underwear/Male/Male Black Barbarian 03 Black</t>
  </si>
  <si>
    <t>Underwear/Male/Male Black Barbarian 03 Blue</t>
  </si>
  <si>
    <t>Underwear/Male/Male Black Barbarian 03 Brown</t>
  </si>
  <si>
    <t>Underwear/Male/Male Black Barbarian 03 Green</t>
  </si>
  <si>
    <t>Underwear/Male/Male Black Barbarian 03 Magenta</t>
  </si>
  <si>
    <t>Underwear/Male/Male Black Barbarian 03 Purple</t>
  </si>
  <si>
    <t>Underwear/Male/Male Black Barbarian 03 Red</t>
  </si>
  <si>
    <t>Underwear/Male/Male Black Barbarian 03 White</t>
  </si>
  <si>
    <t>Underwear/Male/Male Black Barbarian 04 Black</t>
  </si>
  <si>
    <t>Underwear/Male/Male Black Barbarian 04 Blue</t>
  </si>
  <si>
    <t>Underwear/Male/Male Black Barbarian 04 Green</t>
  </si>
  <si>
    <t>Underwear/Male/Male Black Barbarian 04 Magenta</t>
  </si>
  <si>
    <t>Underwear/Male/Male Black Barbarian 04 Purple</t>
  </si>
  <si>
    <t>Underwear/Male/Male Black Barbarian 04 Red</t>
  </si>
  <si>
    <t>Underwear/Male/Male Black Barbarian 04 White</t>
  </si>
  <si>
    <t>Underwear/Male/Male Black Barbarian 04 Yellow</t>
  </si>
  <si>
    <t>Underwear/Male/Male Black Barbarian 05 Black</t>
  </si>
  <si>
    <t>Underwear/Male/Male Black Barbarian 05 Blue</t>
  </si>
  <si>
    <t>Underwear/Male/Male Black Barbarian 05 Green</t>
  </si>
  <si>
    <t>Underwear/Male/Male Black Barbarian 05 Magenta</t>
  </si>
  <si>
    <t>Underwear/Male/Male Black Barbarian 05 Purple</t>
  </si>
  <si>
    <t>Underwear/Male/Male Black Barbarian 05 Red</t>
  </si>
  <si>
    <t>Underwear/Male/Male Black Barbarian 05 White</t>
  </si>
  <si>
    <t>Underwear/Male/Male Black Barbarian 05 Yellow</t>
  </si>
  <si>
    <t>Underwear/Male/Male Black Barbarian 06 Black</t>
  </si>
  <si>
    <t>Underwear/Male/Male Black Barbarian 06 Blue</t>
  </si>
  <si>
    <t>Underwear/Male/Male Black Barbarian 06 Green</t>
  </si>
  <si>
    <t>Underwear/Male/Male Black Barbarian 06 Magenta</t>
  </si>
  <si>
    <t>Underwear/Male/Male Black Barbarian 06 Purple</t>
  </si>
  <si>
    <t>Underwear/Male/Male Black Barbarian 06 Red</t>
  </si>
  <si>
    <t>Underwear/Male/Male Black Barbarian 06 White</t>
  </si>
  <si>
    <t>Underwear/Male/Male Black Barbarian 06 Yellow</t>
  </si>
  <si>
    <t>Underwear/Male/Male Black Casual 01A</t>
  </si>
  <si>
    <t>Underwear/Male/Male Black Casual 01B</t>
  </si>
  <si>
    <t>Underwear/Male/Male Black Casual 01C</t>
  </si>
  <si>
    <t>Underwear/Male/Male Black Casual 02A</t>
  </si>
  <si>
    <t>Underwear/Male/Male Black Casual 02B</t>
  </si>
  <si>
    <t>Underwear/Male/Male Black Casual 02C</t>
  </si>
  <si>
    <t>Underwear/Male/Male Black Casual 03A</t>
  </si>
  <si>
    <t>Underwear/Male/Male Black Casual 03B</t>
  </si>
  <si>
    <t>Underwear/Male/Male Black Casual 03C</t>
  </si>
  <si>
    <t>Underwear/Male/Male Black Casual 04A</t>
  </si>
  <si>
    <t>Underwear/Male/Male Black Casual 04B</t>
  </si>
  <si>
    <t>Underwear/Male/Male Black Casual 04C</t>
  </si>
  <si>
    <t>Underwear/Male/Male Black Casual 05A</t>
  </si>
  <si>
    <t>Underwear/Male/Male Black Casual 05B</t>
  </si>
  <si>
    <t>Underwear/Male/Male Black Casual 05C</t>
  </si>
  <si>
    <t>Underwear/Male/Male Black Casual 06A</t>
  </si>
  <si>
    <t>Underwear/Male/Male Black Casual 06B</t>
  </si>
  <si>
    <t>Underwear/Male/Male Black Casual 06C</t>
  </si>
  <si>
    <t>Underwear/Male/Male Black Casual 07A</t>
  </si>
  <si>
    <t>Underwear/Male/Male Black Casual 07B</t>
  </si>
  <si>
    <t>Underwear/Male/Male Black Casual 07C</t>
  </si>
  <si>
    <t>Underwear/Male/Male Black Casual 08A</t>
  </si>
  <si>
    <t>Underwear/Male/Male Black Casual 08B</t>
  </si>
  <si>
    <t>Underwear/Male/Male Black Casual 08C</t>
  </si>
  <si>
    <t>Underwear/Male/Male Black King 01 Black</t>
  </si>
  <si>
    <t>Underwear/Male/Male Black King 01 Blue</t>
  </si>
  <si>
    <t>Underwear/Male/Male Black King 01 Green</t>
  </si>
  <si>
    <t>Underwear/Male/Male Black King 01 Magenta</t>
  </si>
  <si>
    <t>Underwear/Male/Male Black King 01 Purple</t>
  </si>
  <si>
    <t>Underwear/Male/Male Black King 01 Red</t>
  </si>
  <si>
    <t>Underwear/Male/Male Black King 01 White</t>
  </si>
  <si>
    <t>Underwear/Male/Male Black King 01 Yellow</t>
  </si>
  <si>
    <t>Underwear/Male/Male Black Knight 01 Black</t>
  </si>
  <si>
    <t>Underwear/Male/Male Black Knight 01 Blue</t>
  </si>
  <si>
    <t>Underwear/Male/Male Black Knight 01 Red</t>
  </si>
  <si>
    <t>Underwear/Male/Male Black Knight 01 White</t>
  </si>
  <si>
    <t>Underwear/Male/Male Black Knight 02 Black</t>
  </si>
  <si>
    <t>Underwear/Male/Male Black Knight 02 Blue</t>
  </si>
  <si>
    <t>Underwear/Male/Male Black Knight 02 Green</t>
  </si>
  <si>
    <t>Underwear/Male/Male Black Knight 02 Purple</t>
  </si>
  <si>
    <t>Underwear/Male/Male Black Knight 02 Red</t>
  </si>
  <si>
    <t>Underwear/Male/Male Black Knight 02 White</t>
  </si>
  <si>
    <t>Underwear/Male/Male Black Knight 03 Black</t>
  </si>
  <si>
    <t>Underwear/Male/Male Black Knight 03 Blue</t>
  </si>
  <si>
    <t>Underwear/Male/Male Black Knight 03 Brown</t>
  </si>
  <si>
    <t>Underwear/Male/Male Black Knight 03 Green</t>
  </si>
  <si>
    <t>Underwear/Male/Male Black Knight 03 Magenta</t>
  </si>
  <si>
    <t>Underwear/Male/Male Black Knight 03 Purple</t>
  </si>
  <si>
    <t>Underwear/Male/Male Black Knight 03 Red</t>
  </si>
  <si>
    <t>Underwear/Male/Male Black Knight 03 White</t>
  </si>
  <si>
    <t>Underwear/Male/Male Black Knight 04 Black</t>
  </si>
  <si>
    <t>Underwear/Male/Male Black Knight 04 Blue</t>
  </si>
  <si>
    <t>Underwear/Male/Male Black Knight 04 Brown</t>
  </si>
  <si>
    <t>Underwear/Male/Male Black Knight 04 Green</t>
  </si>
  <si>
    <t>Underwear/Male/Male Black Knight 04 Magenta</t>
  </si>
  <si>
    <t>Underwear/Male/Male Black Knight 04 Purple</t>
  </si>
  <si>
    <t>Underwear/Male/Male Black Knight 04 Red</t>
  </si>
  <si>
    <t>Underwear/Male/Male Black Knight 04 White</t>
  </si>
  <si>
    <t>Underwear/Male/Male Black Knight 05 Black</t>
  </si>
  <si>
    <t>Underwear/Male/Male Black Knight 05 Blue</t>
  </si>
  <si>
    <t>Underwear/Male/Male Black Knight 05 Brown</t>
  </si>
  <si>
    <t>Underwear/Male/Male Black Knight 05 Green</t>
  </si>
  <si>
    <t>Underwear/Male/Male Black Knight 05 Magenta</t>
  </si>
  <si>
    <t>Underwear/Male/Male Black Knight 05 Purple</t>
  </si>
  <si>
    <t>Underwear/Male/Male Black Knight 05 Red</t>
  </si>
  <si>
    <t>Underwear/Male/Male Black Knight 05 White</t>
  </si>
  <si>
    <t>Underwear/Male/Male Black Knight 06 Black</t>
  </si>
  <si>
    <t>Underwear/Male/Male Black Knight 06 Blue</t>
  </si>
  <si>
    <t>Underwear/Male/Male Black Knight 06 Green</t>
  </si>
  <si>
    <t>Underwear/Male/Male Black Knight 06 Magenta</t>
  </si>
  <si>
    <t>Underwear/Male/Male Black Knight 06 Purple</t>
  </si>
  <si>
    <t>Underwear/Male/Male Black Knight 06 Red</t>
  </si>
  <si>
    <t>Underwear/Male/Male Black Knight 06 White</t>
  </si>
  <si>
    <t>Underwear/Male/Male Black Knight 06 Yellow</t>
  </si>
  <si>
    <t>Underwear/Male/Male Black Knight 07 Black</t>
  </si>
  <si>
    <t>Underwear/Male/Male Black Knight 07 Blue</t>
  </si>
  <si>
    <t>Underwear/Male/Male Black Knight 07 Green</t>
  </si>
  <si>
    <t>Underwear/Male/Male Black Knight 07 Magenta</t>
  </si>
  <si>
    <t>Underwear/Male/Male Black Knight 07 Purple</t>
  </si>
  <si>
    <t>Underwear/Male/Male Black Knight 07 Red</t>
  </si>
  <si>
    <t>Underwear/Male/Male Black Knight 07 White</t>
  </si>
  <si>
    <t>Underwear/Male/Male Black Knight 07 Yellow</t>
  </si>
  <si>
    <t>Underwear/Male/Male Black Knight 08 Black</t>
  </si>
  <si>
    <t>Underwear/Male/Male Black Knight 08 Blue</t>
  </si>
  <si>
    <t>Underwear/Male/Male Black Knight 08 Green</t>
  </si>
  <si>
    <t>Underwear/Male/Male Black Knight 08 Magenta</t>
  </si>
  <si>
    <t>Underwear/Male/Male Black Knight 08 Purple</t>
  </si>
  <si>
    <t>Underwear/Male/Male Black Knight 08 Red</t>
  </si>
  <si>
    <t>Underwear/Male/Male Black Knight 08 White</t>
  </si>
  <si>
    <t>Underwear/Male/Male Black Knight 08 Yellow</t>
  </si>
  <si>
    <t>Underwear/Male/Male Black L Robe 01 Blue</t>
  </si>
  <si>
    <t>Underwear/Male/Male Black L Robe 01 Brown</t>
  </si>
  <si>
    <t>Underwear/Male/Male Black L Robe 01 Green</t>
  </si>
  <si>
    <t>Underwear/Male/Male Black L Robe 01 Purple</t>
  </si>
  <si>
    <t>Underwear/Male/Male Black L Robe 01 Red</t>
  </si>
  <si>
    <t>Underwear/Male/Male Black L Robe 02 Blue</t>
  </si>
  <si>
    <t>Underwear/Male/Male Black L Robe 02 Brown</t>
  </si>
  <si>
    <t>Underwear/Male/Male Black L Robe 02 Green</t>
  </si>
  <si>
    <t>Underwear/Male/Male Black L Robe 02 Purple</t>
  </si>
  <si>
    <t>Underwear/Male/Male Black L Robe 02 Red</t>
  </si>
  <si>
    <t>Underwear/Male/Male Black Naked</t>
  </si>
  <si>
    <t>Underwear/Male/Male Black S Robe 01 Blue</t>
  </si>
  <si>
    <t>Underwear/Male/Male Black S Robe 01 Brown</t>
  </si>
  <si>
    <t>Underwear/Male/Male Black S Robe 01 Green</t>
  </si>
  <si>
    <t>Underwear/Male/Male Black S Robe 01 Purple</t>
  </si>
  <si>
    <t>Underwear/Male/Male Black S Robe 01 Red</t>
  </si>
  <si>
    <t>Underwear/Male/Male Black S Robe 02 Blue</t>
  </si>
  <si>
    <t>Underwear/Male/Male Black S Robe 02 Brown</t>
  </si>
  <si>
    <t>Underwear/Male/Male Black S Robe 02 Green</t>
  </si>
  <si>
    <t>Underwear/Male/Male Black S Robe 02 Red</t>
  </si>
  <si>
    <t>Underwear/Male/Male Black Santa 01</t>
  </si>
  <si>
    <t>Underwear/Male/Male Black Wizard 01 Black</t>
  </si>
  <si>
    <t>Underwear/Male/Male Black Wizard 01 Blue</t>
  </si>
  <si>
    <t>Underwear/Male/Male Black Wizard 01 Green</t>
  </si>
  <si>
    <t>Underwear/Male/Male Black Wizard 01 Purple</t>
  </si>
  <si>
    <t>Underwear/Male/Male Black Wizard 01 Red</t>
  </si>
  <si>
    <t>Underwear/Male/Male Black Wizard 01 White</t>
  </si>
  <si>
    <t>Underwear/Male/Male Black Wizard 02 Black</t>
  </si>
  <si>
    <t>Underwear/Male/Male Black Wizard 02 Blue</t>
  </si>
  <si>
    <t>Underwear/Male/Male Black Wizard 02 Brown</t>
  </si>
  <si>
    <t>Underwear/Male/Male Black Wizard 02 Green</t>
  </si>
  <si>
    <t>Underwear/Male/Male Black Wizard 02 Purple</t>
  </si>
  <si>
    <t>Underwear/Male/Male Black Wizard 02 Red</t>
  </si>
  <si>
    <t>Underwear/Male/Male Black Wizard 02 White</t>
  </si>
  <si>
    <t>Underwear/Male/Male Black Wizard 03 Black</t>
  </si>
  <si>
    <t>Underwear/Male/Male Black Wizard 03 Blue</t>
  </si>
  <si>
    <t>Underwear/Male/Male Black Wizard 03 Green</t>
  </si>
  <si>
    <t>Underwear/Male/Male Black Wizard 03 Purple</t>
  </si>
  <si>
    <t>Underwear/Male/Male Black Wizard 03 Red</t>
  </si>
  <si>
    <t>Underwear/Male/Male Black Wizard 03 Yellow</t>
  </si>
  <si>
    <t>Underwear/Male/Male Black Wizard 04 Black</t>
  </si>
  <si>
    <t>Underwear/Male/Male Black Wizard 04 Blue</t>
  </si>
  <si>
    <t>Underwear/Male/Male Black Wizard 04 Brown</t>
  </si>
  <si>
    <t>Underwear/Male/Male Black Wizard 04 Green</t>
  </si>
  <si>
    <t>Underwear/Male/Male Black Wizard 04 Magenta</t>
  </si>
  <si>
    <t>Underwear/Male/Male Black Wizard 04 Purple</t>
  </si>
  <si>
    <t>Underwear/Male/Male Black Wizard 04 Red</t>
  </si>
  <si>
    <t>Underwear/Male/Male Black Wizard 04 White</t>
  </si>
  <si>
    <t>Underwear/Male/Male Black Wizard 05 Black</t>
  </si>
  <si>
    <t>Underwear/Male/Male Black Wizard 05 Blue</t>
  </si>
  <si>
    <t>Underwear/Male/Male Black Wizard 05 Brown</t>
  </si>
  <si>
    <t>Underwear/Male/Male Black Wizard 05 Green</t>
  </si>
  <si>
    <t>Underwear/Male/Male Black Wizard 05 Magenta</t>
  </si>
  <si>
    <t>Underwear/Male/Male Black Wizard 05 Purple</t>
  </si>
  <si>
    <t>Underwear/Male/Male Black Wizard 05 Red</t>
  </si>
  <si>
    <t>Underwear/Male/Male Black Wizard 05 White</t>
  </si>
  <si>
    <t>Underwear/Male/Male Black Wizard 06 Black</t>
  </si>
  <si>
    <t>Underwear/Male/Male Black Wizard 06 Blue</t>
  </si>
  <si>
    <t>Underwear/Male/Male Black Wizard 06 Brown</t>
  </si>
  <si>
    <t>Underwear/Male/Male Black Wizard 06 Green</t>
  </si>
  <si>
    <t>Underwear/Male/Male Black Wizard 06 Magenta</t>
  </si>
  <si>
    <t>Underwear/Male/Male Black Wizard 06 Purple</t>
  </si>
  <si>
    <t>Underwear/Male/Male Black Wizard 06 Red</t>
  </si>
  <si>
    <t>Underwear/Male/Male Black Wizard 06 White</t>
  </si>
  <si>
    <t>Underwear/Male/Male Brown Archer 01 Black</t>
  </si>
  <si>
    <t>Underwear/Male/Male Brown Archer 01 Blue</t>
  </si>
  <si>
    <t>Underwear/Male/Male Brown Archer 01 Green</t>
  </si>
  <si>
    <t>Underwear/Male/Male Brown Archer 01 Maroon</t>
  </si>
  <si>
    <t>Underwear/Male/Male Brown Archer 01 Olive</t>
  </si>
  <si>
    <t>Underwear/Male/Male Brown Archer 01 Purple</t>
  </si>
  <si>
    <t>Underwear/Male/Male Brown Archer 01 White</t>
  </si>
  <si>
    <t>Underwear/Male/Male Brown Archer 02 Blue</t>
  </si>
  <si>
    <t>Underwear/Male/Male Brown Archer 02 Green</t>
  </si>
  <si>
    <t>Underwear/Male/Male Brown Archer 02 Olive</t>
  </si>
  <si>
    <t>Underwear/Male/Male Brown Archer 02 Purple</t>
  </si>
  <si>
    <t>Underwear/Male/Male Brown Archer 02 Red</t>
  </si>
  <si>
    <t>Underwear/Male/Male Brown Archer 02 White</t>
  </si>
  <si>
    <t>Underwear/Male/Male Brown Archer 03 Black</t>
  </si>
  <si>
    <t>Underwear/Male/Male Brown Archer 03 Blue</t>
  </si>
  <si>
    <t>Underwear/Male/Male Brown Archer 03 Green</t>
  </si>
  <si>
    <t>Underwear/Male/Male Brown Archer 03 Magenta</t>
  </si>
  <si>
    <t>Underwear/Male/Male Brown Archer 03 Purple</t>
  </si>
  <si>
    <t>Underwear/Male/Male Brown Archer 03 Red</t>
  </si>
  <si>
    <t>Underwear/Male/Male Brown Archer 03 White</t>
  </si>
  <si>
    <t>Underwear/Male/Male Brown Archer 03 Yellow</t>
  </si>
  <si>
    <t>Underwear/Male/Male Brown Archer 04 Black</t>
  </si>
  <si>
    <t>Underwear/Male/Male Brown Archer 04 Blue</t>
  </si>
  <si>
    <t>Underwear/Male/Male Brown Archer 04 Green</t>
  </si>
  <si>
    <t>Underwear/Male/Male Brown Archer 04 Magenta</t>
  </si>
  <si>
    <t>Underwear/Male/Male Brown Archer 04 Purple</t>
  </si>
  <si>
    <t>Underwear/Male/Male Brown Archer 04 Red</t>
  </si>
  <si>
    <t>Underwear/Male/Male Brown Archer 04 White</t>
  </si>
  <si>
    <t>Underwear/Male/Male Brown Archer 04 Yellow</t>
  </si>
  <si>
    <t>Underwear/Male/Male Brown Archer 05 Black</t>
  </si>
  <si>
    <t>Underwear/Male/Male Brown Archer 05 Blue</t>
  </si>
  <si>
    <t>Underwear/Male/Male Brown Archer 05 Green</t>
  </si>
  <si>
    <t>Underwear/Male/Male Brown Archer 05 Magenta</t>
  </si>
  <si>
    <t>Underwear/Male/Male Brown Archer 05 Purple</t>
  </si>
  <si>
    <t>Underwear/Male/Male Brown Archer 05 Red</t>
  </si>
  <si>
    <t>Underwear/Male/Male Brown Archer 05 White</t>
  </si>
  <si>
    <t>Underwear/Male/Male Brown Archer 05 Yellow</t>
  </si>
  <si>
    <t>Underwear/Male/Male Brown Barbarian 01 Blue</t>
  </si>
  <si>
    <t>Underwear/Male/Male Brown Barbarian 01 Green</t>
  </si>
  <si>
    <t>Underwear/Male/Male Brown Barbarian 01 Purple</t>
  </si>
  <si>
    <t>Underwear/Male/Male Brown Barbarian 01 Red</t>
  </si>
  <si>
    <t>Underwear/Male/Male Brown Barbarian 02 Black</t>
  </si>
  <si>
    <t>Underwear/Male/Male Brown Barbarian 02 Blue</t>
  </si>
  <si>
    <t>Underwear/Male/Male Brown Barbarian 02 Brown</t>
  </si>
  <si>
    <t>Underwear/Male/Male Brown Barbarian 02 Green</t>
  </si>
  <si>
    <t>Underwear/Male/Male Brown Barbarian 02 Purple</t>
  </si>
  <si>
    <t>Underwear/Male/Male Brown Barbarian 02 White</t>
  </si>
  <si>
    <t>Underwear/Male/Male Brown Barbarian 03 Black</t>
  </si>
  <si>
    <t>Underwear/Male/Male Brown Barbarian 03 Blue</t>
  </si>
  <si>
    <t>Underwear/Male/Male Brown Barbarian 03 Brown</t>
  </si>
  <si>
    <t>Underwear/Male/Male Brown Barbarian 03 Green</t>
  </si>
  <si>
    <t>Underwear/Male/Male Brown Barbarian 03 Magenta</t>
  </si>
  <si>
    <t>Underwear/Male/Male Brown Barbarian 03 Purple</t>
  </si>
  <si>
    <t>Underwear/Male/Male Brown Barbarian 03 Red</t>
  </si>
  <si>
    <t>Underwear/Male/Male Brown Barbarian 04 Black</t>
  </si>
  <si>
    <t>Underwear/Male/Male Brown Barbarian 04 Blue</t>
  </si>
  <si>
    <t>Underwear/Male/Male Brown Barbarian 04 Green</t>
  </si>
  <si>
    <t>Underwear/Male/Male Brown Barbarian 04 Magenta</t>
  </si>
  <si>
    <t>Underwear/Male/Male Brown Barbarian 04 Purple</t>
  </si>
  <si>
    <t>Underwear/Male/Male Brown Barbarian 04 Red</t>
  </si>
  <si>
    <t>Underwear/Male/Male Brown Barbarian 04 White</t>
  </si>
  <si>
    <t>Underwear/Male/Male Brown Barbarian 04 Yellow</t>
  </si>
  <si>
    <t>Underwear/Male/Male Brown Barbarian 05 Black</t>
  </si>
  <si>
    <t>Underwear/Male/Male Brown Barbarian 05 Blue</t>
  </si>
  <si>
    <t>Underwear/Male/Male Brown Barbarian 05 Green</t>
  </si>
  <si>
    <t>Underwear/Male/Male Brown Barbarian 05 Magenta</t>
  </si>
  <si>
    <t>Underwear/Male/Male Brown Barbarian 05 Purple</t>
  </si>
  <si>
    <t>Underwear/Male/Male Brown Barbarian 05 Red</t>
  </si>
  <si>
    <t>Underwear/Male/Male Brown Barbarian 05 White</t>
  </si>
  <si>
    <t>Underwear/Male/Male Brown Barbarian 05 Yellow</t>
  </si>
  <si>
    <t>Underwear/Male/Male Brown Barbarian 06 Black</t>
  </si>
  <si>
    <t>Underwear/Male/Male Brown Barbarian 06 Blue</t>
  </si>
  <si>
    <t>Underwear/Male/Male Brown Barbarian 06 Green</t>
  </si>
  <si>
    <t>Underwear/Male/Male Brown Barbarian 06 Magenta</t>
  </si>
  <si>
    <t>Underwear/Male/Male Brown Barbarian 06 Purple</t>
  </si>
  <si>
    <t>Underwear/Male/Male Brown Barbarian 06 Red</t>
  </si>
  <si>
    <t>Underwear/Male/Male Brown Barbarian 06 White</t>
  </si>
  <si>
    <t>Underwear/Male/Male Brown Barbarian 06 Yellow</t>
  </si>
  <si>
    <t>Underwear/Male/Male Brown Casual 01A</t>
  </si>
  <si>
    <t>Underwear/Male/Male Brown Casual 01B</t>
  </si>
  <si>
    <t>Underwear/Male/Male Brown Casual 01C</t>
  </si>
  <si>
    <t>Underwear/Male/Male Brown Casual 02A</t>
  </si>
  <si>
    <t>Underwear/Male/Male Brown Casual 02B</t>
  </si>
  <si>
    <t>Underwear/Male/Male Brown Casual 02C</t>
  </si>
  <si>
    <t>Underwear/Male/Male Brown Casual 03A</t>
  </si>
  <si>
    <t>Underwear/Male/Male Brown Casual 03B</t>
  </si>
  <si>
    <t>Underwear/Male/Male Brown Casual 03C</t>
  </si>
  <si>
    <t>Underwear/Male/Male Brown Casual 04A</t>
  </si>
  <si>
    <t>Underwear/Male/Male Brown Casual 04B</t>
  </si>
  <si>
    <t>Underwear/Male/Male Brown Casual 04C</t>
  </si>
  <si>
    <t>Underwear/Male/Male Brown Casual 05A</t>
  </si>
  <si>
    <t>Underwear/Male/Male Brown Casual 05B</t>
  </si>
  <si>
    <t>Underwear/Male/Male Brown Casual 05C</t>
  </si>
  <si>
    <t>Underwear/Male/Male Brown Casual 06A</t>
  </si>
  <si>
    <t>Underwear/Male/Male Brown Casual 06B</t>
  </si>
  <si>
    <t>Underwear/Male/Male Brown Casual 06C</t>
  </si>
  <si>
    <t>Underwear/Male/Male Brown Casual 07A</t>
  </si>
  <si>
    <t>Underwear/Male/Male Brown Casual 07B</t>
  </si>
  <si>
    <t>Underwear/Male/Male Brown Casual 07C</t>
  </si>
  <si>
    <t>Underwear/Male/Male Brown Casual 08A</t>
  </si>
  <si>
    <t>Underwear/Male/Male Brown Casual 08B</t>
  </si>
  <si>
    <t>Underwear/Male/Male Brown Casual 08C</t>
  </si>
  <si>
    <t>Underwear/Male/Male Brown King 01 Black</t>
  </si>
  <si>
    <t>Underwear/Male/Male Brown King 01 Blue</t>
  </si>
  <si>
    <t>Underwear/Male/Male Brown King 01 Green</t>
  </si>
  <si>
    <t>Underwear/Male/Male Brown King 01 Magenta</t>
  </si>
  <si>
    <t>Underwear/Male/Male Brown King 01 Purple</t>
  </si>
  <si>
    <t>Underwear/Male/Male Brown King 01 Red</t>
  </si>
  <si>
    <t>Underwear/Male/Male Brown King 01 White</t>
  </si>
  <si>
    <t>Underwear/Male/Male Brown King 01 Yellow</t>
  </si>
  <si>
    <t>Underwear/Male/Male Brown Knight 01 Black</t>
  </si>
  <si>
    <t>Underwear/Male/Male Brown Knight 01 Blue</t>
  </si>
  <si>
    <t>Underwear/Male/Male Brown Knight 01 Red</t>
  </si>
  <si>
    <t>Underwear/Male/Male Brown Knight 01 White</t>
  </si>
  <si>
    <t>Underwear/Male/Male Brown Knight 02 Black</t>
  </si>
  <si>
    <t>Underwear/Male/Male Brown Knight 02 Blue</t>
  </si>
  <si>
    <t>Underwear/Male/Male Brown Knight 02 Green</t>
  </si>
  <si>
    <t>Underwear/Male/Male Brown Knight 02 Purple</t>
  </si>
  <si>
    <t>Underwear/Male/Male Brown Knight 02 Red</t>
  </si>
  <si>
    <t>Underwear/Male/Male Brown Knight 02 White</t>
  </si>
  <si>
    <t>Underwear/Male/Male Brown Knight 03 Black</t>
  </si>
  <si>
    <t>Underwear/Male/Male Brown Knight 03 Blue</t>
  </si>
  <si>
    <t>Underwear/Male/Male Brown Knight 03 Brown</t>
  </si>
  <si>
    <t>Underwear/Male/Male Brown Knight 03 Green</t>
  </si>
  <si>
    <t>Underwear/Male/Male Brown Knight 03 Magenta</t>
  </si>
  <si>
    <t>Underwear/Male/Male Brown Knight 03 Purple</t>
  </si>
  <si>
    <t>Underwear/Male/Male Brown Knight 03 Red</t>
  </si>
  <si>
    <t>Underwear/Male/Male Brown Knight 03 White</t>
  </si>
  <si>
    <t>Underwear/Male/Male Brown Knight 04 Black</t>
  </si>
  <si>
    <t>Underwear/Male/Male Brown Knight 04 Blue</t>
  </si>
  <si>
    <t>Underwear/Male/Male Brown Knight 04 Brown</t>
  </si>
  <si>
    <t>Underwear/Male/Male Brown Knight 04 Green</t>
  </si>
  <si>
    <t>Underwear/Male/Male Brown Knight 04 Magenta</t>
  </si>
  <si>
    <t>Underwear/Male/Male Brown Knight 04 Purple</t>
  </si>
  <si>
    <t>Underwear/Male/Male Brown Knight 04 Red</t>
  </si>
  <si>
    <t>Underwear/Male/Male Brown Knight 04 White</t>
  </si>
  <si>
    <t>Underwear/Male/Male Brown Knight 05 Black</t>
  </si>
  <si>
    <t>Underwear/Male/Male Brown Knight 05 Blue</t>
  </si>
  <si>
    <t>Underwear/Male/Male Brown Knight 05 Brown</t>
  </si>
  <si>
    <t>Underwear/Male/Male Brown Knight 05 Green</t>
  </si>
  <si>
    <t>Underwear/Male/Male Brown Knight 05 Magenta</t>
  </si>
  <si>
    <t>Underwear/Male/Male Brown Knight 05 Purple</t>
  </si>
  <si>
    <t>Underwear/Male/Male Brown Knight 05 Red</t>
  </si>
  <si>
    <t>Underwear/Male/Male Brown Knight 05 White</t>
  </si>
  <si>
    <t>Underwear/Male/Male Brown Knight 06 Black</t>
  </si>
  <si>
    <t>Underwear/Male/Male Brown Knight 06 Blue</t>
  </si>
  <si>
    <t>Underwear/Male/Male Brown Knight 06 Green</t>
  </si>
  <si>
    <t>Underwear/Male/Male Brown Knight 06 Magenta</t>
  </si>
  <si>
    <t>Underwear/Male/Male Brown Knight 06 Purple</t>
  </si>
  <si>
    <t>Underwear/Male/Male Brown Knight 06 Red</t>
  </si>
  <si>
    <t>Underwear/Male/Male Brown Knight 06 White</t>
  </si>
  <si>
    <t>Underwear/Male/Male Brown Knight 06 Yellow</t>
  </si>
  <si>
    <t>Underwear/Male/Male Brown Knight 07 Black</t>
  </si>
  <si>
    <t>Underwear/Male/Male Brown Knight 07 Blue</t>
  </si>
  <si>
    <t>Underwear/Male/Male Brown Knight 07 Green</t>
  </si>
  <si>
    <t>Underwear/Male/Male Brown Knight 07 Magenta</t>
  </si>
  <si>
    <t>Underwear/Male/Male Brown Knight 07 Purple</t>
  </si>
  <si>
    <t>Underwear/Male/Male Brown Knight 07 Red</t>
  </si>
  <si>
    <t>Underwear/Male/Male Brown Knight 07 White</t>
  </si>
  <si>
    <t>Underwear/Male/Male Brown Knight 07 Yellow</t>
  </si>
  <si>
    <t>Underwear/Male/Male Brown Knight 08 Black</t>
  </si>
  <si>
    <t>Underwear/Male/Male Brown Knight 08 Blue</t>
  </si>
  <si>
    <t>Underwear/Male/Male Brown Knight 08 Green</t>
  </si>
  <si>
    <t>Underwear/Male/Male Brown Knight 08 Magenta</t>
  </si>
  <si>
    <t>Underwear/Male/Male Brown Knight 08 Purple</t>
  </si>
  <si>
    <t>Underwear/Male/Male Brown Knight 08 Red</t>
  </si>
  <si>
    <t>Underwear/Male/Male Brown Knight 08 White</t>
  </si>
  <si>
    <t>Underwear/Male/Male Brown Knight 08 Yellow</t>
  </si>
  <si>
    <t>Underwear/Male/Male Brown L Robe 01 Blue</t>
  </si>
  <si>
    <t>Underwear/Male/Male Brown L Robe 01 Brown</t>
  </si>
  <si>
    <t>Underwear/Male/Male Brown L Robe 01 Green</t>
  </si>
  <si>
    <t>Underwear/Male/Male Brown L Robe 01 Purple</t>
  </si>
  <si>
    <t>Underwear/Male/Male Brown L Robe 01 Red</t>
  </si>
  <si>
    <t>Underwear/Male/Male Brown L Robe 02 Blue</t>
  </si>
  <si>
    <t>Underwear/Male/Male Brown L Robe 02 Brown</t>
  </si>
  <si>
    <t>Underwear/Male/Male Brown L Robe 02 Green</t>
  </si>
  <si>
    <t>Underwear/Male/Male Brown L Robe 02 Purple</t>
  </si>
  <si>
    <t>Underwear/Male/Male Brown L Robe 02 Red</t>
  </si>
  <si>
    <t>Underwear/Male/Male Brown Naked</t>
  </si>
  <si>
    <t>Underwear/Male/Male Brown S Robe 01 Blue</t>
  </si>
  <si>
    <t>Underwear/Male/Male Brown S Robe 01 Brown</t>
  </si>
  <si>
    <t>Underwear/Male/Male Brown S Robe 01 Green</t>
  </si>
  <si>
    <t>Underwear/Male/Male Brown S Robe 01 Purple</t>
  </si>
  <si>
    <t>Underwear/Male/Male Brown S Robe 01 Red</t>
  </si>
  <si>
    <t>Underwear/Male/Male Brown S Robe 02 Blue</t>
  </si>
  <si>
    <t>Underwear/Male/Male Brown S Robe 02 Brown</t>
  </si>
  <si>
    <t>Underwear/Male/Male Brown S Robe 02 Green</t>
  </si>
  <si>
    <t>Underwear/Male/Male Brown S Robe 02 Purple</t>
  </si>
  <si>
    <t>Underwear/Male/Male Brown S Robe 02 Red</t>
  </si>
  <si>
    <t>Underwear/Male/Male Brown Santa 01</t>
  </si>
  <si>
    <t>Underwear/Male/Male Brown Wizard 01 Black</t>
  </si>
  <si>
    <t>Underwear/Male/Male Brown Wizard 01 Blue</t>
  </si>
  <si>
    <t>Underwear/Male/Male Brown Wizard 01 Green</t>
  </si>
  <si>
    <t>Underwear/Male/Male Brown Wizard 01 Purple</t>
  </si>
  <si>
    <t>Underwear/Male/Male Brown Wizard 01 Red</t>
  </si>
  <si>
    <t>Underwear/Male/Male Brown Wizard 01 White</t>
  </si>
  <si>
    <t>Underwear/Male/Male Brown Wizard 02 Black</t>
  </si>
  <si>
    <t>Underwear/Male/Male Brown Wizard 02 Blue</t>
  </si>
  <si>
    <t>Underwear/Male/Male Brown Wizard 02 Brown</t>
  </si>
  <si>
    <t>Underwear/Male/Male Brown Wizard 02 Green</t>
  </si>
  <si>
    <t>Underwear/Male/Male Brown Wizard 02 Purple</t>
  </si>
  <si>
    <t>Underwear/Male/Male Brown Wizard 02 Red</t>
  </si>
  <si>
    <t>Underwear/Male/Male Brown Wizard 02 White</t>
  </si>
  <si>
    <t>Underwear/Male/Male Brown Wizard 03 Black</t>
  </si>
  <si>
    <t>Underwear/Male/Male Brown Wizard 03 Blue</t>
  </si>
  <si>
    <t>Underwear/Male/Male Brown Wizard 03 Green</t>
  </si>
  <si>
    <t>Underwear/Male/Male Brown Wizard 03 Purple</t>
  </si>
  <si>
    <t>Underwear/Male/Male Brown Wizard 03 Red</t>
  </si>
  <si>
    <t>Underwear/Male/Male Brown Wizard 03 Yellow</t>
  </si>
  <si>
    <t>Underwear/Male/Male Brown Wizard 04 Black</t>
  </si>
  <si>
    <t>Underwear/Male/Male Brown Wizard 04 Blue</t>
  </si>
  <si>
    <t>Underwear/Male/Male Brown Wizard 04 Brown</t>
  </si>
  <si>
    <t>Underwear/Male/Male Brown Wizard 04 Green</t>
  </si>
  <si>
    <t>Underwear/Male/Male Brown Wizard 04 Magenta</t>
  </si>
  <si>
    <t>Underwear/Male/Male Brown Wizard 04 Purple</t>
  </si>
  <si>
    <t>Underwear/Male/Male Brown Wizard 04 Red</t>
  </si>
  <si>
    <t>Underwear/Male/Male Brown Wizard 04 White</t>
  </si>
  <si>
    <t>Underwear/Male/Male Brown Wizard 05 Black</t>
  </si>
  <si>
    <t>Underwear/Male/Male Brown Wizard 05 Blue</t>
  </si>
  <si>
    <t>Underwear/Male/Male Brown Wizard 05 Brown</t>
  </si>
  <si>
    <t>Underwear/Male/Male Brown Wizard 05 Green</t>
  </si>
  <si>
    <t>Underwear/Male/Male Brown Wizard 05 Magenta</t>
  </si>
  <si>
    <t>Underwear/Male/Male Brown Wizard 05 Purple</t>
  </si>
  <si>
    <t>Underwear/Male/Male Brown Wizard 05 Red</t>
  </si>
  <si>
    <t>Underwear/Male/Male Brown Wizard 05 White</t>
  </si>
  <si>
    <t>Underwear/Male/Male Brown Wizard 06 Black</t>
  </si>
  <si>
    <t>Underwear/Male/Male Brown Wizard 06 Blue</t>
  </si>
  <si>
    <t>Underwear/Male/Male Brown Wizard 06 Brown</t>
  </si>
  <si>
    <t>Underwear/Male/Male Brown Wizard 06 Green</t>
  </si>
  <si>
    <t>Underwear/Male/Male Brown Wizard 06 Magenta</t>
  </si>
  <si>
    <t>Underwear/Male/Male Brown Wizard 06 Purple</t>
  </si>
  <si>
    <t>Underwear/Male/Male Brown Wizard 06 Red</t>
  </si>
  <si>
    <t>Underwear/Male/Male Brown Wizard 06 White</t>
  </si>
  <si>
    <t>Underwear/Male/Male Fire 01 Orange</t>
  </si>
  <si>
    <t>Underwear/Male/Male Fire 01 Yellow</t>
  </si>
  <si>
    <t>Underwear/Male/Male White Archer 01 Black</t>
  </si>
  <si>
    <t>Underwear/Male/Male White Archer 01 Blue</t>
  </si>
  <si>
    <t>Underwear/Male/Male White Archer 01 Green</t>
  </si>
  <si>
    <t>Underwear/Male/Male White Archer 01 Maroon</t>
  </si>
  <si>
    <t>Underwear/Male/Male White Archer 01 Olive</t>
  </si>
  <si>
    <t>Underwear/Male/Male White Archer 01 Purple</t>
  </si>
  <si>
    <t>Underwear/Male/Male White Archer 01 White</t>
  </si>
  <si>
    <t>Underwear/Male/Male White Archer 02 Blue</t>
  </si>
  <si>
    <t>Underwear/Male/Male White Archer 02 Green</t>
  </si>
  <si>
    <t>Underwear/Male/Male White Archer 02 Olive</t>
  </si>
  <si>
    <t>Underwear/Male/Male White Archer 02 Purple</t>
  </si>
  <si>
    <t>Underwear/Male/Male White Archer 02 Red</t>
  </si>
  <si>
    <t>Underwear/Male/Male White Archer 02 White</t>
  </si>
  <si>
    <t>Underwear/Male/Male White Archer 03 Black</t>
  </si>
  <si>
    <t>Underwear/Male/Male White Archer 03 Blue</t>
  </si>
  <si>
    <t>Underwear/Male/Male White Archer 03 Green</t>
  </si>
  <si>
    <t>Underwear/Male/Male White Archer 03 Magenta</t>
  </si>
  <si>
    <t>Underwear/Male/Male White Archer 03 Purple</t>
  </si>
  <si>
    <t>Underwear/Male/Male White Archer 03 Red</t>
  </si>
  <si>
    <t>Underwear/Male/Male White Archer 03 White</t>
  </si>
  <si>
    <t>Underwear/Male/Male White Archer 03 Yellow</t>
  </si>
  <si>
    <t>Underwear/Male/Male White Archer 04 Black</t>
  </si>
  <si>
    <t>Underwear/Male/Male White Archer 04 Blue</t>
  </si>
  <si>
    <t>Underwear/Male/Male White Archer 04 Green</t>
  </si>
  <si>
    <t>Underwear/Male/Male White Archer 04 Magenta</t>
  </si>
  <si>
    <t>Underwear/Male/Male White Archer 04 Purple</t>
  </si>
  <si>
    <t>Underwear/Male/Male White Archer 04 Red</t>
  </si>
  <si>
    <t>Underwear/Male/Male White Archer 04 White</t>
  </si>
  <si>
    <t>Underwear/Male/Male White Archer 04 Yellow</t>
  </si>
  <si>
    <t>Underwear/Male/Male White Archer 05 Black</t>
  </si>
  <si>
    <t>Underwear/Male/Male White Archer 05 Blue</t>
  </si>
  <si>
    <t>Underwear/Male/Male White Archer 05 Green</t>
  </si>
  <si>
    <t>Underwear/Male/Male White Archer 05 Magenta</t>
  </si>
  <si>
    <t>Underwear/Male/Male White Archer 05 Purple</t>
  </si>
  <si>
    <t>Underwear/Male/Male White Archer 05 Red</t>
  </si>
  <si>
    <t>Underwear/Male/Male White Archer 05 White</t>
  </si>
  <si>
    <t>Underwear/Male/Male White Archer 05 Yellow</t>
  </si>
  <si>
    <t>Underwear/Male/Male White Barbarian 01 Blue</t>
  </si>
  <si>
    <t>Underwear/Male/Male White Barbarian 01 Green</t>
  </si>
  <si>
    <t>Underwear/Male/Male White Barbarian 01 Purple</t>
  </si>
  <si>
    <t>Underwear/Male/Male White Barbarian 01 Red</t>
  </si>
  <si>
    <t>Underwear/Male/Male White Barbarian 02 Black</t>
  </si>
  <si>
    <t>Underwear/Male/Male White Barbarian 02 Blue</t>
  </si>
  <si>
    <t>Underwear/Male/Male White Barbarian 02 Brown</t>
  </si>
  <si>
    <t>Underwear/Male/Male White Barbarian 02 Green</t>
  </si>
  <si>
    <t>Underwear/Male/Male White Barbarian 02 Purple</t>
  </si>
  <si>
    <t>Underwear/Male/Male White Barbarian 02 White</t>
  </si>
  <si>
    <t>Underwear/Male/Male White Barbarian 03 Black</t>
  </si>
  <si>
    <t>Underwear/Male/Male White Barbarian 03 Blue</t>
  </si>
  <si>
    <t>Underwear/Male/Male White Barbarian 03 Brown</t>
  </si>
  <si>
    <t>Underwear/Male/Male White Barbarian 03 Green</t>
  </si>
  <si>
    <t>Underwear/Male/Male White Barbarian 03 Magenta</t>
  </si>
  <si>
    <t>Underwear/Male/Male White Barbarian 03 Purple</t>
  </si>
  <si>
    <t>Underwear/Male/Male White Barbarian 03 Red</t>
  </si>
  <si>
    <t>Underwear/Male/Male White Barbarian 03 White</t>
  </si>
  <si>
    <t>Underwear/Male/Male White Barbarian 04 Black</t>
  </si>
  <si>
    <t>Underwear/Male/Male White Barbarian 04 Blue</t>
  </si>
  <si>
    <t>//Body</t>
    <phoneticPr fontId="1" type="noConversion"/>
  </si>
  <si>
    <t>//Beard</t>
    <phoneticPr fontId="1" type="noConversion"/>
  </si>
  <si>
    <t>//Ears</t>
    <phoneticPr fontId="1" type="noConversion"/>
  </si>
  <si>
    <t>//Hair</t>
    <phoneticPr fontId="1" type="noConversion"/>
  </si>
  <si>
    <t>//Horns</t>
    <phoneticPr fontId="1" type="noConversion"/>
  </si>
  <si>
    <t>//Bag</t>
    <phoneticPr fontId="1" type="noConversion"/>
  </si>
  <si>
    <t>//Wing</t>
    <phoneticPr fontId="1" type="noConversion"/>
  </si>
  <si>
    <t>//Underwear</t>
    <phoneticPr fontId="1" type="noConversion"/>
  </si>
  <si>
    <t>MainBody/AvatarBodyNormal</t>
    <phoneticPr fontId="1" type="noConversion"/>
  </si>
  <si>
    <t>MainBody/AvatarBodySRobe</t>
    <phoneticPr fontId="1" type="noConversion"/>
  </si>
  <si>
    <t>MainBody/AvatarBodyLRobe</t>
    <phoneticPr fontId="1" type="noConversion"/>
  </si>
  <si>
    <t>Hair/Female/Hair Female 01 Black</t>
  </si>
  <si>
    <t>Hair/Female/Hair Female 01 Blonde</t>
  </si>
  <si>
    <t>Hair/Female/Hair Female 01 Brown</t>
  </si>
  <si>
    <t>Hair/Female/Hair Female 01 Cyan</t>
  </si>
  <si>
    <t>Hair/Female/Hair Female 01 Purple</t>
  </si>
  <si>
    <t>Hair/Female/Hair Female 01 Red</t>
  </si>
  <si>
    <t>Hair/Female/Hair Female 01 White</t>
  </si>
  <si>
    <t>Hair/Female/Hair Female 02 Black</t>
  </si>
  <si>
    <t>Hair/Female/Hair Female 02 Blonde</t>
  </si>
  <si>
    <t>Hair/Female/Hair Female 02 Brown</t>
  </si>
  <si>
    <t>Hair/Female/Hair Female 02 Cyan</t>
  </si>
  <si>
    <t>Hair/Female/Hair Female 02 Grey</t>
  </si>
  <si>
    <t>Hair/Female/Hair Female 02 Purple</t>
  </si>
  <si>
    <t>Hair/Female/Hair Female 02 Red</t>
  </si>
  <si>
    <t>Hair/Female/Hair Female 03 Black</t>
  </si>
  <si>
    <t>Hair/Female/Hair Female 03 Blonde</t>
  </si>
  <si>
    <t>Hair/Female/Hair Female 03 Brown</t>
  </si>
  <si>
    <t>Hair/Female/Hair Female 03 Cyan</t>
  </si>
  <si>
    <t>Hair/Female/Hair Female 03 Grey</t>
  </si>
  <si>
    <t>Hair/Female/Hair Female 03 Purple</t>
  </si>
  <si>
    <t>Hair/Female/Hair Female 03 Red</t>
  </si>
  <si>
    <t>Hair/Female/Hair Female 04 Black</t>
  </si>
  <si>
    <t>Hair/Female/Hair Female 04 Blonde</t>
  </si>
  <si>
    <t>Hair/Female/Hair Female 04 Brown</t>
  </si>
  <si>
    <t>Hair/Female/Hair Female 04 Cyan</t>
  </si>
  <si>
    <t>Hair/Female/Hair Female 04 Grey</t>
  </si>
  <si>
    <t>Hair/Female/Hair Female 04 Purple</t>
  </si>
  <si>
    <t>Hair/Female/Hair Female 04 Red</t>
  </si>
  <si>
    <t>Hair/Female/Hair Female 05 Black</t>
  </si>
  <si>
    <t>Hair/Female/Hair Female 05 Blonde</t>
  </si>
  <si>
    <t>Hair/Female/Hair Female 05 Brown</t>
  </si>
  <si>
    <t>Hair/Female/Hair Female 05 Cyan</t>
  </si>
  <si>
    <t>Hair/Female/Hair Female 05 Grey</t>
  </si>
  <si>
    <t>Hair/Female/Hair Female 05 Purple</t>
  </si>
  <si>
    <t>Hair/Female/Hair Female 05 Red</t>
  </si>
  <si>
    <t>Hair/Female/Hair Female 06 Black</t>
  </si>
  <si>
    <t>Hair/Female/Hair Female 06 Blonde</t>
  </si>
  <si>
    <t>Hair/Female/Hair Female 06 Brown</t>
  </si>
  <si>
    <t>Hair/Female/Hair Female 06 Cyan</t>
  </si>
  <si>
    <t>Hair/Female/Hair Female 06 Grey</t>
  </si>
  <si>
    <t>Hair/Female/Hair Female 06 Purple</t>
  </si>
  <si>
    <t>Hair/Female/Hair Female 06 Red</t>
  </si>
  <si>
    <t>Hair/Female/Hair Female 07 Black</t>
  </si>
  <si>
    <t>Hair/Female/Hair Female 07 Blonde</t>
  </si>
  <si>
    <t>Hair/Female/Hair Female 07 Brown</t>
  </si>
  <si>
    <t>Hair/Female/Hair Female 07 Cyan</t>
  </si>
  <si>
    <t>Hair/Female/Hair Female 07 Grey</t>
  </si>
  <si>
    <t>Hair/Female/Hair Female 07 Purple</t>
  </si>
  <si>
    <t>Hair/Female/Hair Female 07 Red</t>
  </si>
  <si>
    <t>Hair/Female/Hair Female 08 Black</t>
  </si>
  <si>
    <t>Hair/Female/Hair Female 08 Blonde</t>
  </si>
  <si>
    <t>Hair/Female/Hair Female 08 Brown</t>
  </si>
  <si>
    <t>Hair/Female/Hair Female 08 Cyan</t>
  </si>
  <si>
    <t>Hair/Female/Hair Female 08 Grey</t>
  </si>
  <si>
    <t>Hair/Female/Hair Female 08 Purple</t>
  </si>
  <si>
    <t>Hair/Female/Hair Female 08 Red</t>
  </si>
  <si>
    <t>Hair/Female/Hair Female 09 Black</t>
  </si>
  <si>
    <t>Hair/Female/Hair Female 09 Blonde</t>
  </si>
  <si>
    <t>Hair/Female/Hair Female 09 Brown</t>
  </si>
  <si>
    <t>Hair/Female/Hair Female 09 Cyan</t>
  </si>
  <si>
    <t>Hair/Female/Hair Female 09 Grey</t>
  </si>
  <si>
    <t>Hair/Female/Hair Female 09 Purple</t>
  </si>
  <si>
    <t>Hair/Female/Hair Female 09 Red</t>
  </si>
  <si>
    <t>Hair/Female/Hair Female 10 Black</t>
  </si>
  <si>
    <t>Hair/Female/Hair Female 10 Blonde</t>
  </si>
  <si>
    <t>Hair/Female/Hair Female 10 Brown</t>
  </si>
  <si>
    <t>Hair/Female/Hair Female 10 Cyan</t>
  </si>
  <si>
    <t>Hair/Female/Hair Female 10 Grey</t>
  </si>
  <si>
    <t>Hair/Female/Hair Female 10 Purple</t>
  </si>
  <si>
    <t>Hair/Female/Hair Female 10 Red</t>
  </si>
  <si>
    <t>Hair/Female/Hair Female 11 Black</t>
  </si>
  <si>
    <t>Hair/Female/Hair Female 11 Blonde</t>
  </si>
  <si>
    <t>Hair/Female/Hair Female 11 Brown</t>
  </si>
  <si>
    <t>Hair/Female/Hair Female 11 Cyan</t>
  </si>
  <si>
    <t>Hair/Female/Hair Female 11 Grey</t>
  </si>
  <si>
    <t>Hair/Female/Hair Female 11 Purple</t>
  </si>
  <si>
    <t>Hair/Female/Hair Female 11 Red</t>
  </si>
  <si>
    <t>Hair/Female/Hair Female 12 Black</t>
  </si>
  <si>
    <t>Hair/Female/Hair Female 12 Blonde</t>
  </si>
  <si>
    <t>Hair/Female/Hair Female 12 Brown</t>
  </si>
  <si>
    <t>Hair/Female/Hair Female 12 Cyan</t>
  </si>
  <si>
    <t>Hair/Female/Hair Female 12 Grey</t>
  </si>
  <si>
    <t>Hair/Female/Hair Female 12 Purple</t>
  </si>
  <si>
    <t>Hair/Female/Hair Female 12 Red</t>
  </si>
  <si>
    <t>Hair/Female/Hair Female 13 Black</t>
  </si>
  <si>
    <t>Hair/Female/Hair Female 13 Blonde</t>
  </si>
  <si>
    <t>Hair/Female/Hair Female 13 Brown</t>
  </si>
  <si>
    <t>Hair/Female/Hair Female 13 Cyan</t>
  </si>
  <si>
    <t>Hair/Female/Hair Female 13 Grey</t>
  </si>
  <si>
    <t>Hair/Female/Hair Female 13 Purple</t>
  </si>
  <si>
    <t>Hair/Female/Hair Female 13 Red</t>
  </si>
  <si>
    <t>Hair/Female/Hair Female 14 Black</t>
  </si>
  <si>
    <t>Hair/Female/Hair Female 14 Blonde</t>
  </si>
  <si>
    <t>Hair/Female/Hair Female 14 Brown</t>
  </si>
  <si>
    <t>Hair/Female/Hair Female 14 Cyan</t>
  </si>
  <si>
    <t>Hair/Female/Hair Female 14 Grey</t>
  </si>
  <si>
    <t>Hair/Female/Hair Female 14 Purple</t>
  </si>
  <si>
    <t>Hair/Female/Hair Female 14 Red</t>
  </si>
  <si>
    <t>Hair/Female/Hair Female 15 Black</t>
  </si>
  <si>
    <t>Hair/Female/Hair Female 15 Blonde</t>
  </si>
  <si>
    <t>Hair/Female/Hair Female 15 Brown</t>
  </si>
  <si>
    <t>Hair/Female/Hair Female 15 Cyan</t>
  </si>
  <si>
    <t>Hair/Female/Hair Female 15 Grey</t>
  </si>
  <si>
    <t>Hair/Female/Hair Female 15 Purple</t>
  </si>
  <si>
    <t>Hair/Female/Hair Female 15 Red</t>
  </si>
  <si>
    <t>Hair/Female/Hair Female 16 Black</t>
  </si>
  <si>
    <t>Hair/Female/Hair Female 16 Blonde</t>
  </si>
  <si>
    <t>Hair/Female/Hair Female 16 Brown</t>
  </si>
  <si>
    <t>Hair/Female/Hair Female 16 Cyan</t>
  </si>
  <si>
    <t>Hair/Female/Hair Female 16 Grey</t>
  </si>
  <si>
    <t>Hair/Female/Hair Female 16 Purple</t>
  </si>
  <si>
    <t>Hair/Female/Hair Female 16 Red</t>
  </si>
  <si>
    <t>Hair/Female/Hair Female 17 Aqua</t>
  </si>
  <si>
    <t>Hair/Female/Hair Female 17 Black</t>
  </si>
  <si>
    <t>Hair/Female/Hair Female 17 Blonde</t>
  </si>
  <si>
    <t>Hair/Female/Hair Female 17 Brown</t>
  </si>
  <si>
    <t>Hair/Female/Hair Female 17 Cyan</t>
  </si>
  <si>
    <t>Hair/Female/Hair Female 17 Fire</t>
  </si>
  <si>
    <t>Hair/Female/Hair Female 17 Grey</t>
  </si>
  <si>
    <t>Hair/Female/Hair Female 17 Purple</t>
  </si>
  <si>
    <t>Hair/Female/Hair Female 17 Red</t>
  </si>
  <si>
    <t>Hair/Female/Hair Female 18 Black</t>
  </si>
  <si>
    <t>Hair/Female/Hair Female 18 Blue</t>
  </si>
  <si>
    <t>Hair/Female/Hair Female 18 Green</t>
  </si>
  <si>
    <t>Hair/Female/Hair Female 18 Magenta</t>
  </si>
  <si>
    <t>Hair/Female/Hair Female 18 Purple</t>
  </si>
  <si>
    <t>Hair/Female/Hair Female 18 Red</t>
  </si>
  <si>
    <t>Hair/Female/Hair Female 18 White</t>
  </si>
  <si>
    <t>Hair/Female/Hair Female 18 Yellow</t>
  </si>
  <si>
    <t>Hair/Male/Hair Male 01 Black</t>
  </si>
  <si>
    <t>Hair/Male/Hair Male 01 Blonde</t>
  </si>
  <si>
    <t>Hair/Male/Hair Male 01 Brown</t>
  </si>
  <si>
    <t>Hair/Male/Hair Male 01 Cyan</t>
  </si>
  <si>
    <t>Hair/Male/Hair Male 01 Grey</t>
  </si>
  <si>
    <t>Hair/Male/Hair Male 01 Purple</t>
  </si>
  <si>
    <t>Hair/Male/Hair Male 01 Red</t>
  </si>
  <si>
    <t>Hair/Male/Hair Male 02 Black</t>
  </si>
  <si>
    <t>Hair/Male/Hair Male 02 Blonde</t>
  </si>
  <si>
    <t>Hair/Male/Hair Male 02 Brown</t>
  </si>
  <si>
    <t>Hair/Male/Hair Male 02 Cyan</t>
  </si>
  <si>
    <t>Hair/Male/Hair Male 02 Grey</t>
  </si>
  <si>
    <t>Hair/Male/Hair Male 02 Purple</t>
  </si>
  <si>
    <t>Hair/Male/Hair Male 02 Red</t>
  </si>
  <si>
    <t>Hair/Male/Hair Male 03 Old Black</t>
  </si>
  <si>
    <t>Hair/Male/Hair Male 03 Old Blonde</t>
  </si>
  <si>
    <t>Hair/Male/Hair Male 03 Old Brown</t>
  </si>
  <si>
    <t>Hair/Male/Hair Male 03 Old Cyan</t>
  </si>
  <si>
    <t>Hair/Male/Hair Male 03 Old Grey</t>
  </si>
  <si>
    <t>Hair/Male/Hair Male 03 Old Purple</t>
  </si>
  <si>
    <t>Hair/Male/Hair Male 03 Old Red</t>
  </si>
  <si>
    <t>Hair/Male/Hair Male 04 Black</t>
  </si>
  <si>
    <t>Hair/Male/Hair Male 04 Blonde</t>
  </si>
  <si>
    <t>Hair/Male/Hair Male 04 Brown</t>
  </si>
  <si>
    <t>Hair/Male/Hair Male 04 Cyan</t>
  </si>
  <si>
    <t>Hair/Male/Hair Male 04 Grey</t>
  </si>
  <si>
    <t>Hair/Male/Hair Male 04 Purple</t>
  </si>
  <si>
    <t>Hair/Male/Hair Male 04 Red</t>
  </si>
  <si>
    <t>Hair/Male/Hair Male 05 Black</t>
  </si>
  <si>
    <t>Hair/Male/Hair Male 05 Blonde</t>
  </si>
  <si>
    <t>Hair/Male/Hair Male 05 Brown</t>
  </si>
  <si>
    <t>Hair/Male/Hair Male 05 Cyan</t>
  </si>
  <si>
    <t>Hair/Male/Hair Male 05 Grey</t>
  </si>
  <si>
    <t>Hair/Male/Hair Male 05 Purple</t>
  </si>
  <si>
    <t>Hair/Male/Hair Male 05 Red</t>
  </si>
  <si>
    <t>Hair/Male/Hair Male 06 Black</t>
  </si>
  <si>
    <t>Hair/Male/Hair Male 06 Blonde</t>
  </si>
  <si>
    <t>Hair/Male/Hair Male 06 Brown</t>
  </si>
  <si>
    <t>Hair/Male/Hair Male 06 Cyan</t>
  </si>
  <si>
    <t>Hair/Male/Hair Male 06 Grey</t>
  </si>
  <si>
    <t>Hair/Male/Hair Male 06 Purple</t>
  </si>
  <si>
    <t>Hair/Male/Hair Male 06 Red</t>
  </si>
  <si>
    <t>Hair/Male/Hair Male 07 Black</t>
  </si>
  <si>
    <t>Hair/Male/Hair Male 07 Blonde</t>
  </si>
  <si>
    <t>Hair/Male/Hair Male 07 Brown</t>
  </si>
  <si>
    <t>Hair/Male/Hair Male 07 Cyan</t>
  </si>
  <si>
    <t>Hair/Male/Hair Male 07 Grey</t>
  </si>
  <si>
    <t>Hair/Male/Hair Male 07 Purple</t>
  </si>
  <si>
    <t>Hair/Male/Hair Male 07 Red</t>
  </si>
  <si>
    <t>Hair/Male/Hair Male 08 Black</t>
  </si>
  <si>
    <t>Hair/Male/Hair Male 08 Blonde</t>
  </si>
  <si>
    <t>Hair/Male/Hair Male 08 Brown</t>
  </si>
  <si>
    <t>Hair/Male/Hair Male 08 Cyan</t>
  </si>
  <si>
    <t>Hair/Male/Hair Male 08 Grey</t>
  </si>
  <si>
    <t>Hair/Male/Hair Male 08 Purple</t>
  </si>
  <si>
    <t>Hair/Male/Hair Male 08 Red</t>
  </si>
  <si>
    <t>Hair/Male/Hair Male 09 Black</t>
  </si>
  <si>
    <t>Hair/Male/Hair Male 09 Blonde</t>
  </si>
  <si>
    <t>Hair/Male/Hair Male 09 Brown</t>
  </si>
  <si>
    <t>Hair/Male/Hair Male 09 Cyan</t>
  </si>
  <si>
    <t>Hair/Male/Hair Male 09 Grey</t>
  </si>
  <si>
    <t>Hair/Male/Hair Male 09 Purple</t>
  </si>
  <si>
    <t>Hair/Male/Hair Male 09 Red</t>
  </si>
  <si>
    <t>Hair/Male/Hair Male 10 Black</t>
  </si>
  <si>
    <t>Hair/Male/Hair Male 10 Blonde</t>
  </si>
  <si>
    <t>Hair/Male/Hair Male 10 Brown</t>
  </si>
  <si>
    <t>Hair/Male/Hair Male 10 Cyan</t>
  </si>
  <si>
    <t>Hair/Male/Hair Male 10 Grey</t>
  </si>
  <si>
    <t>Hair/Male/Hair Male 10 Purple</t>
  </si>
  <si>
    <t>Hair/Male/Hair Male 10 Red</t>
  </si>
  <si>
    <t>Hair/Male/Hair Male 11 Black</t>
  </si>
  <si>
    <t>Hair/Male/Hair Male 11 Blonde</t>
  </si>
  <si>
    <t>Hair/Male/Hair Male 11 Brown</t>
  </si>
  <si>
    <t>Hair/Male/Hair Male 11 Cyan</t>
  </si>
  <si>
    <t>Hair/Male/Hair Male 11 Grey</t>
  </si>
  <si>
    <t>Hair/Male/Hair Male 11 Purple</t>
  </si>
  <si>
    <t>Hair/Male/Hair Male 11 Red</t>
  </si>
  <si>
    <t>Hair/Male/Hair Male 12 Black</t>
  </si>
  <si>
    <t>Hair/Male/Hair Male 12 Blonde</t>
  </si>
  <si>
    <t>Hair/Male/Hair Male 12 Brown</t>
  </si>
  <si>
    <t>Hair/Male/Hair Male 12 Cyan</t>
  </si>
  <si>
    <t>Hair/Male/Hair Male 12 Grey</t>
  </si>
  <si>
    <t>Hair/Male/Hair Male 12 Purple</t>
  </si>
  <si>
    <t>Hair/Male/Hair Male 12 Red</t>
  </si>
  <si>
    <t>Hair/Male/Hair Male 13 Black</t>
  </si>
  <si>
    <t>Hair/Male/Hair Male 13 Blonde</t>
  </si>
  <si>
    <t>Hair/Male/Hair Male 13 Brown</t>
  </si>
  <si>
    <t>Hair/Male/Hair Male 13 Cyan</t>
  </si>
  <si>
    <t>Hair/Male/Hair Male 13 Grey</t>
  </si>
  <si>
    <t>Hair/Male/Hair Male 13 Purple</t>
  </si>
  <si>
    <t>Hair/Male/Hair Male 13 Red</t>
  </si>
  <si>
    <t>Hair/Male/Hair Male 14 Black</t>
  </si>
  <si>
    <t>Hair/Male/Hair Male 14 Blonde</t>
  </si>
  <si>
    <t>Hair/Male/Hair Male 14 Brown</t>
  </si>
  <si>
    <t>Hair/Male/Hair Male 14 Cyan</t>
  </si>
  <si>
    <t>Hair/Male/Hair Male 14 Grey</t>
  </si>
  <si>
    <t>Hair/Male/Hair Male 14 Purple</t>
  </si>
  <si>
    <t>Hair/Male/Hair Male 14 Red</t>
  </si>
  <si>
    <t>Hair/Male/Hair Male 15 Black</t>
  </si>
  <si>
    <t>Hair/Male/Hair Male 15 Blonde</t>
  </si>
  <si>
    <t>Hair/Male/Hair Male 15 Brown</t>
  </si>
  <si>
    <t>Hair/Male/Hair Male 15 Cyan</t>
  </si>
  <si>
    <t>Hair/Male/Hair Male 15 Grey</t>
  </si>
  <si>
    <t>Hair/Male/Hair Male 15 Purple</t>
  </si>
  <si>
    <t>Hair/Male/Hair Male 15 Red</t>
  </si>
  <si>
    <t>Hair/Male/Hair Male 16 Black</t>
  </si>
  <si>
    <t>Hair/Male/Hair Male 16 Blonde</t>
  </si>
  <si>
    <t>Hair/Male/Hair Male 16 Brown</t>
  </si>
  <si>
    <t>Hair/Male/Hair Male 16 Cyan</t>
  </si>
  <si>
    <t>Hair/Male/Hair Male 16 Grey</t>
  </si>
  <si>
    <t>Hair/Male/Hair Male 16 Purple</t>
  </si>
  <si>
    <t>Hair/Male/Hair Male 16 Red</t>
  </si>
  <si>
    <t>Hair/Male/Hair Male 17 Aqua</t>
  </si>
  <si>
    <t>Hair/Male/Hair Male 17 Black</t>
  </si>
  <si>
    <t>Hair/Male/Hair Male 17 Blonde</t>
  </si>
  <si>
    <t>Hair/Male/Hair Male 17 Brown</t>
  </si>
  <si>
    <t>Hair/Male/Hair Male 17 Cyan</t>
  </si>
  <si>
    <t>Hair/Male/Hair Male 17 Fire</t>
  </si>
  <si>
    <t>Hair/Male/Hair Male 17 Grey</t>
  </si>
  <si>
    <t>Hair/Male/Hair Male 17 Purple</t>
  </si>
  <si>
    <t>Hair/Male/Hair Male 17 Red</t>
  </si>
  <si>
    <t>Hair/Male/Hair Male 18 Black</t>
  </si>
  <si>
    <t>Hair/Male/Hair Male 18 Blonde</t>
  </si>
  <si>
    <t>Hair/Male/Hair Male 18 Brown</t>
  </si>
  <si>
    <t>Hair/Male/Hair Male 18 Cyan</t>
  </si>
  <si>
    <t>Hair/Male/Hair Male 18 Grey</t>
  </si>
  <si>
    <t>Hair/Male/Hair Male 18 Purple</t>
  </si>
  <si>
    <t>Hair/Male/Hair Male 18 Red</t>
  </si>
  <si>
    <t>Jacket/Jacket 01 Black</t>
    <phoneticPr fontId="1" type="noConversion"/>
  </si>
  <si>
    <t>Jacket/Jacket 01 Blue</t>
    <phoneticPr fontId="1" type="noConversion"/>
  </si>
  <si>
    <t>Jacket/Jacket 01 Green</t>
    <phoneticPr fontId="1" type="noConversion"/>
  </si>
  <si>
    <t>Jacket/Jacket 01 Magenta</t>
    <phoneticPr fontId="1" type="noConversion"/>
  </si>
  <si>
    <t>Jacket/Jacket 01 Purple</t>
    <phoneticPr fontId="1" type="noConversion"/>
  </si>
  <si>
    <t>Jacket/Jacket 01 Red</t>
    <phoneticPr fontId="1" type="noConversion"/>
  </si>
  <si>
    <t>Jacket/Jacket 01 White</t>
    <phoneticPr fontId="1" type="noConversion"/>
  </si>
  <si>
    <t>Jacket/Jacket 01 Yellow</t>
    <phoneticPr fontId="1" type="noConversion"/>
  </si>
  <si>
    <t>Face</t>
    <phoneticPr fontId="1" type="noConversion"/>
  </si>
  <si>
    <t>Face/Female/Face Black 21</t>
  </si>
  <si>
    <t>Face/Female/Face Black 22</t>
  </si>
  <si>
    <t>Face/Female/Face Black 23</t>
  </si>
  <si>
    <t>Face/Female/Face Black 24</t>
  </si>
  <si>
    <t>Face/Female/Face Black 25</t>
  </si>
  <si>
    <t>Face/Female/Face Black 26</t>
  </si>
  <si>
    <t>Face/Female/Face Black 27</t>
  </si>
  <si>
    <t>Face/Female/Face Black 28</t>
  </si>
  <si>
    <t>Face/Female/Face Black 29</t>
  </si>
  <si>
    <t>Face/Female/Face Black 30</t>
  </si>
  <si>
    <t>Face/Female/Face Black 31</t>
  </si>
  <si>
    <t>Face/Female/Face Black 32</t>
  </si>
  <si>
    <t>Face/Female/Face Black 33</t>
  </si>
  <si>
    <t>Face/Female/Face Black 34</t>
  </si>
  <si>
    <t>Face/Female/Face Black 35</t>
  </si>
  <si>
    <t>Face/Female/Face Black 36</t>
  </si>
  <si>
    <t>Face/Female/Face Black 37</t>
  </si>
  <si>
    <t>Face/Female/Face Black 38</t>
  </si>
  <si>
    <t>Face/Female/Face Brown 21</t>
  </si>
  <si>
    <t>Face/Female/Face Brown 22</t>
  </si>
  <si>
    <t>Face/Female/Face Brown 23</t>
  </si>
  <si>
    <t>Face/Female/Face Brown 24</t>
  </si>
  <si>
    <t>Face/Female/Face Brown 25</t>
  </si>
  <si>
    <t>Face/Female/Face Brown 26</t>
  </si>
  <si>
    <t>Face/Female/Face Brown 27</t>
  </si>
  <si>
    <t>Face/Female/Face Brown 28</t>
  </si>
  <si>
    <t>Face/Female/Face Brown 29</t>
  </si>
  <si>
    <t>Face/Female/Face Brown 30</t>
  </si>
  <si>
    <t>Face/Female/Face Brown 31</t>
  </si>
  <si>
    <t>Face/Female/Face Brown 32</t>
  </si>
  <si>
    <t>Face/Female/Face Brown 33</t>
  </si>
  <si>
    <t>Face/Female/Face Brown 34</t>
  </si>
  <si>
    <t>Face/Female/Face Brown 35</t>
  </si>
  <si>
    <t>Face/Female/Face Brown 36</t>
  </si>
  <si>
    <t>Face/Female/Face Brown 37</t>
  </si>
  <si>
    <t>Face/Female/Face Brown 38</t>
  </si>
  <si>
    <t>Face/Female/Face White 21</t>
  </si>
  <si>
    <t>Face/Female/Face White 22</t>
  </si>
  <si>
    <t>Face/Female/Face White 23</t>
  </si>
  <si>
    <t>Face/Female/Face White 24</t>
  </si>
  <si>
    <t>Face/Female/Face White 25</t>
  </si>
  <si>
    <t>Face/Female/Face White 26</t>
  </si>
  <si>
    <t>Face/Female/Face White 27</t>
  </si>
  <si>
    <t>Face/Female/Face White 28</t>
  </si>
  <si>
    <t>Face/Female/Face White 29</t>
  </si>
  <si>
    <t>Face/Female/Face White 30</t>
  </si>
  <si>
    <t>Face/Female/Face White 31</t>
  </si>
  <si>
    <t>Face/Female/Face White 32</t>
  </si>
  <si>
    <t>Face/Female/Face White 33</t>
  </si>
  <si>
    <t>Face/Female/Face White 34</t>
  </si>
  <si>
    <t>Face/Female/Face White 35</t>
  </si>
  <si>
    <t>Face/Female/Face White 36</t>
  </si>
  <si>
    <t>Face/Female/Face White 37</t>
  </si>
  <si>
    <t>Face/Female/Face White 38</t>
  </si>
  <si>
    <t>Face/Male/Face Black 01</t>
  </si>
  <si>
    <t>Face/Male/Face Black 02</t>
  </si>
  <si>
    <t>Face/Male/Face Black 03</t>
  </si>
  <si>
    <t>Face/Male/Face Black 04</t>
  </si>
  <si>
    <t>Face/Male/Face Black 05</t>
  </si>
  <si>
    <t>Face/Male/Face Black 06</t>
  </si>
  <si>
    <t>Face/Male/Face Black 07</t>
  </si>
  <si>
    <t>Face/Male/Face Black 08</t>
  </si>
  <si>
    <t>Face/Male/Face Black 09</t>
  </si>
  <si>
    <t>Face/Male/Face Black 10</t>
  </si>
  <si>
    <t>Face/Male/Face Black 11</t>
  </si>
  <si>
    <t>Face/Male/Face Black 12</t>
  </si>
  <si>
    <t>Face/Male/Face Black 13</t>
  </si>
  <si>
    <t>Face/Male/Face Black 14</t>
  </si>
  <si>
    <t>Face/Male/Face Black 15</t>
  </si>
  <si>
    <t>Face/Male/Face Black 19</t>
  </si>
  <si>
    <t>Face/Male/Face Black 20</t>
  </si>
  <si>
    <t>Face/Male/Face Brown 01</t>
  </si>
  <si>
    <t>Face/Male/Face Brown 02</t>
  </si>
  <si>
    <t>Face/Male/Face Brown 03</t>
  </si>
  <si>
    <t>Face/Male/Face Brown 04</t>
  </si>
  <si>
    <t>Face/Male/Face Brown 05</t>
  </si>
  <si>
    <t>Face/Male/Face Brown 06</t>
  </si>
  <si>
    <t>Face/Male/Face Brown 07</t>
  </si>
  <si>
    <t>Face/Male/Face Brown 08</t>
  </si>
  <si>
    <t>Face/Male/Face Brown 09</t>
  </si>
  <si>
    <t>Face/Male/Face Brown 10</t>
  </si>
  <si>
    <t>Face/Male/Face Brown 11</t>
  </si>
  <si>
    <t>Face/Male/Face Brown 12</t>
  </si>
  <si>
    <t>Face/Male/Face Brown 13</t>
  </si>
  <si>
    <t>Face/Male/Face Brown 14</t>
  </si>
  <si>
    <t>Face/Male/Face Brown 15</t>
  </si>
  <si>
    <t>Face/Male/Face Brown 19</t>
  </si>
  <si>
    <t>Face/Male/Face Brown 20</t>
  </si>
  <si>
    <t>Face/Male/Face White 01</t>
  </si>
  <si>
    <t>Face/Male/Face White 02</t>
  </si>
  <si>
    <t>Face/Male/Face White 03</t>
  </si>
  <si>
    <t>Face/Male/Face White 04</t>
  </si>
  <si>
    <t>Face/Male/Face White 05</t>
  </si>
  <si>
    <t>Face/Male/Face White 06</t>
  </si>
  <si>
    <t>Face/Male/Face White 07</t>
  </si>
  <si>
    <t>Face/Male/Face White 08</t>
  </si>
  <si>
    <t>Face/Male/Face White 09</t>
  </si>
  <si>
    <t>Face/Male/Face White 10</t>
  </si>
  <si>
    <t>Face/Male/Face White 11</t>
  </si>
  <si>
    <t>Face/Male/Face White 12</t>
  </si>
  <si>
    <t>Face/Male/Face White 13</t>
  </si>
  <si>
    <t>Face/Male/Face White 14</t>
  </si>
  <si>
    <t>Face/Male/Face White 15</t>
  </si>
  <si>
    <t>Face/Male/Face White 19</t>
  </si>
  <si>
    <t>Face/Male/Face White 20</t>
  </si>
  <si>
    <t>Face/One Eyed/Face Black 16</t>
  </si>
  <si>
    <t>Face/One Eyed/Face Black 17</t>
  </si>
  <si>
    <t>Face/One Eyed/Face Black 18</t>
  </si>
  <si>
    <t>Face/One Eyed/Face Brown 16</t>
  </si>
  <si>
    <t>Face/One Eyed/Face Brown 17</t>
  </si>
  <si>
    <t>Face/One Eyed/Face Brown 18</t>
  </si>
  <si>
    <t>Face/One Eyed/Face White 16</t>
  </si>
  <si>
    <t>Face/One Eyed/Face White 17</t>
  </si>
  <si>
    <t>Face/One Eyed/Face White 18</t>
  </si>
  <si>
    <t>Quiver/Quiver 01 Blue Arrow Black</t>
  </si>
  <si>
    <t>Quiver/Quiver 01 Blue Arrow Blue</t>
  </si>
  <si>
    <t>Quiver/Quiver 01 Blue Arrow Green</t>
  </si>
  <si>
    <t>Quiver/Quiver 01 Blue Arrow Purple</t>
  </si>
  <si>
    <t>Quiver/Quiver 01 Blue Arrow Red</t>
  </si>
  <si>
    <t>Quiver/Quiver 01 Blue Arrow White</t>
  </si>
  <si>
    <t>Quiver/Quiver 01 Blue Arrow Yellow</t>
  </si>
  <si>
    <t>Quiver/Quiver 01 Green Arrow Black</t>
  </si>
  <si>
    <t>Quiver/Quiver 01 Green Arrow Blue</t>
  </si>
  <si>
    <t>Quiver/Quiver 01 Green Arrow Green</t>
  </si>
  <si>
    <t>Quiver/Quiver 01 Green Arrow Purple</t>
  </si>
  <si>
    <t>Quiver/Quiver 01 Green Arrow Red</t>
  </si>
  <si>
    <t>Quiver/Quiver 01 Green Arrow White</t>
  </si>
  <si>
    <t>Quiver/Quiver 01 Green Arrow Yellow</t>
  </si>
  <si>
    <t>Quiver/Quiver 01 Purple Arrow Black</t>
  </si>
  <si>
    <t>Quiver/Quiver 01 Purple Arrow Blue</t>
  </si>
  <si>
    <t>Quiver/Quiver 01 Purple Arrow Green</t>
  </si>
  <si>
    <t>Quiver/Quiver 01 Purple Arrow Purple</t>
  </si>
  <si>
    <t>Quiver/Quiver 01 Purple Arrow Red</t>
  </si>
  <si>
    <t>Quiver/Quiver 01 Purple Arrow White</t>
  </si>
  <si>
    <t>Quiver/Quiver 01 Purple Arrow Yellow</t>
  </si>
  <si>
    <t>Quiver/Quiver 01 Red Arrow Black</t>
  </si>
  <si>
    <t>Quiver/Quiver 01 Red Arrow Blue</t>
  </si>
  <si>
    <t>Quiver/Quiver 01 Red Arrow Green</t>
  </si>
  <si>
    <t>Quiver/Quiver 01 Red Arrow Purple</t>
  </si>
  <si>
    <t>Quiver/Quiver 01 Red Arrow Red</t>
  </si>
  <si>
    <t>Quiver/Quiver 01 Red Arrow White</t>
  </si>
  <si>
    <t>Quiver/Quiver 01 Red Arrow Yellow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</si>
</sst>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等线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0.39997558519241921"/>
      </left>
      <right/>
      <top style="thin">
        <color theme="8" tint="0.39997558519241921"/>
      </top>
      <bottom style="thin">
        <color theme="8" tint="0.39997558519241921"/>
      </bottom>
      <diagonal/>
    </border>
    <border>
      <left/>
      <right/>
      <top style="thin">
        <color theme="8" tint="0.39997558519241921"/>
      </top>
      <bottom style="thin">
        <color theme="8" tint="0.39997558519241921"/>
      </bottom>
      <diagonal/>
    </border>
    <border>
      <left/>
      <right style="thin">
        <color theme="8" tint="0.39997558519241921"/>
      </right>
      <top style="thin">
        <color theme="8" tint="0.39997558519241921"/>
      </top>
      <bottom style="thin">
        <color theme="8" tint="0.39997558519241921"/>
      </bottom>
      <diagonal/>
    </border>
    <border>
      <left style="thin">
        <color theme="8" tint="0.39997558519241921"/>
      </left>
      <right/>
      <top style="thin">
        <color theme="8" tint="0.39997558519241921"/>
      </top>
      <bottom/>
      <diagonal/>
    </border>
    <border>
      <left/>
      <right/>
      <top style="thin">
        <color theme="8" tint="0.39997558519241921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0" xfId="0" quotePrefix="1" applyNumberFormat="1">
      <alignment vertical="center"/>
    </xf>
    <xf numFmtId="0" fontId="0" fillId="0" borderId="0" xfId="0" applyNumberFormat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0" borderId="4" xfId="0" applyFont="1" applyBorder="1">
      <alignment vertical="center"/>
    </xf>
    <xf numFmtId="0" fontId="0" fillId="2" borderId="2" xfId="0" applyFont="1" applyFill="1" applyBorder="1">
      <alignment vertical="center"/>
    </xf>
    <xf numFmtId="0" fontId="0" fillId="2" borderId="3" xfId="0" applyFont="1" applyFill="1" applyBorder="1">
      <alignment vertical="center"/>
    </xf>
    <xf numFmtId="0" fontId="0" fillId="2" borderId="4" xfId="0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  <xf numFmtId="0" fontId="0" fillId="0" borderId="0" xfId="0" applyBorder="1">
      <alignment vertical="center"/>
    </xf>
  </cellXfs>
  <cellStyles count="1">
    <cellStyle name="常规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467009-0B44-4BE2-AD73-F281B9F8FEDB}" name="AvatarPartID" displayName="AvatarPartID" ref="B1:C6" totalsRowShown="0">
  <autoFilter ref="B1:C6" xr:uid="{A2D2F596-931A-4866-8F77-0D1B03ED0B8F}"/>
  <tableColumns count="2">
    <tableColumn id="1" xr3:uid="{9A35D477-6E42-4C80-8E18-5B5DEF51F253}" name="身体"/>
    <tableColumn id="2" xr3:uid="{8C1E0EB1-AB56-4AC3-BA7D-D5DF86313A68}" name="ID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479FA8-5ADB-463D-BEC2-4C8FA5E95214}" name="SexID" displayName="SexID" ref="B10:C13" totalsRowShown="0">
  <autoFilter ref="B10:C13" xr:uid="{FB072799-E137-4293-BE0E-04BB774EDDC3}"/>
  <tableColumns count="2">
    <tableColumn id="1" xr3:uid="{00B2E776-09E5-425E-AB26-8A1DA402BF38}" name="性别"/>
    <tableColumn id="2" xr3:uid="{E468F6BD-96E2-4507-9437-24168EFC25C1}" name="ID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3FDFF6-4C17-4645-B869-87F9B571D3D5}" name="表1" displayName="表1" ref="A1:I216" totalsRowShown="0">
  <autoFilter ref="A1:I216" xr:uid="{82D00A74-2812-4702-BF67-A5115F8DBB6D}"/>
  <tableColumns count="9">
    <tableColumn id="7" xr3:uid="{54AFF1E5-2165-408A-BC81-2854EF47B209}" name="分类"/>
    <tableColumn id="8" xr3:uid="{D2AB1B5F-0DA6-4801-91F8-057791275E58}" name="目录"/>
    <tableColumn id="1" xr3:uid="{447B5F33-AB96-485F-9A9C-F5637DB2E221}" name="文件名"/>
    <tableColumn id="6" xr3:uid="{C3E15482-D0DB-484F-8D57-ECA57B9E9138}" name="名称"/>
    <tableColumn id="10" xr3:uid="{BE354345-6459-4552-AB1B-B641DFCB451B}" name="性别"/>
    <tableColumn id="2" xr3:uid="{2A701547-C157-4005-98FE-1776FD19725A}" name="挂点"/>
    <tableColumn id="3" xr3:uid="{37D029E2-64A1-4FA0-B6D9-3DB0BB337EDA}" name="挂点2"/>
    <tableColumn id="4" xr3:uid="{17D918B0-74CA-461B-B0D5-E2A5967B0506}" name="同类叠加"/>
    <tableColumn id="5" xr3:uid="{662283C8-FA0B-464B-81F9-18022F3D1252}" name="分类2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D25049-61B9-4B2D-B77D-890288B50F9D}" name="表2" displayName="表2" ref="A1:C1698" totalsRowShown="0">
  <autoFilter ref="A1:C1698" xr:uid="{B1F99ED1-F5C7-4B77-8F4A-327D0DEE8366}"/>
  <tableColumns count="3">
    <tableColumn id="1" xr3:uid="{54BC631B-0120-426A-8BF4-BD236351CBC5}" name="MeshType"/>
    <tableColumn id="2" xr3:uid="{DF154EE8-DD7C-4860-B30C-9218CED38B0B}" name="Mesh"/>
    <tableColumn id="3" xr3:uid="{5A12E492-589D-4A3C-9B6A-EEDF4B79C6E1}" name="Material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127BAB5-2FCB-4E4F-9719-19A3F664BFF3}" name="表10" displayName="表10" ref="A1:C1785" totalsRowShown="0">
  <autoFilter ref="A1:C1785" xr:uid="{D578868E-9D78-4E07-A6C2-3B95477507F8}"/>
  <tableColumns count="3">
    <tableColumn id="1" xr3:uid="{5B624F12-8260-4585-95BD-C6F3A15CE660}" name="//ID"/>
    <tableColumn id="2" xr3:uid="{657F1C0F-D21D-408F-9409-FDB203298C06}" name="AvatarPartType"/>
    <tableColumn id="3" xr3:uid="{083A3E24-39DF-4AA7-BC6D-DFE93841F698}" name="RES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9863C66-997F-4AAB-B032-8504F3CEAF5A}" name="表9" displayName="表9" ref="A1:D14" totalsRowShown="0">
  <autoFilter ref="A1:D14" xr:uid="{8C1A0DC7-6063-4698-A09C-24DE81FA8AC5}"/>
  <tableColumns count="4">
    <tableColumn id="1" xr3:uid="{EDFCEE22-1A7A-46B4-8B14-CAE348DC7961}" name="//ID"/>
    <tableColumn id="2" xr3:uid="{A5D427EE-DEB2-409F-B744-37077D95A175}" name="Enum"/>
    <tableColumn id="3" xr3:uid="{1988663C-E904-45D2-9296-60A5D77B4260}" name="MountPointType"/>
    <tableColumn id="4" xr3:uid="{FB5A3835-3743-48B8-A581-32B8502B34CA}" name="//Name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64B7FA0-DD2B-4970-9252-B992EEB3058F}" name="AvatarMeshResID" displayName="AvatarMeshResID" ref="A1:D66" totalsRowShown="0">
  <autoFilter ref="A1:D66" xr:uid="{9A3AD32C-1580-40CE-8646-E82A7A82A295}"/>
  <tableColumns count="4">
    <tableColumn id="2" xr3:uid="{1EC95A52-C869-43E0-B947-BA0C8B3241B8}" name="AvatarPart"/>
    <tableColumn id="4" xr3:uid="{7B4C64D8-5333-4D48-8535-C27B93DA4B78}" name="Sex"/>
    <tableColumn id="3" xr3:uid="{A4FF0679-4C36-49B5-9798-A4BCF969A5C9}" name="Mesh"/>
    <tableColumn id="8" xr3:uid="{39AEE935-8D45-4DCC-B80F-9D415C27F36B}" name="CountIndex" dataDxfId="8">
      <calculatedColumnFormula>COUNTIF($A$2:A2,AvatarMeshResID[[#This Row],[AvatarPart]])</calculatedColumnFormula>
    </tableColumn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54F28F8-80AE-495F-A032-815D344C200D}" name="OUTPUTAvatarMeshResID" displayName="OUTPUTAvatarMeshResID" ref="F1:J66" totalsRowShown="0">
  <autoFilter ref="F1:J66" xr:uid="{83D625F6-8E7A-4DD2-A031-B3D62387423A}"/>
  <tableColumns count="5">
    <tableColumn id="1" xr3:uid="{12BA666D-B6D7-4506-A7A1-9251E63BF31E}" name="ID" dataDxfId="7">
      <calculatedColumnFormula>OUTPUTAvatarMeshResID[[#This Row],[AvatarPardID]]*1000+OUTPUTAvatarMeshResID[[#This Row],[SexID]]*100+AvatarMeshResID[[#This Row],[CountIndex]]</calculatedColumnFormula>
    </tableColumn>
    <tableColumn id="3" xr3:uid="{F4D7C908-0173-4918-873C-B3835CA5D508}" name="AvatarPardID" dataDxfId="6">
      <calculatedColumnFormula>VLOOKUP(AvatarMeshResID[[#This Row],[AvatarPart]],AvatarPartID[],2,0)</calculatedColumnFormula>
    </tableColumn>
    <tableColumn id="4" xr3:uid="{9B67ECFB-7AC6-48EA-AF7D-27891F92BEC5}" name="SexID" dataDxfId="5">
      <calculatedColumnFormula>VLOOKUP(AvatarMeshResID[[#This Row],[Sex]],SexID[],2,0)</calculatedColumnFormula>
    </tableColumn>
    <tableColumn id="8" xr3:uid="{C58D5EEC-C43E-491F-A63F-4B91F5157E9F}" name="MESH" dataDxfId="4">
      <calculatedColumnFormula>AvatarMeshResID[[#This Row],[Mesh]]</calculatedColumnFormula>
    </tableColumn>
    <tableColumn id="9" xr3:uid="{6233D512-19B3-4213-8DB8-6440DE893F9E}" name="MatList" dataDxfId="3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7691D02-2DFC-465C-9469-D38DEE1CCF57}" name="AvatarMatResID" displayName="AvatarMatResID" ref="A1:D1443" totalsRowShown="0">
  <autoFilter ref="A1:D1443" xr:uid="{06B7AD51-5B2D-41C4-A84E-50612FACC5B6}"/>
  <tableColumns count="4">
    <tableColumn id="9" xr3:uid="{8D0A0098-15E2-46E7-86D1-B0F784D8CD7C}" name="AvatarPart"/>
    <tableColumn id="10" xr3:uid="{659E7F75-E61E-4C9E-B1A9-8FD0E4CE994D}" name="Sex"/>
    <tableColumn id="2" xr3:uid="{B3CB57A6-ABBC-4B3D-8B1F-49927D14A513}" name="Material"/>
    <tableColumn id="14" xr3:uid="{86B05DFB-AE62-496C-8C35-1D9F6910E190}" name="CountIndex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9A61BF0-D085-42BC-9E28-9AD9137990D2}" name="OUTPUTAvatarMatResID" displayName="OUTPUTAvatarMatResID" ref="F1:I1443" totalsRowShown="0">
  <autoFilter ref="F1:I1443" xr:uid="{72538243-F31B-4272-BB10-267103C8387D}"/>
  <sortState ref="F2:I1443">
    <sortCondition descending="1" ref="F1:F1443"/>
  </sortState>
  <tableColumns count="4">
    <tableColumn id="1" xr3:uid="{E99C4CF2-2F1C-47AD-BE24-A23C38FD4156}" name="ID" dataDxfId="2">
      <calculatedColumnFormula>OUTPUTAvatarMatResID[[#This Row],[AvatarPartID]]*10000+OUTPUTAvatarMatResID[[#This Row],[SexID]]*1000+AvatarMatResID[[#This Row],[CountIndex]]</calculatedColumnFormula>
    </tableColumn>
    <tableColumn id="9" xr3:uid="{F25A72D0-84FD-490A-9A53-3DF7027D813B}" name="AvatarPartID" dataDxfId="1">
      <calculatedColumnFormula>VLOOKUP(AvatarMatResID[[#This Row],[AvatarPart]],AvatarPartID[],2,0)</calculatedColumnFormula>
    </tableColumn>
    <tableColumn id="7" xr3:uid="{B0CF3944-B4B8-4AD1-B6FC-0F1F3F4CDD88}" name="SexID" dataDxfId="0">
      <calculatedColumnFormula>VLOOKUP(AvatarMatResID[[#This Row],[Sex]],SexID[],2,0)</calculatedColumnFormula>
    </tableColumn>
    <tableColumn id="4" xr3:uid="{904A7258-5E6D-496F-AA2B-E292C15E69BC}" name="Mat">
      <calculatedColumnFormula>AvatarMatResID[[#This Row],[Material]]</calculatedColumnFormula>
    </tableColumn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大都市">
  <a:themeElements>
    <a:clrScheme name="大都市">
      <a:dk1>
        <a:sysClr val="windowText" lastClr="000000"/>
      </a:dk1>
      <a:lt1>
        <a:sysClr val="window" lastClr="FFFFFF"/>
      </a:lt1>
      <a:dk2>
        <a:srgbClr val="162F33"/>
      </a:dk2>
      <a:lt2>
        <a:srgbClr val="EAF0E0"/>
      </a:lt2>
      <a:accent1>
        <a:srgbClr val="50B4C8"/>
      </a:accent1>
      <a:accent2>
        <a:srgbClr val="A8B97F"/>
      </a:accent2>
      <a:accent3>
        <a:srgbClr val="9B9256"/>
      </a:accent3>
      <a:accent4>
        <a:srgbClr val="657689"/>
      </a:accent4>
      <a:accent5>
        <a:srgbClr val="7A855D"/>
      </a:accent5>
      <a:accent6>
        <a:srgbClr val="84AC9D"/>
      </a:accent6>
      <a:hlink>
        <a:srgbClr val="2370CD"/>
      </a:hlink>
      <a:folHlink>
        <a:srgbClr val="877589"/>
      </a:folHlink>
    </a:clrScheme>
    <a:fontScheme name="大都市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大都市">
      <a:fillStyleLst>
        <a:solidFill>
          <a:schemeClr val="phClr"/>
        </a:solidFill>
        <a:gradFill rotWithShape="1">
          <a:gsLst>
            <a:gs pos="0">
              <a:schemeClr val="phClr">
                <a:tint val="70000"/>
                <a:satMod val="100000"/>
                <a:lumMod val="110000"/>
              </a:schemeClr>
            </a:gs>
            <a:gs pos="50000">
              <a:schemeClr val="phClr">
                <a:tint val="75000"/>
                <a:satMod val="101000"/>
                <a:lumMod val="105000"/>
              </a:schemeClr>
            </a:gs>
            <a:gs pos="100000">
              <a:schemeClr val="phClr">
                <a:tint val="82000"/>
                <a:satMod val="104000"/>
                <a:lumMod val="105000"/>
              </a:schemeClr>
            </a:gs>
          </a:gsLst>
          <a:lin ang="2700000" scaled="0"/>
        </a:gradFill>
        <a:gradFill rotWithShape="1">
          <a:gsLst>
            <a:gs pos="0">
              <a:schemeClr val="phClr">
                <a:tint val="97000"/>
                <a:satMod val="100000"/>
                <a:lumMod val="102000"/>
              </a:schemeClr>
            </a:gs>
            <a:gs pos="50000">
              <a:schemeClr val="phClr">
                <a:shade val="100000"/>
                <a:satMod val="100000"/>
                <a:lumMod val="100000"/>
              </a:schemeClr>
            </a:gs>
            <a:gs pos="100000">
              <a:schemeClr val="phClr">
                <a:shade val="80000"/>
                <a:satMod val="100000"/>
                <a:lumMod val="99000"/>
              </a:schemeClr>
            </a:gs>
          </a:gsLst>
          <a:lin ang="27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solidFill>
          <a:schemeClr val="phClr">
            <a:shade val="95000"/>
            <a:satMod val="170000"/>
          </a:schemeClr>
        </a:soli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Metropolitan" id="{4C5440D6-04D2-4954-96CF-F251137069B2}" vid="{79CFCA13-9412-4290-BB4B-85112F88857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088EC-AA6E-4764-8744-73AAFD48F6CD}">
  <sheetPr codeName="Sheet1"/>
  <dimension ref="B1:T62"/>
  <sheetViews>
    <sheetView workbookViewId="0">
      <selection activeCell="R8" sqref="R8"/>
    </sheetView>
  </sheetViews>
  <sheetFormatPr defaultRowHeight="15.95" customHeight="1" x14ac:dyDescent="0.15"/>
  <cols>
    <col min="2" max="2" width="7.75" bestFit="1" customWidth="1"/>
    <col min="3" max="3" width="6" bestFit="1" customWidth="1"/>
    <col min="4" max="5" width="10.5" customWidth="1"/>
    <col min="17" max="17" width="9.5" bestFit="1" customWidth="1"/>
    <col min="19" max="19" width="26.75" customWidth="1"/>
  </cols>
  <sheetData>
    <row r="1" spans="2:20" ht="15.95" customHeight="1" x14ac:dyDescent="0.15">
      <c r="B1" t="s">
        <v>1916</v>
      </c>
      <c r="C1" t="s">
        <v>1917</v>
      </c>
    </row>
    <row r="2" spans="2:20" ht="15.95" customHeight="1" x14ac:dyDescent="0.15">
      <c r="B2" t="s">
        <v>454</v>
      </c>
      <c r="C2">
        <v>1</v>
      </c>
    </row>
    <row r="3" spans="2:20" ht="15.95" customHeight="1" x14ac:dyDescent="0.15">
      <c r="B3" t="s">
        <v>273</v>
      </c>
      <c r="C3">
        <v>2</v>
      </c>
      <c r="N3" t="s">
        <v>176</v>
      </c>
      <c r="S3" t="s">
        <v>193</v>
      </c>
    </row>
    <row r="4" spans="2:20" ht="15.95" customHeight="1" x14ac:dyDescent="0.15">
      <c r="B4" t="s">
        <v>292</v>
      </c>
      <c r="C4">
        <v>3</v>
      </c>
      <c r="H4" s="10" t="s">
        <v>89</v>
      </c>
      <c r="I4" s="10"/>
      <c r="J4" s="1" t="s">
        <v>232</v>
      </c>
      <c r="O4" t="s">
        <v>172</v>
      </c>
      <c r="P4" t="s">
        <v>170</v>
      </c>
      <c r="Q4" t="s">
        <v>177</v>
      </c>
      <c r="R4" t="s">
        <v>192</v>
      </c>
      <c r="S4" t="s">
        <v>194</v>
      </c>
      <c r="T4" t="s">
        <v>168</v>
      </c>
    </row>
    <row r="5" spans="2:20" ht="15.95" customHeight="1" x14ac:dyDescent="0.15">
      <c r="B5" t="s">
        <v>297</v>
      </c>
      <c r="C5">
        <v>4</v>
      </c>
      <c r="H5" s="1" t="s">
        <v>91</v>
      </c>
      <c r="I5" s="1" t="s">
        <v>172</v>
      </c>
      <c r="J5" s="1"/>
      <c r="P5" t="s">
        <v>178</v>
      </c>
      <c r="Q5" t="s">
        <v>179</v>
      </c>
      <c r="R5" t="s">
        <v>180</v>
      </c>
      <c r="S5" t="s">
        <v>195</v>
      </c>
      <c r="T5" t="s">
        <v>168</v>
      </c>
    </row>
    <row r="6" spans="2:20" ht="15.95" customHeight="1" x14ac:dyDescent="0.15">
      <c r="B6" t="s">
        <v>309</v>
      </c>
      <c r="C6">
        <v>5</v>
      </c>
      <c r="H6" s="1" t="s">
        <v>92</v>
      </c>
      <c r="I6" s="1" t="s">
        <v>173</v>
      </c>
      <c r="J6" s="1"/>
      <c r="S6" t="s">
        <v>196</v>
      </c>
      <c r="T6" t="s">
        <v>175</v>
      </c>
    </row>
    <row r="7" spans="2:20" ht="15.95" customHeight="1" x14ac:dyDescent="0.15">
      <c r="H7" s="1" t="s">
        <v>93</v>
      </c>
      <c r="I7" s="1" t="s">
        <v>174</v>
      </c>
      <c r="J7" s="1">
        <v>1</v>
      </c>
      <c r="S7" t="s">
        <v>197</v>
      </c>
      <c r="T7" t="s">
        <v>168</v>
      </c>
    </row>
    <row r="8" spans="2:20" ht="15.95" customHeight="1" x14ac:dyDescent="0.15">
      <c r="H8" s="1" t="s">
        <v>94</v>
      </c>
      <c r="I8" s="1" t="s">
        <v>168</v>
      </c>
      <c r="J8" s="1">
        <v>1</v>
      </c>
      <c r="S8" t="s">
        <v>198</v>
      </c>
      <c r="T8" t="s">
        <v>174</v>
      </c>
    </row>
    <row r="9" spans="2:20" ht="15.95" customHeight="1" x14ac:dyDescent="0.15">
      <c r="H9" s="1" t="s">
        <v>95</v>
      </c>
      <c r="I9" s="1" t="s">
        <v>175</v>
      </c>
      <c r="J9" s="1">
        <v>1</v>
      </c>
      <c r="S9" t="s">
        <v>199</v>
      </c>
      <c r="T9" t="s">
        <v>168</v>
      </c>
    </row>
    <row r="10" spans="2:20" ht="15.95" customHeight="1" x14ac:dyDescent="0.15">
      <c r="B10" t="s">
        <v>415</v>
      </c>
      <c r="C10" t="s">
        <v>1917</v>
      </c>
      <c r="H10" s="1" t="s">
        <v>230</v>
      </c>
      <c r="I10" s="1" t="s">
        <v>231</v>
      </c>
      <c r="J10" s="1">
        <v>3</v>
      </c>
      <c r="O10" t="s">
        <v>173</v>
      </c>
      <c r="P10" t="s">
        <v>181</v>
      </c>
      <c r="S10" t="s">
        <v>200</v>
      </c>
      <c r="T10" t="s">
        <v>174</v>
      </c>
    </row>
    <row r="11" spans="2:20" ht="15.95" customHeight="1" x14ac:dyDescent="0.15">
      <c r="B11" t="s">
        <v>425</v>
      </c>
      <c r="C11">
        <v>0</v>
      </c>
      <c r="P11" t="s">
        <v>183</v>
      </c>
      <c r="S11" t="s">
        <v>202</v>
      </c>
      <c r="T11" t="s">
        <v>168</v>
      </c>
    </row>
    <row r="12" spans="2:20" ht="15.95" customHeight="1" x14ac:dyDescent="0.15">
      <c r="B12" t="s">
        <v>1925</v>
      </c>
      <c r="C12">
        <v>1</v>
      </c>
      <c r="S12" t="s">
        <v>203</v>
      </c>
      <c r="T12" t="s">
        <v>175</v>
      </c>
    </row>
    <row r="13" spans="2:20" ht="15.95" customHeight="1" x14ac:dyDescent="0.15">
      <c r="B13" t="s">
        <v>1926</v>
      </c>
      <c r="C13">
        <v>2</v>
      </c>
      <c r="P13" t="s">
        <v>188</v>
      </c>
      <c r="S13" t="s">
        <v>204</v>
      </c>
      <c r="T13" t="s">
        <v>175</v>
      </c>
    </row>
    <row r="14" spans="2:20" ht="15.95" customHeight="1" x14ac:dyDescent="0.15">
      <c r="S14" t="s">
        <v>205</v>
      </c>
      <c r="T14" t="s">
        <v>174</v>
      </c>
    </row>
    <row r="15" spans="2:20" ht="15.95" customHeight="1" x14ac:dyDescent="0.15">
      <c r="P15" t="s">
        <v>185</v>
      </c>
      <c r="Q15" t="s">
        <v>234</v>
      </c>
      <c r="S15" t="s">
        <v>201</v>
      </c>
      <c r="T15" t="s">
        <v>168</v>
      </c>
    </row>
    <row r="16" spans="2:20" ht="15.95" customHeight="1" x14ac:dyDescent="0.15">
      <c r="P16" t="s">
        <v>186</v>
      </c>
      <c r="Q16" t="s">
        <v>234</v>
      </c>
      <c r="S16" t="s">
        <v>206</v>
      </c>
      <c r="T16" t="s">
        <v>168</v>
      </c>
    </row>
    <row r="17" spans="15:20" ht="15.95" customHeight="1" x14ac:dyDescent="0.15">
      <c r="P17" t="s">
        <v>187</v>
      </c>
      <c r="Q17" t="s">
        <v>234</v>
      </c>
      <c r="S17" t="s">
        <v>207</v>
      </c>
      <c r="T17" t="s">
        <v>169</v>
      </c>
    </row>
    <row r="18" spans="15:20" ht="15.95" customHeight="1" x14ac:dyDescent="0.15">
      <c r="P18" t="s">
        <v>182</v>
      </c>
      <c r="Q18" t="s">
        <v>234</v>
      </c>
      <c r="S18" t="s">
        <v>208</v>
      </c>
      <c r="T18" t="s">
        <v>168</v>
      </c>
    </row>
    <row r="19" spans="15:20" ht="15.95" customHeight="1" x14ac:dyDescent="0.15">
      <c r="P19" t="s">
        <v>190</v>
      </c>
      <c r="Q19" t="s">
        <v>234</v>
      </c>
      <c r="S19" t="s">
        <v>209</v>
      </c>
      <c r="T19" t="s">
        <v>168</v>
      </c>
    </row>
    <row r="20" spans="15:20" ht="15.95" customHeight="1" x14ac:dyDescent="0.15">
      <c r="S20" t="s">
        <v>210</v>
      </c>
      <c r="T20" t="s">
        <v>174</v>
      </c>
    </row>
    <row r="21" spans="15:20" ht="15.95" customHeight="1" x14ac:dyDescent="0.15">
      <c r="S21" t="s">
        <v>211</v>
      </c>
      <c r="T21" t="s">
        <v>168</v>
      </c>
    </row>
    <row r="22" spans="15:20" ht="15.95" customHeight="1" x14ac:dyDescent="0.15">
      <c r="O22" t="s">
        <v>171</v>
      </c>
      <c r="P22" t="s">
        <v>189</v>
      </c>
      <c r="Q22" t="s">
        <v>445</v>
      </c>
      <c r="S22" t="s">
        <v>212</v>
      </c>
      <c r="T22" t="s">
        <v>168</v>
      </c>
    </row>
    <row r="23" spans="15:20" ht="15.95" customHeight="1" x14ac:dyDescent="0.15">
      <c r="S23" t="s">
        <v>213</v>
      </c>
      <c r="T23" t="s">
        <v>168</v>
      </c>
    </row>
    <row r="24" spans="15:20" ht="15.95" customHeight="1" x14ac:dyDescent="0.15">
      <c r="S24" t="s">
        <v>214</v>
      </c>
      <c r="T24" t="s">
        <v>168</v>
      </c>
    </row>
    <row r="25" spans="15:20" ht="15.95" customHeight="1" x14ac:dyDescent="0.15">
      <c r="O25" t="s">
        <v>191</v>
      </c>
      <c r="S25" t="s">
        <v>215</v>
      </c>
      <c r="T25" t="s">
        <v>168</v>
      </c>
    </row>
    <row r="31" spans="15:20" ht="15.95" customHeight="1" x14ac:dyDescent="0.15">
      <c r="O31" t="s">
        <v>1934</v>
      </c>
      <c r="P31" t="s">
        <v>184</v>
      </c>
    </row>
    <row r="49" spans="8:20" ht="15.95" customHeight="1" x14ac:dyDescent="0.15">
      <c r="N49" t="s">
        <v>243</v>
      </c>
    </row>
    <row r="50" spans="8:20" ht="15.95" customHeight="1" x14ac:dyDescent="0.15">
      <c r="O50" t="s">
        <v>239</v>
      </c>
      <c r="P50" t="s">
        <v>240</v>
      </c>
      <c r="Q50" t="s">
        <v>241</v>
      </c>
      <c r="R50" t="s">
        <v>451</v>
      </c>
      <c r="S50" t="s">
        <v>242</v>
      </c>
    </row>
    <row r="51" spans="8:20" ht="15.95" customHeight="1" x14ac:dyDescent="0.15">
      <c r="O51" t="s">
        <v>244</v>
      </c>
      <c r="P51" t="s">
        <v>237</v>
      </c>
      <c r="Q51" t="s">
        <v>247</v>
      </c>
      <c r="R51">
        <v>6</v>
      </c>
      <c r="S51" t="s">
        <v>253</v>
      </c>
      <c r="T51">
        <f>2*3*6*6*5</f>
        <v>1080</v>
      </c>
    </row>
    <row r="52" spans="8:20" ht="15.95" customHeight="1" x14ac:dyDescent="0.15">
      <c r="O52" t="s">
        <v>245</v>
      </c>
      <c r="P52" t="s">
        <v>246</v>
      </c>
      <c r="Q52" t="s">
        <v>248</v>
      </c>
      <c r="S52" t="s">
        <v>254</v>
      </c>
    </row>
    <row r="53" spans="8:20" ht="15.95" customHeight="1" x14ac:dyDescent="0.15">
      <c r="H53" t="s">
        <v>235</v>
      </c>
      <c r="P53" t="s">
        <v>238</v>
      </c>
      <c r="Q53" t="s">
        <v>249</v>
      </c>
      <c r="S53" t="s">
        <v>255</v>
      </c>
    </row>
    <row r="54" spans="8:20" ht="15.95" customHeight="1" x14ac:dyDescent="0.15">
      <c r="Q54" t="s">
        <v>250</v>
      </c>
      <c r="S54" t="s">
        <v>256</v>
      </c>
    </row>
    <row r="55" spans="8:20" ht="15.95" customHeight="1" x14ac:dyDescent="0.15">
      <c r="I55" t="s">
        <v>236</v>
      </c>
      <c r="Q55" t="s">
        <v>251</v>
      </c>
      <c r="S55" t="s">
        <v>257</v>
      </c>
    </row>
    <row r="56" spans="8:20" ht="15.95" customHeight="1" x14ac:dyDescent="0.15">
      <c r="Q56" t="s">
        <v>252</v>
      </c>
    </row>
    <row r="58" spans="8:20" ht="15.95" customHeight="1" x14ac:dyDescent="0.15">
      <c r="N58" t="s">
        <v>446</v>
      </c>
      <c r="O58" t="s">
        <v>447</v>
      </c>
      <c r="P58" t="s">
        <v>448</v>
      </c>
      <c r="Q58" s="2" t="s">
        <v>450</v>
      </c>
      <c r="R58" t="s">
        <v>253</v>
      </c>
    </row>
    <row r="59" spans="8:20" ht="15.95" customHeight="1" x14ac:dyDescent="0.15">
      <c r="P59" t="s">
        <v>449</v>
      </c>
      <c r="R59" t="s">
        <v>254</v>
      </c>
    </row>
    <row r="60" spans="8:20" ht="15.95" customHeight="1" x14ac:dyDescent="0.15">
      <c r="R60" t="s">
        <v>255</v>
      </c>
    </row>
    <row r="61" spans="8:20" ht="15.95" customHeight="1" x14ac:dyDescent="0.15">
      <c r="R61" t="s">
        <v>256</v>
      </c>
    </row>
    <row r="62" spans="8:20" ht="15.95" customHeight="1" x14ac:dyDescent="0.15">
      <c r="R62" t="s">
        <v>257</v>
      </c>
    </row>
  </sheetData>
  <mergeCells count="1">
    <mergeCell ref="H4:I4"/>
  </mergeCells>
  <phoneticPr fontId="1" type="noConversion"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12534-0EB3-474A-A95F-C1BF029313B6}">
  <sheetPr codeName="Sheet2"/>
  <dimension ref="A1:C30"/>
  <sheetViews>
    <sheetView workbookViewId="0">
      <selection activeCell="B43" sqref="B43"/>
    </sheetView>
  </sheetViews>
  <sheetFormatPr defaultRowHeight="13.5" x14ac:dyDescent="0.15"/>
  <cols>
    <col min="3" max="3" width="11" customWidth="1"/>
  </cols>
  <sheetData>
    <row r="1" spans="1:3" x14ac:dyDescent="0.15">
      <c r="A1" t="s">
        <v>216</v>
      </c>
    </row>
    <row r="2" spans="1:3" x14ac:dyDescent="0.15">
      <c r="B2" t="s">
        <v>217</v>
      </c>
      <c r="C2" t="s">
        <v>229</v>
      </c>
    </row>
    <row r="5" spans="1:3" x14ac:dyDescent="0.15">
      <c r="B5" t="s">
        <v>218</v>
      </c>
    </row>
    <row r="6" spans="1:3" x14ac:dyDescent="0.15">
      <c r="C6" t="s">
        <v>219</v>
      </c>
    </row>
    <row r="10" spans="1:3" x14ac:dyDescent="0.15">
      <c r="B10" t="s">
        <v>220</v>
      </c>
    </row>
    <row r="11" spans="1:3" x14ac:dyDescent="0.15">
      <c r="C11" t="s">
        <v>222</v>
      </c>
    </row>
    <row r="12" spans="1:3" x14ac:dyDescent="0.15">
      <c r="C12" t="s">
        <v>221</v>
      </c>
    </row>
    <row r="15" spans="1:3" x14ac:dyDescent="0.15">
      <c r="B15" t="s">
        <v>223</v>
      </c>
    </row>
    <row r="16" spans="1:3" x14ac:dyDescent="0.15">
      <c r="C16" t="s">
        <v>224</v>
      </c>
    </row>
    <row r="17" spans="2:3" x14ac:dyDescent="0.15">
      <c r="C17" t="s">
        <v>225</v>
      </c>
    </row>
    <row r="19" spans="2:3" x14ac:dyDescent="0.15">
      <c r="B19" t="s">
        <v>227</v>
      </c>
    </row>
    <row r="25" spans="2:3" x14ac:dyDescent="0.15">
      <c r="B25" t="s">
        <v>226</v>
      </c>
    </row>
    <row r="30" spans="2:3" x14ac:dyDescent="0.15">
      <c r="B30" t="s">
        <v>228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10C8D-ABB9-4662-872B-D0A36D7BC393}">
  <sheetPr codeName="Sheet3"/>
  <dimension ref="A1:N216"/>
  <sheetViews>
    <sheetView topLeftCell="A151" zoomScaleNormal="100" workbookViewId="0">
      <selection activeCell="N20" sqref="N20"/>
    </sheetView>
  </sheetViews>
  <sheetFormatPr defaultRowHeight="15.95" customHeight="1" x14ac:dyDescent="0.15"/>
  <cols>
    <col min="1" max="1" width="9.125" customWidth="1"/>
    <col min="2" max="2" width="17.875" customWidth="1"/>
    <col min="3" max="3" width="25" bestFit="1" customWidth="1"/>
    <col min="6" max="6" width="9" bestFit="1" customWidth="1"/>
    <col min="8" max="8" width="17.75" bestFit="1" customWidth="1"/>
    <col min="9" max="9" width="7.75" bestFit="1" customWidth="1"/>
    <col min="10" max="10" width="11.75" bestFit="1" customWidth="1"/>
    <col min="11" max="11" width="7.75" bestFit="1" customWidth="1"/>
  </cols>
  <sheetData>
    <row r="1" spans="1:14" ht="15.95" customHeight="1" x14ac:dyDescent="0.15">
      <c r="A1" t="s">
        <v>90</v>
      </c>
      <c r="B1" t="s">
        <v>263</v>
      </c>
      <c r="C1" t="s">
        <v>258</v>
      </c>
      <c r="D1" t="s">
        <v>259</v>
      </c>
      <c r="E1" t="s">
        <v>415</v>
      </c>
      <c r="F1" t="s">
        <v>89</v>
      </c>
      <c r="G1" t="s">
        <v>266</v>
      </c>
      <c r="H1" t="s">
        <v>233</v>
      </c>
      <c r="I1" t="s">
        <v>265</v>
      </c>
    </row>
    <row r="2" spans="1:14" ht="15.95" customHeight="1" x14ac:dyDescent="0.15">
      <c r="A2" t="s">
        <v>171</v>
      </c>
      <c r="B2" t="s">
        <v>264</v>
      </c>
      <c r="C2" t="s">
        <v>101</v>
      </c>
      <c r="D2" t="s">
        <v>260</v>
      </c>
      <c r="E2" t="s">
        <v>416</v>
      </c>
      <c r="F2" t="s">
        <v>267</v>
      </c>
      <c r="M2" t="s">
        <v>283</v>
      </c>
      <c r="N2" t="s">
        <v>286</v>
      </c>
    </row>
    <row r="3" spans="1:14" ht="15.95" customHeight="1" x14ac:dyDescent="0.15">
      <c r="A3" t="s">
        <v>171</v>
      </c>
      <c r="B3" t="s">
        <v>264</v>
      </c>
      <c r="C3" t="s">
        <v>102</v>
      </c>
      <c r="D3" t="s">
        <v>261</v>
      </c>
      <c r="E3" t="s">
        <v>416</v>
      </c>
      <c r="F3" t="s">
        <v>267</v>
      </c>
      <c r="M3" t="s">
        <v>284</v>
      </c>
      <c r="N3" t="s">
        <v>286</v>
      </c>
    </row>
    <row r="4" spans="1:14" ht="15.95" customHeight="1" x14ac:dyDescent="0.15">
      <c r="A4" t="s">
        <v>171</v>
      </c>
      <c r="B4" t="s">
        <v>264</v>
      </c>
      <c r="C4" t="s">
        <v>103</v>
      </c>
      <c r="D4" t="s">
        <v>262</v>
      </c>
      <c r="E4" t="s">
        <v>416</v>
      </c>
      <c r="F4" t="s">
        <v>267</v>
      </c>
      <c r="M4" t="s">
        <v>285</v>
      </c>
      <c r="N4" t="s">
        <v>287</v>
      </c>
    </row>
    <row r="6" spans="1:14" ht="15.95" customHeight="1" x14ac:dyDescent="0.15">
      <c r="A6" t="s">
        <v>181</v>
      </c>
      <c r="B6" t="s">
        <v>273</v>
      </c>
      <c r="C6" t="s">
        <v>268</v>
      </c>
      <c r="D6" t="s">
        <v>275</v>
      </c>
      <c r="E6" t="s">
        <v>416</v>
      </c>
      <c r="F6" t="s">
        <v>279</v>
      </c>
    </row>
    <row r="7" spans="1:14" ht="15.95" customHeight="1" x14ac:dyDescent="0.15">
      <c r="A7" t="s">
        <v>181</v>
      </c>
      <c r="B7" t="s">
        <v>273</v>
      </c>
      <c r="C7" t="s">
        <v>270</v>
      </c>
      <c r="D7" t="s">
        <v>278</v>
      </c>
      <c r="E7" t="s">
        <v>416</v>
      </c>
      <c r="F7" t="s">
        <v>279</v>
      </c>
    </row>
    <row r="8" spans="1:14" ht="15.95" customHeight="1" x14ac:dyDescent="0.15">
      <c r="A8" t="s">
        <v>181</v>
      </c>
      <c r="B8" t="s">
        <v>273</v>
      </c>
      <c r="C8" t="s">
        <v>271</v>
      </c>
      <c r="D8" t="s">
        <v>276</v>
      </c>
      <c r="E8" t="s">
        <v>416</v>
      </c>
      <c r="F8" t="s">
        <v>279</v>
      </c>
    </row>
    <row r="9" spans="1:14" ht="15.95" customHeight="1" x14ac:dyDescent="0.15">
      <c r="A9" t="s">
        <v>181</v>
      </c>
      <c r="B9" t="s">
        <v>273</v>
      </c>
      <c r="C9" t="s">
        <v>272</v>
      </c>
      <c r="D9" t="s">
        <v>277</v>
      </c>
      <c r="E9" t="s">
        <v>416</v>
      </c>
      <c r="F9" t="s">
        <v>279</v>
      </c>
    </row>
    <row r="10" spans="1:14" ht="15.95" customHeight="1" x14ac:dyDescent="0.15">
      <c r="A10" t="s">
        <v>181</v>
      </c>
      <c r="B10" t="s">
        <v>273</v>
      </c>
      <c r="C10" t="s">
        <v>269</v>
      </c>
      <c r="D10" t="s">
        <v>274</v>
      </c>
      <c r="E10" t="s">
        <v>416</v>
      </c>
      <c r="F10" t="s">
        <v>279</v>
      </c>
    </row>
    <row r="12" spans="1:14" ht="15.95" customHeight="1" x14ac:dyDescent="0.15">
      <c r="A12" t="s">
        <v>178</v>
      </c>
      <c r="B12" t="s">
        <v>280</v>
      </c>
      <c r="C12" t="s">
        <v>100</v>
      </c>
      <c r="D12" t="s">
        <v>178</v>
      </c>
      <c r="E12" t="s">
        <v>416</v>
      </c>
      <c r="F12" t="s">
        <v>282</v>
      </c>
    </row>
    <row r="13" spans="1:14" ht="15.95" customHeight="1" x14ac:dyDescent="0.15">
      <c r="A13" t="s">
        <v>178</v>
      </c>
      <c r="B13" t="s">
        <v>280</v>
      </c>
      <c r="C13" t="s">
        <v>104</v>
      </c>
      <c r="D13" t="s">
        <v>180</v>
      </c>
      <c r="E13" t="s">
        <v>416</v>
      </c>
      <c r="F13" t="s">
        <v>282</v>
      </c>
    </row>
    <row r="14" spans="1:14" ht="15.95" customHeight="1" x14ac:dyDescent="0.15">
      <c r="A14" t="s">
        <v>178</v>
      </c>
      <c r="B14" t="s">
        <v>280</v>
      </c>
      <c r="C14" t="s">
        <v>37</v>
      </c>
      <c r="D14" t="s">
        <v>281</v>
      </c>
      <c r="E14" t="s">
        <v>416</v>
      </c>
      <c r="F14" t="s">
        <v>282</v>
      </c>
    </row>
    <row r="16" spans="1:14" ht="15.95" customHeight="1" x14ac:dyDescent="0.15">
      <c r="A16" t="s">
        <v>288</v>
      </c>
      <c r="B16" t="s">
        <v>292</v>
      </c>
      <c r="C16" t="s">
        <v>105</v>
      </c>
      <c r="D16" t="s">
        <v>291</v>
      </c>
      <c r="E16" t="s">
        <v>416</v>
      </c>
      <c r="F16" t="s">
        <v>295</v>
      </c>
    </row>
    <row r="17" spans="1:6" ht="15.95" customHeight="1" x14ac:dyDescent="0.15">
      <c r="A17" t="s">
        <v>288</v>
      </c>
      <c r="B17" t="s">
        <v>292</v>
      </c>
      <c r="C17" t="s">
        <v>106</v>
      </c>
      <c r="D17" t="s">
        <v>290</v>
      </c>
      <c r="E17" t="s">
        <v>416</v>
      </c>
      <c r="F17" t="s">
        <v>295</v>
      </c>
    </row>
    <row r="18" spans="1:6" ht="15.95" customHeight="1" x14ac:dyDescent="0.15">
      <c r="A18" t="s">
        <v>288</v>
      </c>
      <c r="B18" t="s">
        <v>292</v>
      </c>
      <c r="C18" t="s">
        <v>123</v>
      </c>
      <c r="D18" t="s">
        <v>289</v>
      </c>
      <c r="E18" t="s">
        <v>416</v>
      </c>
      <c r="F18" t="s">
        <v>295</v>
      </c>
    </row>
    <row r="20" spans="1:6" ht="15.95" customHeight="1" x14ac:dyDescent="0.15">
      <c r="A20" t="s">
        <v>294</v>
      </c>
      <c r="B20" t="s">
        <v>293</v>
      </c>
      <c r="C20" t="s">
        <v>293</v>
      </c>
      <c r="D20" t="s">
        <v>294</v>
      </c>
      <c r="E20" t="s">
        <v>416</v>
      </c>
      <c r="F20" t="s">
        <v>295</v>
      </c>
    </row>
    <row r="22" spans="1:6" ht="15.95" customHeight="1" x14ac:dyDescent="0.15">
      <c r="A22" t="s">
        <v>296</v>
      </c>
      <c r="B22" t="s">
        <v>297</v>
      </c>
      <c r="C22" t="s">
        <v>124</v>
      </c>
      <c r="E22" t="s">
        <v>417</v>
      </c>
      <c r="F22" t="s">
        <v>295</v>
      </c>
    </row>
    <row r="23" spans="1:6" ht="15.95" customHeight="1" x14ac:dyDescent="0.15">
      <c r="A23" t="s">
        <v>296</v>
      </c>
      <c r="B23" t="s">
        <v>297</v>
      </c>
      <c r="C23" t="s">
        <v>125</v>
      </c>
      <c r="E23" t="s">
        <v>417</v>
      </c>
      <c r="F23" t="s">
        <v>295</v>
      </c>
    </row>
    <row r="24" spans="1:6" ht="15.95" customHeight="1" x14ac:dyDescent="0.15">
      <c r="A24" t="s">
        <v>296</v>
      </c>
      <c r="B24" t="s">
        <v>297</v>
      </c>
      <c r="C24" t="s">
        <v>126</v>
      </c>
      <c r="E24" t="s">
        <v>417</v>
      </c>
      <c r="F24" t="s">
        <v>295</v>
      </c>
    </row>
    <row r="25" spans="1:6" ht="15.95" customHeight="1" x14ac:dyDescent="0.15">
      <c r="A25" t="s">
        <v>296</v>
      </c>
      <c r="B25" t="s">
        <v>297</v>
      </c>
      <c r="C25" t="s">
        <v>127</v>
      </c>
      <c r="E25" t="s">
        <v>417</v>
      </c>
      <c r="F25" t="s">
        <v>295</v>
      </c>
    </row>
    <row r="26" spans="1:6" ht="15.95" customHeight="1" x14ac:dyDescent="0.15">
      <c r="A26" t="s">
        <v>296</v>
      </c>
      <c r="B26" t="s">
        <v>297</v>
      </c>
      <c r="C26" t="s">
        <v>128</v>
      </c>
      <c r="E26" t="s">
        <v>417</v>
      </c>
      <c r="F26" t="s">
        <v>295</v>
      </c>
    </row>
    <row r="27" spans="1:6" ht="15.95" customHeight="1" x14ac:dyDescent="0.15">
      <c r="A27" t="s">
        <v>296</v>
      </c>
      <c r="B27" t="s">
        <v>297</v>
      </c>
      <c r="C27" t="s">
        <v>129</v>
      </c>
      <c r="E27" t="s">
        <v>417</v>
      </c>
      <c r="F27" t="s">
        <v>295</v>
      </c>
    </row>
    <row r="28" spans="1:6" ht="15.95" customHeight="1" x14ac:dyDescent="0.15">
      <c r="A28" t="s">
        <v>296</v>
      </c>
      <c r="B28" t="s">
        <v>297</v>
      </c>
      <c r="C28" t="s">
        <v>130</v>
      </c>
      <c r="E28" t="s">
        <v>417</v>
      </c>
      <c r="F28" t="s">
        <v>295</v>
      </c>
    </row>
    <row r="29" spans="1:6" ht="15.95" customHeight="1" x14ac:dyDescent="0.15">
      <c r="A29" t="s">
        <v>296</v>
      </c>
      <c r="B29" t="s">
        <v>297</v>
      </c>
      <c r="C29" t="s">
        <v>131</v>
      </c>
      <c r="E29" t="s">
        <v>417</v>
      </c>
      <c r="F29" t="s">
        <v>295</v>
      </c>
    </row>
    <row r="30" spans="1:6" ht="15.95" customHeight="1" x14ac:dyDescent="0.15">
      <c r="A30" t="s">
        <v>296</v>
      </c>
      <c r="B30" t="s">
        <v>297</v>
      </c>
      <c r="C30" t="s">
        <v>132</v>
      </c>
      <c r="E30" t="s">
        <v>417</v>
      </c>
      <c r="F30" t="s">
        <v>295</v>
      </c>
    </row>
    <row r="31" spans="1:6" ht="15.95" customHeight="1" x14ac:dyDescent="0.15">
      <c r="A31" t="s">
        <v>296</v>
      </c>
      <c r="B31" t="s">
        <v>297</v>
      </c>
      <c r="C31" t="s">
        <v>133</v>
      </c>
      <c r="E31" t="s">
        <v>417</v>
      </c>
      <c r="F31" t="s">
        <v>295</v>
      </c>
    </row>
    <row r="32" spans="1:6" ht="15.95" customHeight="1" x14ac:dyDescent="0.15">
      <c r="A32" t="s">
        <v>296</v>
      </c>
      <c r="B32" t="s">
        <v>297</v>
      </c>
      <c r="C32" t="s">
        <v>134</v>
      </c>
      <c r="E32" t="s">
        <v>417</v>
      </c>
      <c r="F32" t="s">
        <v>295</v>
      </c>
    </row>
    <row r="33" spans="1:6" ht="15.95" customHeight="1" x14ac:dyDescent="0.15">
      <c r="A33" t="s">
        <v>296</v>
      </c>
      <c r="B33" t="s">
        <v>297</v>
      </c>
      <c r="C33" t="s">
        <v>135</v>
      </c>
      <c r="E33" t="s">
        <v>417</v>
      </c>
      <c r="F33" t="s">
        <v>295</v>
      </c>
    </row>
    <row r="34" spans="1:6" ht="15.95" customHeight="1" x14ac:dyDescent="0.15">
      <c r="A34" t="s">
        <v>296</v>
      </c>
      <c r="B34" t="s">
        <v>297</v>
      </c>
      <c r="C34" t="s">
        <v>136</v>
      </c>
      <c r="E34" t="s">
        <v>417</v>
      </c>
      <c r="F34" t="s">
        <v>295</v>
      </c>
    </row>
    <row r="35" spans="1:6" ht="15.95" customHeight="1" x14ac:dyDescent="0.15">
      <c r="A35" t="s">
        <v>296</v>
      </c>
      <c r="B35" t="s">
        <v>297</v>
      </c>
      <c r="C35" t="s">
        <v>137</v>
      </c>
      <c r="E35" t="s">
        <v>417</v>
      </c>
      <c r="F35" t="s">
        <v>295</v>
      </c>
    </row>
    <row r="36" spans="1:6" ht="15.95" customHeight="1" x14ac:dyDescent="0.15">
      <c r="A36" t="s">
        <v>296</v>
      </c>
      <c r="B36" t="s">
        <v>297</v>
      </c>
      <c r="C36" t="s">
        <v>138</v>
      </c>
      <c r="E36" t="s">
        <v>417</v>
      </c>
      <c r="F36" t="s">
        <v>295</v>
      </c>
    </row>
    <row r="37" spans="1:6" ht="15.95" customHeight="1" x14ac:dyDescent="0.15">
      <c r="A37" t="s">
        <v>296</v>
      </c>
      <c r="B37" t="s">
        <v>297</v>
      </c>
      <c r="C37" t="s">
        <v>139</v>
      </c>
      <c r="E37" t="s">
        <v>417</v>
      </c>
      <c r="F37" t="s">
        <v>295</v>
      </c>
    </row>
    <row r="38" spans="1:6" ht="15.95" customHeight="1" x14ac:dyDescent="0.15">
      <c r="A38" t="s">
        <v>296</v>
      </c>
      <c r="B38" t="s">
        <v>297</v>
      </c>
      <c r="C38" t="s">
        <v>140</v>
      </c>
      <c r="E38" t="s">
        <v>417</v>
      </c>
      <c r="F38" t="s">
        <v>295</v>
      </c>
    </row>
    <row r="39" spans="1:6" ht="15.95" customHeight="1" x14ac:dyDescent="0.15">
      <c r="A39" t="s">
        <v>296</v>
      </c>
      <c r="B39" t="s">
        <v>297</v>
      </c>
      <c r="C39" t="s">
        <v>141</v>
      </c>
      <c r="E39" t="s">
        <v>417</v>
      </c>
      <c r="F39" t="s">
        <v>295</v>
      </c>
    </row>
    <row r="40" spans="1:6" ht="15.95" customHeight="1" x14ac:dyDescent="0.15">
      <c r="A40" t="s">
        <v>296</v>
      </c>
      <c r="B40" t="s">
        <v>297</v>
      </c>
      <c r="C40" t="s">
        <v>142</v>
      </c>
      <c r="E40" t="s">
        <v>418</v>
      </c>
      <c r="F40" t="s">
        <v>295</v>
      </c>
    </row>
    <row r="41" spans="1:6" ht="15.95" customHeight="1" x14ac:dyDescent="0.15">
      <c r="A41" t="s">
        <v>296</v>
      </c>
      <c r="B41" t="s">
        <v>297</v>
      </c>
      <c r="C41" t="s">
        <v>143</v>
      </c>
      <c r="E41" t="s">
        <v>418</v>
      </c>
      <c r="F41" t="s">
        <v>295</v>
      </c>
    </row>
    <row r="42" spans="1:6" ht="15.95" customHeight="1" x14ac:dyDescent="0.15">
      <c r="A42" t="s">
        <v>296</v>
      </c>
      <c r="B42" t="s">
        <v>297</v>
      </c>
      <c r="C42" t="s">
        <v>144</v>
      </c>
      <c r="E42" t="s">
        <v>418</v>
      </c>
      <c r="F42" t="s">
        <v>295</v>
      </c>
    </row>
    <row r="43" spans="1:6" ht="15.95" customHeight="1" x14ac:dyDescent="0.15">
      <c r="A43" t="s">
        <v>296</v>
      </c>
      <c r="B43" t="s">
        <v>297</v>
      </c>
      <c r="C43" t="s">
        <v>145</v>
      </c>
      <c r="E43" t="s">
        <v>418</v>
      </c>
      <c r="F43" t="s">
        <v>295</v>
      </c>
    </row>
    <row r="44" spans="1:6" ht="15.95" customHeight="1" x14ac:dyDescent="0.15">
      <c r="A44" t="s">
        <v>296</v>
      </c>
      <c r="B44" t="s">
        <v>297</v>
      </c>
      <c r="C44" t="s">
        <v>146</v>
      </c>
      <c r="E44" t="s">
        <v>418</v>
      </c>
      <c r="F44" t="s">
        <v>295</v>
      </c>
    </row>
    <row r="45" spans="1:6" ht="15.95" customHeight="1" x14ac:dyDescent="0.15">
      <c r="A45" t="s">
        <v>296</v>
      </c>
      <c r="B45" t="s">
        <v>297</v>
      </c>
      <c r="C45" t="s">
        <v>147</v>
      </c>
      <c r="E45" t="s">
        <v>418</v>
      </c>
      <c r="F45" t="s">
        <v>295</v>
      </c>
    </row>
    <row r="46" spans="1:6" ht="15.95" customHeight="1" x14ac:dyDescent="0.15">
      <c r="A46" t="s">
        <v>296</v>
      </c>
      <c r="B46" t="s">
        <v>297</v>
      </c>
      <c r="C46" t="s">
        <v>148</v>
      </c>
      <c r="E46" t="s">
        <v>418</v>
      </c>
      <c r="F46" t="s">
        <v>295</v>
      </c>
    </row>
    <row r="47" spans="1:6" ht="15.95" customHeight="1" x14ac:dyDescent="0.15">
      <c r="A47" t="s">
        <v>296</v>
      </c>
      <c r="B47" t="s">
        <v>297</v>
      </c>
      <c r="C47" t="s">
        <v>149</v>
      </c>
      <c r="E47" t="s">
        <v>418</v>
      </c>
      <c r="F47" t="s">
        <v>295</v>
      </c>
    </row>
    <row r="48" spans="1:6" ht="15.95" customHeight="1" x14ac:dyDescent="0.15">
      <c r="A48" t="s">
        <v>296</v>
      </c>
      <c r="B48" t="s">
        <v>297</v>
      </c>
      <c r="C48" t="s">
        <v>150</v>
      </c>
      <c r="E48" t="s">
        <v>418</v>
      </c>
      <c r="F48" t="s">
        <v>295</v>
      </c>
    </row>
    <row r="49" spans="1:6" ht="15.95" customHeight="1" x14ac:dyDescent="0.15">
      <c r="A49" t="s">
        <v>296</v>
      </c>
      <c r="B49" t="s">
        <v>297</v>
      </c>
      <c r="C49" t="s">
        <v>151</v>
      </c>
      <c r="E49" t="s">
        <v>418</v>
      </c>
      <c r="F49" t="s">
        <v>295</v>
      </c>
    </row>
    <row r="50" spans="1:6" ht="15.95" customHeight="1" x14ac:dyDescent="0.15">
      <c r="A50" t="s">
        <v>296</v>
      </c>
      <c r="B50" t="s">
        <v>297</v>
      </c>
      <c r="C50" t="s">
        <v>152</v>
      </c>
      <c r="E50" t="s">
        <v>418</v>
      </c>
      <c r="F50" t="s">
        <v>295</v>
      </c>
    </row>
    <row r="51" spans="1:6" ht="15.95" customHeight="1" x14ac:dyDescent="0.15">
      <c r="A51" t="s">
        <v>296</v>
      </c>
      <c r="B51" t="s">
        <v>297</v>
      </c>
      <c r="C51" t="s">
        <v>153</v>
      </c>
      <c r="E51" t="s">
        <v>418</v>
      </c>
      <c r="F51" t="s">
        <v>295</v>
      </c>
    </row>
    <row r="52" spans="1:6" ht="15.95" customHeight="1" x14ac:dyDescent="0.15">
      <c r="A52" t="s">
        <v>296</v>
      </c>
      <c r="B52" t="s">
        <v>297</v>
      </c>
      <c r="C52" t="s">
        <v>154</v>
      </c>
      <c r="E52" t="s">
        <v>418</v>
      </c>
      <c r="F52" t="s">
        <v>295</v>
      </c>
    </row>
    <row r="53" spans="1:6" ht="15.95" customHeight="1" x14ac:dyDescent="0.15">
      <c r="A53" t="s">
        <v>296</v>
      </c>
      <c r="B53" t="s">
        <v>297</v>
      </c>
      <c r="C53" t="s">
        <v>155</v>
      </c>
      <c r="E53" t="s">
        <v>418</v>
      </c>
      <c r="F53" t="s">
        <v>295</v>
      </c>
    </row>
    <row r="54" spans="1:6" ht="15.95" customHeight="1" x14ac:dyDescent="0.15">
      <c r="A54" t="s">
        <v>296</v>
      </c>
      <c r="B54" t="s">
        <v>297</v>
      </c>
      <c r="C54" t="s">
        <v>156</v>
      </c>
      <c r="E54" t="s">
        <v>418</v>
      </c>
      <c r="F54" t="s">
        <v>295</v>
      </c>
    </row>
    <row r="55" spans="1:6" ht="15.95" customHeight="1" x14ac:dyDescent="0.15">
      <c r="A55" t="s">
        <v>296</v>
      </c>
      <c r="B55" t="s">
        <v>297</v>
      </c>
      <c r="C55" t="s">
        <v>157</v>
      </c>
      <c r="E55" t="s">
        <v>418</v>
      </c>
      <c r="F55" t="s">
        <v>295</v>
      </c>
    </row>
    <row r="56" spans="1:6" ht="15.95" customHeight="1" x14ac:dyDescent="0.15">
      <c r="A56" t="s">
        <v>296</v>
      </c>
      <c r="B56" t="s">
        <v>297</v>
      </c>
      <c r="C56" t="s">
        <v>158</v>
      </c>
      <c r="E56" t="s">
        <v>418</v>
      </c>
      <c r="F56" t="s">
        <v>295</v>
      </c>
    </row>
    <row r="57" spans="1:6" ht="15.95" customHeight="1" x14ac:dyDescent="0.15">
      <c r="A57" t="s">
        <v>296</v>
      </c>
      <c r="B57" t="s">
        <v>297</v>
      </c>
      <c r="C57" t="s">
        <v>159</v>
      </c>
      <c r="E57" t="s">
        <v>418</v>
      </c>
      <c r="F57" t="s">
        <v>295</v>
      </c>
    </row>
    <row r="59" spans="1:6" ht="15.95" customHeight="1" x14ac:dyDescent="0.15">
      <c r="A59" t="s">
        <v>298</v>
      </c>
      <c r="B59" t="s">
        <v>304</v>
      </c>
      <c r="C59" t="s">
        <v>117</v>
      </c>
      <c r="E59" t="s">
        <v>416</v>
      </c>
      <c r="F59" t="s">
        <v>295</v>
      </c>
    </row>
    <row r="60" spans="1:6" ht="15.95" customHeight="1" x14ac:dyDescent="0.15">
      <c r="A60" t="s">
        <v>182</v>
      </c>
      <c r="B60" t="s">
        <v>304</v>
      </c>
      <c r="C60" t="s">
        <v>303</v>
      </c>
      <c r="E60" t="s">
        <v>416</v>
      </c>
      <c r="F60" t="s">
        <v>295</v>
      </c>
    </row>
    <row r="61" spans="1:6" ht="15.95" customHeight="1" x14ac:dyDescent="0.15">
      <c r="A61" t="s">
        <v>182</v>
      </c>
      <c r="B61" t="s">
        <v>304</v>
      </c>
      <c r="C61" t="s">
        <v>118</v>
      </c>
      <c r="E61" t="s">
        <v>416</v>
      </c>
      <c r="F61" t="s">
        <v>295</v>
      </c>
    </row>
    <row r="62" spans="1:6" ht="15.95" customHeight="1" x14ac:dyDescent="0.15">
      <c r="A62" t="s">
        <v>182</v>
      </c>
      <c r="B62" t="s">
        <v>304</v>
      </c>
      <c r="C62" t="s">
        <v>119</v>
      </c>
      <c r="E62" t="s">
        <v>416</v>
      </c>
      <c r="F62" t="s">
        <v>295</v>
      </c>
    </row>
    <row r="64" spans="1:6" ht="15.95" customHeight="1" x14ac:dyDescent="0.15">
      <c r="A64" t="s">
        <v>299</v>
      </c>
      <c r="B64" t="s">
        <v>305</v>
      </c>
      <c r="C64" t="s">
        <v>163</v>
      </c>
      <c r="E64" t="s">
        <v>416</v>
      </c>
      <c r="F64" t="s">
        <v>295</v>
      </c>
    </row>
    <row r="65" spans="1:6" ht="15.95" customHeight="1" x14ac:dyDescent="0.15">
      <c r="A65" t="s">
        <v>185</v>
      </c>
      <c r="B65" t="s">
        <v>305</v>
      </c>
      <c r="C65" t="s">
        <v>164</v>
      </c>
      <c r="E65" t="s">
        <v>416</v>
      </c>
      <c r="F65" t="s">
        <v>295</v>
      </c>
    </row>
    <row r="66" spans="1:6" ht="15.95" customHeight="1" x14ac:dyDescent="0.15">
      <c r="A66" t="s">
        <v>185</v>
      </c>
      <c r="B66" t="s">
        <v>305</v>
      </c>
      <c r="C66" t="s">
        <v>165</v>
      </c>
      <c r="E66" t="s">
        <v>416</v>
      </c>
      <c r="F66" t="s">
        <v>295</v>
      </c>
    </row>
    <row r="67" spans="1:6" ht="15.95" customHeight="1" x14ac:dyDescent="0.15">
      <c r="A67" t="s">
        <v>185</v>
      </c>
      <c r="B67" t="s">
        <v>305</v>
      </c>
      <c r="C67" t="s">
        <v>166</v>
      </c>
      <c r="E67" t="s">
        <v>416</v>
      </c>
      <c r="F67" t="s">
        <v>295</v>
      </c>
    </row>
    <row r="68" spans="1:6" ht="15.95" customHeight="1" x14ac:dyDescent="0.15">
      <c r="A68" t="s">
        <v>185</v>
      </c>
      <c r="B68" t="s">
        <v>305</v>
      </c>
      <c r="C68" t="s">
        <v>167</v>
      </c>
      <c r="E68" t="s">
        <v>416</v>
      </c>
      <c r="F68" t="s">
        <v>295</v>
      </c>
    </row>
    <row r="70" spans="1:6" ht="15.95" customHeight="1" x14ac:dyDescent="0.15">
      <c r="A70" t="s">
        <v>300</v>
      </c>
      <c r="B70" t="s">
        <v>306</v>
      </c>
      <c r="C70" t="s">
        <v>0</v>
      </c>
      <c r="E70" t="s">
        <v>416</v>
      </c>
      <c r="F70" t="s">
        <v>422</v>
      </c>
    </row>
    <row r="71" spans="1:6" ht="15.95" customHeight="1" x14ac:dyDescent="0.15">
      <c r="A71" t="s">
        <v>186</v>
      </c>
      <c r="B71" t="s">
        <v>306</v>
      </c>
      <c r="C71" t="s">
        <v>1</v>
      </c>
      <c r="E71" t="s">
        <v>416</v>
      </c>
      <c r="F71" t="s">
        <v>422</v>
      </c>
    </row>
    <row r="72" spans="1:6" ht="15.95" customHeight="1" x14ac:dyDescent="0.15">
      <c r="A72" t="s">
        <v>186</v>
      </c>
      <c r="B72" t="s">
        <v>306</v>
      </c>
      <c r="C72" t="s">
        <v>2</v>
      </c>
      <c r="E72" t="s">
        <v>416</v>
      </c>
      <c r="F72" t="s">
        <v>422</v>
      </c>
    </row>
    <row r="73" spans="1:6" ht="15.95" customHeight="1" x14ac:dyDescent="0.15">
      <c r="A73" t="s">
        <v>186</v>
      </c>
      <c r="B73" t="s">
        <v>306</v>
      </c>
      <c r="C73" t="s">
        <v>3</v>
      </c>
      <c r="E73" t="s">
        <v>416</v>
      </c>
      <c r="F73" t="s">
        <v>422</v>
      </c>
    </row>
    <row r="74" spans="1:6" ht="15.95" customHeight="1" x14ac:dyDescent="0.15">
      <c r="A74" t="s">
        <v>186</v>
      </c>
      <c r="B74" t="s">
        <v>306</v>
      </c>
      <c r="C74" t="s">
        <v>4</v>
      </c>
      <c r="E74" t="s">
        <v>416</v>
      </c>
      <c r="F74" t="s">
        <v>422</v>
      </c>
    </row>
    <row r="75" spans="1:6" ht="15.95" customHeight="1" x14ac:dyDescent="0.15">
      <c r="A75" t="s">
        <v>186</v>
      </c>
      <c r="B75" t="s">
        <v>306</v>
      </c>
      <c r="C75" t="s">
        <v>5</v>
      </c>
      <c r="E75" t="s">
        <v>416</v>
      </c>
      <c r="F75" t="s">
        <v>422</v>
      </c>
    </row>
    <row r="76" spans="1:6" ht="15.95" customHeight="1" x14ac:dyDescent="0.15">
      <c r="A76" t="s">
        <v>186</v>
      </c>
      <c r="B76" t="s">
        <v>306</v>
      </c>
      <c r="C76" t="s">
        <v>6</v>
      </c>
      <c r="E76" t="s">
        <v>416</v>
      </c>
      <c r="F76" t="s">
        <v>422</v>
      </c>
    </row>
    <row r="77" spans="1:6" ht="15.95" customHeight="1" x14ac:dyDescent="0.15">
      <c r="A77" t="s">
        <v>186</v>
      </c>
      <c r="B77" t="s">
        <v>306</v>
      </c>
      <c r="C77" t="s">
        <v>7</v>
      </c>
      <c r="E77" t="s">
        <v>416</v>
      </c>
      <c r="F77" t="s">
        <v>422</v>
      </c>
    </row>
    <row r="78" spans="1:6" ht="15.95" customHeight="1" x14ac:dyDescent="0.15">
      <c r="A78" t="s">
        <v>186</v>
      </c>
      <c r="B78" t="s">
        <v>306</v>
      </c>
      <c r="C78" t="s">
        <v>8</v>
      </c>
      <c r="E78" t="s">
        <v>416</v>
      </c>
      <c r="F78" t="s">
        <v>422</v>
      </c>
    </row>
    <row r="80" spans="1:6" ht="15.95" customHeight="1" x14ac:dyDescent="0.15">
      <c r="A80" t="s">
        <v>301</v>
      </c>
      <c r="B80" t="s">
        <v>307</v>
      </c>
      <c r="C80" t="s">
        <v>111</v>
      </c>
      <c r="E80" t="s">
        <v>416</v>
      </c>
      <c r="F80" t="s">
        <v>422</v>
      </c>
    </row>
    <row r="81" spans="1:6" ht="15.95" customHeight="1" x14ac:dyDescent="0.15">
      <c r="A81" t="s">
        <v>187</v>
      </c>
      <c r="B81" t="s">
        <v>307</v>
      </c>
      <c r="C81" t="s">
        <v>9</v>
      </c>
      <c r="E81" t="s">
        <v>416</v>
      </c>
      <c r="F81" t="s">
        <v>422</v>
      </c>
    </row>
    <row r="82" spans="1:6" ht="15.95" customHeight="1" x14ac:dyDescent="0.15">
      <c r="A82" t="s">
        <v>187</v>
      </c>
      <c r="B82" t="s">
        <v>307</v>
      </c>
      <c r="C82" t="s">
        <v>10</v>
      </c>
      <c r="E82" t="s">
        <v>416</v>
      </c>
      <c r="F82" t="s">
        <v>422</v>
      </c>
    </row>
    <row r="83" spans="1:6" ht="15.95" customHeight="1" x14ac:dyDescent="0.15">
      <c r="A83" t="s">
        <v>187</v>
      </c>
      <c r="B83" t="s">
        <v>307</v>
      </c>
      <c r="C83" t="s">
        <v>11</v>
      </c>
      <c r="E83" t="s">
        <v>416</v>
      </c>
      <c r="F83" t="s">
        <v>422</v>
      </c>
    </row>
    <row r="84" spans="1:6" ht="15.95" customHeight="1" x14ac:dyDescent="0.15">
      <c r="A84" t="s">
        <v>187</v>
      </c>
      <c r="B84" t="s">
        <v>307</v>
      </c>
      <c r="C84" t="s">
        <v>12</v>
      </c>
      <c r="E84" t="s">
        <v>416</v>
      </c>
      <c r="F84" t="s">
        <v>422</v>
      </c>
    </row>
    <row r="85" spans="1:6" ht="15.95" customHeight="1" x14ac:dyDescent="0.15">
      <c r="A85" t="s">
        <v>187</v>
      </c>
      <c r="B85" t="s">
        <v>307</v>
      </c>
      <c r="C85" t="s">
        <v>13</v>
      </c>
      <c r="E85" t="s">
        <v>416</v>
      </c>
      <c r="F85" t="s">
        <v>422</v>
      </c>
    </row>
    <row r="86" spans="1:6" ht="15.95" customHeight="1" x14ac:dyDescent="0.15">
      <c r="A86" t="s">
        <v>187</v>
      </c>
      <c r="B86" t="s">
        <v>307</v>
      </c>
      <c r="C86" t="s">
        <v>14</v>
      </c>
      <c r="E86" t="s">
        <v>416</v>
      </c>
      <c r="F86" t="s">
        <v>422</v>
      </c>
    </row>
    <row r="87" spans="1:6" ht="15.95" customHeight="1" x14ac:dyDescent="0.15">
      <c r="A87" t="s">
        <v>187</v>
      </c>
      <c r="B87" t="s">
        <v>307</v>
      </c>
      <c r="C87" t="s">
        <v>15</v>
      </c>
      <c r="E87" t="s">
        <v>416</v>
      </c>
      <c r="F87" t="s">
        <v>422</v>
      </c>
    </row>
    <row r="88" spans="1:6" ht="15.95" customHeight="1" x14ac:dyDescent="0.15">
      <c r="A88" t="s">
        <v>187</v>
      </c>
      <c r="B88" t="s">
        <v>307</v>
      </c>
      <c r="C88" t="s">
        <v>16</v>
      </c>
      <c r="E88" t="s">
        <v>416</v>
      </c>
      <c r="F88" t="s">
        <v>422</v>
      </c>
    </row>
    <row r="89" spans="1:6" ht="15.95" customHeight="1" x14ac:dyDescent="0.15">
      <c r="A89" t="s">
        <v>187</v>
      </c>
      <c r="B89" t="s">
        <v>307</v>
      </c>
      <c r="C89" t="s">
        <v>17</v>
      </c>
      <c r="E89" t="s">
        <v>416</v>
      </c>
      <c r="F89" t="s">
        <v>422</v>
      </c>
    </row>
    <row r="90" spans="1:6" ht="15.95" customHeight="1" x14ac:dyDescent="0.15">
      <c r="A90" t="s">
        <v>187</v>
      </c>
      <c r="B90" t="s">
        <v>307</v>
      </c>
      <c r="C90" t="s">
        <v>18</v>
      </c>
      <c r="D90" t="s">
        <v>444</v>
      </c>
      <c r="E90" t="s">
        <v>416</v>
      </c>
      <c r="F90" t="s">
        <v>422</v>
      </c>
    </row>
    <row r="91" spans="1:6" ht="15.95" customHeight="1" x14ac:dyDescent="0.15">
      <c r="A91" t="s">
        <v>187</v>
      </c>
      <c r="B91" t="s">
        <v>307</v>
      </c>
      <c r="C91" t="s">
        <v>19</v>
      </c>
      <c r="E91" t="s">
        <v>416</v>
      </c>
      <c r="F91" t="s">
        <v>422</v>
      </c>
    </row>
    <row r="93" spans="1:6" ht="15.95" customHeight="1" x14ac:dyDescent="0.15">
      <c r="A93" t="s">
        <v>302</v>
      </c>
      <c r="B93" t="s">
        <v>308</v>
      </c>
      <c r="C93" t="s">
        <v>30</v>
      </c>
      <c r="E93" t="s">
        <v>416</v>
      </c>
      <c r="F93" t="s">
        <v>422</v>
      </c>
    </row>
    <row r="94" spans="1:6" ht="15.95" customHeight="1" x14ac:dyDescent="0.15">
      <c r="A94" t="s">
        <v>302</v>
      </c>
      <c r="B94" t="s">
        <v>308</v>
      </c>
      <c r="C94" t="s">
        <v>31</v>
      </c>
      <c r="E94" t="s">
        <v>416</v>
      </c>
      <c r="F94" t="s">
        <v>422</v>
      </c>
    </row>
    <row r="95" spans="1:6" ht="15.95" customHeight="1" x14ac:dyDescent="0.15">
      <c r="A95" t="s">
        <v>302</v>
      </c>
      <c r="B95" t="s">
        <v>308</v>
      </c>
      <c r="C95" t="s">
        <v>32</v>
      </c>
      <c r="E95" t="s">
        <v>416</v>
      </c>
      <c r="F95" t="s">
        <v>422</v>
      </c>
    </row>
    <row r="97" spans="1:6" ht="15.95" customHeight="1" x14ac:dyDescent="0.15">
      <c r="A97" t="s">
        <v>310</v>
      </c>
      <c r="B97" t="s">
        <v>309</v>
      </c>
      <c r="C97" t="s">
        <v>96</v>
      </c>
      <c r="D97" t="s">
        <v>311</v>
      </c>
      <c r="E97" t="s">
        <v>416</v>
      </c>
      <c r="F97" t="s">
        <v>422</v>
      </c>
    </row>
    <row r="98" spans="1:6" ht="15.95" customHeight="1" x14ac:dyDescent="0.15">
      <c r="A98" t="s">
        <v>188</v>
      </c>
      <c r="B98" t="s">
        <v>309</v>
      </c>
      <c r="C98" t="s">
        <v>20</v>
      </c>
      <c r="D98" t="s">
        <v>312</v>
      </c>
      <c r="E98" t="s">
        <v>416</v>
      </c>
      <c r="F98" t="s">
        <v>422</v>
      </c>
    </row>
    <row r="99" spans="1:6" ht="15.95" customHeight="1" x14ac:dyDescent="0.15">
      <c r="A99" t="s">
        <v>188</v>
      </c>
      <c r="B99" t="s">
        <v>309</v>
      </c>
      <c r="C99" t="s">
        <v>21</v>
      </c>
      <c r="D99" t="s">
        <v>419</v>
      </c>
      <c r="E99" t="s">
        <v>416</v>
      </c>
      <c r="F99" t="s">
        <v>422</v>
      </c>
    </row>
    <row r="100" spans="1:6" ht="15.95" customHeight="1" x14ac:dyDescent="0.15">
      <c r="A100" t="s">
        <v>188</v>
      </c>
      <c r="B100" t="s">
        <v>309</v>
      </c>
      <c r="C100" t="s">
        <v>22</v>
      </c>
      <c r="D100" t="s">
        <v>313</v>
      </c>
      <c r="E100" t="s">
        <v>416</v>
      </c>
      <c r="F100" t="s">
        <v>422</v>
      </c>
    </row>
    <row r="102" spans="1:6" ht="15.95" customHeight="1" x14ac:dyDescent="0.15">
      <c r="A102" t="s">
        <v>314</v>
      </c>
      <c r="B102" t="s">
        <v>315</v>
      </c>
      <c r="C102" t="s">
        <v>316</v>
      </c>
      <c r="D102" t="s">
        <v>314</v>
      </c>
      <c r="E102" t="s">
        <v>416</v>
      </c>
      <c r="F102" t="s">
        <v>423</v>
      </c>
    </row>
    <row r="104" spans="1:6" ht="15.95" customHeight="1" x14ac:dyDescent="0.15">
      <c r="A104" t="s">
        <v>194</v>
      </c>
      <c r="B104" t="s">
        <v>317</v>
      </c>
      <c r="C104" t="s">
        <v>318</v>
      </c>
      <c r="D104" t="s">
        <v>319</v>
      </c>
      <c r="E104" t="s">
        <v>416</v>
      </c>
      <c r="F104" t="s">
        <v>424</v>
      </c>
    </row>
    <row r="105" spans="1:6" ht="15.95" customHeight="1" x14ac:dyDescent="0.15">
      <c r="A105" t="s">
        <v>194</v>
      </c>
      <c r="B105" t="s">
        <v>317</v>
      </c>
      <c r="C105" t="s">
        <v>97</v>
      </c>
      <c r="D105" t="s">
        <v>335</v>
      </c>
      <c r="E105" t="s">
        <v>416</v>
      </c>
      <c r="F105" t="s">
        <v>424</v>
      </c>
    </row>
    <row r="106" spans="1:6" ht="15.95" customHeight="1" x14ac:dyDescent="0.15">
      <c r="A106" t="s">
        <v>194</v>
      </c>
      <c r="B106" t="s">
        <v>317</v>
      </c>
      <c r="C106" t="s">
        <v>98</v>
      </c>
      <c r="D106" t="s">
        <v>320</v>
      </c>
      <c r="E106" t="s">
        <v>416</v>
      </c>
      <c r="F106" t="s">
        <v>424</v>
      </c>
    </row>
    <row r="108" spans="1:6" ht="15.95" customHeight="1" x14ac:dyDescent="0.15">
      <c r="A108" t="s">
        <v>427</v>
      </c>
      <c r="B108" t="s">
        <v>321</v>
      </c>
      <c r="C108" t="s">
        <v>322</v>
      </c>
      <c r="D108" t="s">
        <v>323</v>
      </c>
      <c r="E108" t="s">
        <v>416</v>
      </c>
      <c r="F108" t="s">
        <v>425</v>
      </c>
    </row>
    <row r="109" spans="1:6" ht="15.95" customHeight="1" x14ac:dyDescent="0.15">
      <c r="A109" t="s">
        <v>427</v>
      </c>
      <c r="B109" t="s">
        <v>321</v>
      </c>
      <c r="C109" t="s">
        <v>107</v>
      </c>
      <c r="D109" t="s">
        <v>325</v>
      </c>
      <c r="E109" t="s">
        <v>416</v>
      </c>
      <c r="F109" t="s">
        <v>425</v>
      </c>
    </row>
    <row r="110" spans="1:6" ht="15.95" customHeight="1" x14ac:dyDescent="0.15">
      <c r="A110" t="s">
        <v>427</v>
      </c>
      <c r="B110" t="s">
        <v>321</v>
      </c>
      <c r="C110" t="s">
        <v>108</v>
      </c>
      <c r="D110" t="s">
        <v>324</v>
      </c>
      <c r="E110" t="s">
        <v>416</v>
      </c>
      <c r="F110" t="s">
        <v>425</v>
      </c>
    </row>
    <row r="112" spans="1:6" ht="15.95" customHeight="1" x14ac:dyDescent="0.15">
      <c r="A112" t="s">
        <v>1915</v>
      </c>
      <c r="B112" t="s">
        <v>326</v>
      </c>
      <c r="C112" t="s">
        <v>327</v>
      </c>
      <c r="D112" t="s">
        <v>328</v>
      </c>
      <c r="E112" t="s">
        <v>416</v>
      </c>
      <c r="F112" t="s">
        <v>424</v>
      </c>
    </row>
    <row r="113" spans="1:6" ht="15.95" customHeight="1" x14ac:dyDescent="0.15">
      <c r="C113" t="s">
        <v>109</v>
      </c>
      <c r="D113" t="s">
        <v>329</v>
      </c>
      <c r="E113" t="s">
        <v>416</v>
      </c>
      <c r="F113" t="s">
        <v>424</v>
      </c>
    </row>
    <row r="114" spans="1:6" ht="15.95" customHeight="1" x14ac:dyDescent="0.15">
      <c r="C114" t="s">
        <v>110</v>
      </c>
      <c r="D114" t="s">
        <v>330</v>
      </c>
      <c r="E114" t="s">
        <v>416</v>
      </c>
      <c r="F114" t="s">
        <v>424</v>
      </c>
    </row>
    <row r="116" spans="1:6" ht="15.95" customHeight="1" x14ac:dyDescent="0.15">
      <c r="A116" t="s">
        <v>428</v>
      </c>
      <c r="B116" t="s">
        <v>331</v>
      </c>
      <c r="C116" t="s">
        <v>113</v>
      </c>
      <c r="D116" t="s">
        <v>332</v>
      </c>
      <c r="E116" t="s">
        <v>416</v>
      </c>
      <c r="F116" t="s">
        <v>426</v>
      </c>
    </row>
    <row r="117" spans="1:6" ht="15.95" customHeight="1" x14ac:dyDescent="0.15">
      <c r="C117" t="s">
        <v>115</v>
      </c>
      <c r="D117" t="s">
        <v>333</v>
      </c>
      <c r="E117" t="s">
        <v>416</v>
      </c>
      <c r="F117" t="s">
        <v>426</v>
      </c>
    </row>
    <row r="118" spans="1:6" ht="15.95" customHeight="1" x14ac:dyDescent="0.15">
      <c r="C118" t="s">
        <v>116</v>
      </c>
      <c r="D118" t="s">
        <v>334</v>
      </c>
      <c r="E118" t="s">
        <v>416</v>
      </c>
      <c r="F118" t="s">
        <v>426</v>
      </c>
    </row>
    <row r="119" spans="1:6" ht="15.95" customHeight="1" x14ac:dyDescent="0.15">
      <c r="C119" t="s">
        <v>112</v>
      </c>
      <c r="E119" t="s">
        <v>416</v>
      </c>
      <c r="F119" t="s">
        <v>426</v>
      </c>
    </row>
    <row r="120" spans="1:6" ht="15.95" customHeight="1" x14ac:dyDescent="0.15">
      <c r="C120" t="s">
        <v>114</v>
      </c>
      <c r="E120" t="s">
        <v>416</v>
      </c>
      <c r="F120" t="s">
        <v>426</v>
      </c>
    </row>
    <row r="122" spans="1:6" ht="15.95" customHeight="1" x14ac:dyDescent="0.15">
      <c r="A122" t="s">
        <v>429</v>
      </c>
      <c r="B122" t="s">
        <v>336</v>
      </c>
      <c r="C122" t="s">
        <v>120</v>
      </c>
      <c r="D122" t="s">
        <v>337</v>
      </c>
      <c r="E122" t="s">
        <v>416</v>
      </c>
      <c r="F122" t="s">
        <v>424</v>
      </c>
    </row>
    <row r="123" spans="1:6" ht="15.95" customHeight="1" x14ac:dyDescent="0.15">
      <c r="C123" t="s">
        <v>121</v>
      </c>
      <c r="E123" t="s">
        <v>416</v>
      </c>
      <c r="F123" t="s">
        <v>424</v>
      </c>
    </row>
    <row r="124" spans="1:6" ht="15.95" customHeight="1" x14ac:dyDescent="0.15">
      <c r="C124" t="s">
        <v>122</v>
      </c>
      <c r="E124" t="s">
        <v>416</v>
      </c>
      <c r="F124" t="s">
        <v>424</v>
      </c>
    </row>
    <row r="126" spans="1:6" ht="15.95" customHeight="1" x14ac:dyDescent="0.15">
      <c r="A126" t="s">
        <v>430</v>
      </c>
      <c r="B126" t="s">
        <v>339</v>
      </c>
      <c r="C126" t="s">
        <v>338</v>
      </c>
      <c r="D126" t="s">
        <v>340</v>
      </c>
      <c r="E126" t="s">
        <v>416</v>
      </c>
      <c r="F126" t="s">
        <v>426</v>
      </c>
    </row>
    <row r="128" spans="1:6" ht="15.95" customHeight="1" x14ac:dyDescent="0.15">
      <c r="A128" t="s">
        <v>431</v>
      </c>
      <c r="B128" t="s">
        <v>341</v>
      </c>
      <c r="C128" t="s">
        <v>160</v>
      </c>
      <c r="D128" t="s">
        <v>342</v>
      </c>
      <c r="E128" t="s">
        <v>416</v>
      </c>
      <c r="F128" t="s">
        <v>424</v>
      </c>
    </row>
    <row r="129" spans="1:6" ht="15.95" customHeight="1" x14ac:dyDescent="0.15">
      <c r="C129" t="s">
        <v>161</v>
      </c>
      <c r="D129" t="s">
        <v>343</v>
      </c>
      <c r="E129" t="s">
        <v>416</v>
      </c>
      <c r="F129" t="s">
        <v>424</v>
      </c>
    </row>
    <row r="130" spans="1:6" ht="15.95" customHeight="1" x14ac:dyDescent="0.15">
      <c r="C130" t="s">
        <v>162</v>
      </c>
      <c r="D130" t="s">
        <v>344</v>
      </c>
      <c r="E130" t="s">
        <v>416</v>
      </c>
      <c r="F130" t="s">
        <v>424</v>
      </c>
    </row>
    <row r="132" spans="1:6" ht="15.95" customHeight="1" x14ac:dyDescent="0.15">
      <c r="A132" t="s">
        <v>432</v>
      </c>
      <c r="B132" t="s">
        <v>345</v>
      </c>
      <c r="C132" t="s">
        <v>23</v>
      </c>
      <c r="D132" t="s">
        <v>346</v>
      </c>
      <c r="E132" t="s">
        <v>416</v>
      </c>
      <c r="F132" t="s">
        <v>425</v>
      </c>
    </row>
    <row r="133" spans="1:6" ht="15.95" customHeight="1" x14ac:dyDescent="0.15">
      <c r="C133" t="s">
        <v>24</v>
      </c>
      <c r="D133" t="s">
        <v>347</v>
      </c>
      <c r="E133" t="s">
        <v>416</v>
      </c>
      <c r="F133" t="s">
        <v>425</v>
      </c>
    </row>
    <row r="134" spans="1:6" ht="15.95" customHeight="1" x14ac:dyDescent="0.15">
      <c r="C134" t="s">
        <v>25</v>
      </c>
      <c r="D134" t="s">
        <v>348</v>
      </c>
      <c r="E134" t="s">
        <v>416</v>
      </c>
      <c r="F134" t="s">
        <v>425</v>
      </c>
    </row>
    <row r="136" spans="1:6" ht="15.95" customHeight="1" x14ac:dyDescent="0.15">
      <c r="A136" t="s">
        <v>433</v>
      </c>
      <c r="B136" t="s">
        <v>349</v>
      </c>
      <c r="C136" t="s">
        <v>26</v>
      </c>
      <c r="D136" t="s">
        <v>350</v>
      </c>
      <c r="E136" t="s">
        <v>416</v>
      </c>
      <c r="F136" t="s">
        <v>426</v>
      </c>
    </row>
    <row r="137" spans="1:6" ht="15.95" customHeight="1" x14ac:dyDescent="0.15">
      <c r="C137" t="s">
        <v>27</v>
      </c>
      <c r="D137" t="s">
        <v>352</v>
      </c>
      <c r="E137" t="s">
        <v>416</v>
      </c>
      <c r="F137" t="s">
        <v>426</v>
      </c>
    </row>
    <row r="138" spans="1:6" ht="15.95" customHeight="1" x14ac:dyDescent="0.15">
      <c r="C138" t="s">
        <v>28</v>
      </c>
      <c r="D138" t="s">
        <v>351</v>
      </c>
      <c r="E138" t="s">
        <v>416</v>
      </c>
      <c r="F138" t="s">
        <v>426</v>
      </c>
    </row>
    <row r="140" spans="1:6" ht="15.95" customHeight="1" x14ac:dyDescent="0.15">
      <c r="A140" t="s">
        <v>431</v>
      </c>
      <c r="B140" t="s">
        <v>353</v>
      </c>
      <c r="C140" t="s">
        <v>354</v>
      </c>
      <c r="D140" t="s">
        <v>355</v>
      </c>
      <c r="E140" t="s">
        <v>416</v>
      </c>
      <c r="F140" t="s">
        <v>424</v>
      </c>
    </row>
    <row r="141" spans="1:6" ht="15.95" customHeight="1" x14ac:dyDescent="0.15">
      <c r="C141" t="s">
        <v>356</v>
      </c>
      <c r="D141" t="s">
        <v>358</v>
      </c>
      <c r="E141" t="s">
        <v>416</v>
      </c>
      <c r="F141" t="s">
        <v>424</v>
      </c>
    </row>
    <row r="142" spans="1:6" ht="15.95" customHeight="1" x14ac:dyDescent="0.15">
      <c r="C142" t="s">
        <v>357</v>
      </c>
      <c r="D142" t="s">
        <v>359</v>
      </c>
      <c r="E142" t="s">
        <v>416</v>
      </c>
      <c r="F142" t="s">
        <v>424</v>
      </c>
    </row>
    <row r="144" spans="1:6" ht="15.95" customHeight="1" x14ac:dyDescent="0.15">
      <c r="A144" t="s">
        <v>434</v>
      </c>
      <c r="B144" t="s">
        <v>366</v>
      </c>
      <c r="C144" t="s">
        <v>360</v>
      </c>
      <c r="D144" t="s">
        <v>361</v>
      </c>
      <c r="E144" t="s">
        <v>416</v>
      </c>
      <c r="F144" t="s">
        <v>424</v>
      </c>
    </row>
    <row r="145" spans="1:6" ht="15.95" customHeight="1" x14ac:dyDescent="0.15">
      <c r="C145" t="s">
        <v>33</v>
      </c>
      <c r="D145" t="s">
        <v>362</v>
      </c>
      <c r="E145" t="s">
        <v>416</v>
      </c>
      <c r="F145" t="s">
        <v>424</v>
      </c>
    </row>
    <row r="146" spans="1:6" ht="15.95" customHeight="1" x14ac:dyDescent="0.15">
      <c r="C146" t="s">
        <v>34</v>
      </c>
      <c r="D146" t="s">
        <v>363</v>
      </c>
      <c r="E146" t="s">
        <v>416</v>
      </c>
      <c r="F146" t="s">
        <v>424</v>
      </c>
    </row>
    <row r="147" spans="1:6" ht="15.95" customHeight="1" x14ac:dyDescent="0.15">
      <c r="C147" t="s">
        <v>35</v>
      </c>
      <c r="D147" t="s">
        <v>364</v>
      </c>
      <c r="E147" t="s">
        <v>416</v>
      </c>
      <c r="F147" t="s">
        <v>424</v>
      </c>
    </row>
    <row r="148" spans="1:6" ht="15.95" customHeight="1" x14ac:dyDescent="0.15">
      <c r="C148" t="s">
        <v>36</v>
      </c>
      <c r="D148" t="s">
        <v>365</v>
      </c>
      <c r="E148" t="s">
        <v>416</v>
      </c>
      <c r="F148" t="s">
        <v>424</v>
      </c>
    </row>
    <row r="150" spans="1:6" ht="15.95" customHeight="1" x14ac:dyDescent="0.15">
      <c r="A150" t="s">
        <v>435</v>
      </c>
      <c r="B150" t="s">
        <v>367</v>
      </c>
      <c r="C150" t="s">
        <v>368</v>
      </c>
      <c r="D150" t="s">
        <v>369</v>
      </c>
      <c r="E150" t="s">
        <v>416</v>
      </c>
      <c r="F150" t="s">
        <v>421</v>
      </c>
    </row>
    <row r="152" spans="1:6" ht="15.95" customHeight="1" x14ac:dyDescent="0.15">
      <c r="A152" t="s">
        <v>436</v>
      </c>
      <c r="B152" t="s">
        <v>370</v>
      </c>
      <c r="C152" t="s">
        <v>38</v>
      </c>
      <c r="D152" t="s">
        <v>371</v>
      </c>
      <c r="E152" t="s">
        <v>416</v>
      </c>
      <c r="F152" t="s">
        <v>424</v>
      </c>
    </row>
    <row r="154" spans="1:6" ht="15.95" customHeight="1" x14ac:dyDescent="0.15">
      <c r="A154" t="s">
        <v>437</v>
      </c>
      <c r="B154" t="s">
        <v>372</v>
      </c>
      <c r="C154" t="s">
        <v>373</v>
      </c>
      <c r="D154" t="s">
        <v>374</v>
      </c>
      <c r="E154" t="s">
        <v>416</v>
      </c>
      <c r="F154" t="s">
        <v>424</v>
      </c>
    </row>
    <row r="155" spans="1:6" ht="15.95" customHeight="1" x14ac:dyDescent="0.15">
      <c r="C155" t="s">
        <v>39</v>
      </c>
      <c r="D155" t="s">
        <v>375</v>
      </c>
      <c r="E155" t="s">
        <v>416</v>
      </c>
      <c r="F155" t="s">
        <v>424</v>
      </c>
    </row>
    <row r="156" spans="1:6" ht="15.95" customHeight="1" x14ac:dyDescent="0.15">
      <c r="C156" t="s">
        <v>40</v>
      </c>
      <c r="D156" t="s">
        <v>376</v>
      </c>
      <c r="E156" t="s">
        <v>416</v>
      </c>
      <c r="F156" t="s">
        <v>424</v>
      </c>
    </row>
    <row r="158" spans="1:6" ht="15.95" customHeight="1" x14ac:dyDescent="0.15">
      <c r="A158" t="s">
        <v>438</v>
      </c>
      <c r="B158" t="s">
        <v>377</v>
      </c>
      <c r="C158" t="s">
        <v>41</v>
      </c>
      <c r="D158" t="s">
        <v>378</v>
      </c>
      <c r="E158" t="s">
        <v>416</v>
      </c>
      <c r="F158" t="s">
        <v>426</v>
      </c>
    </row>
    <row r="159" spans="1:6" ht="15.95" customHeight="1" x14ac:dyDescent="0.15">
      <c r="C159" t="s">
        <v>42</v>
      </c>
      <c r="D159" t="s">
        <v>379</v>
      </c>
      <c r="E159" t="s">
        <v>416</v>
      </c>
      <c r="F159" t="s">
        <v>426</v>
      </c>
    </row>
    <row r="160" spans="1:6" ht="15.95" customHeight="1" x14ac:dyDescent="0.15">
      <c r="C160" t="s">
        <v>43</v>
      </c>
      <c r="D160" t="s">
        <v>380</v>
      </c>
      <c r="E160" t="s">
        <v>416</v>
      </c>
      <c r="F160" t="s">
        <v>426</v>
      </c>
    </row>
    <row r="161" spans="1:6" ht="15.95" customHeight="1" x14ac:dyDescent="0.15">
      <c r="C161" t="s">
        <v>44</v>
      </c>
      <c r="D161" t="s">
        <v>381</v>
      </c>
      <c r="E161" t="s">
        <v>416</v>
      </c>
      <c r="F161" t="s">
        <v>426</v>
      </c>
    </row>
    <row r="162" spans="1:6" ht="15.95" customHeight="1" x14ac:dyDescent="0.15">
      <c r="C162" t="s">
        <v>45</v>
      </c>
      <c r="D162" t="s">
        <v>382</v>
      </c>
      <c r="E162" t="s">
        <v>416</v>
      </c>
      <c r="F162" t="s">
        <v>426</v>
      </c>
    </row>
    <row r="163" spans="1:6" ht="15.95" customHeight="1" x14ac:dyDescent="0.15">
      <c r="C163" t="s">
        <v>46</v>
      </c>
      <c r="D163" t="s">
        <v>383</v>
      </c>
      <c r="E163" t="s">
        <v>416</v>
      </c>
      <c r="F163" t="s">
        <v>426</v>
      </c>
    </row>
    <row r="164" spans="1:6" ht="15.95" customHeight="1" x14ac:dyDescent="0.15">
      <c r="C164" t="s">
        <v>47</v>
      </c>
      <c r="D164" t="s">
        <v>384</v>
      </c>
      <c r="E164" t="s">
        <v>416</v>
      </c>
      <c r="F164" t="s">
        <v>426</v>
      </c>
    </row>
    <row r="165" spans="1:6" ht="15.95" customHeight="1" x14ac:dyDescent="0.15">
      <c r="C165" t="s">
        <v>48</v>
      </c>
      <c r="D165" t="s">
        <v>385</v>
      </c>
      <c r="E165" t="s">
        <v>416</v>
      </c>
      <c r="F165" t="s">
        <v>426</v>
      </c>
    </row>
    <row r="166" spans="1:6" ht="15.95" customHeight="1" x14ac:dyDescent="0.15">
      <c r="C166" t="s">
        <v>49</v>
      </c>
      <c r="F166" t="s">
        <v>426</v>
      </c>
    </row>
    <row r="167" spans="1:6" ht="15.95" customHeight="1" x14ac:dyDescent="0.15">
      <c r="C167" t="s">
        <v>50</v>
      </c>
      <c r="D167" t="s">
        <v>386</v>
      </c>
      <c r="E167" t="s">
        <v>416</v>
      </c>
      <c r="F167" t="s">
        <v>426</v>
      </c>
    </row>
    <row r="169" spans="1:6" ht="15.95" customHeight="1" x14ac:dyDescent="0.15">
      <c r="A169" t="s">
        <v>439</v>
      </c>
      <c r="B169" t="s">
        <v>387</v>
      </c>
      <c r="C169" t="s">
        <v>51</v>
      </c>
      <c r="D169" t="s">
        <v>388</v>
      </c>
      <c r="E169" t="s">
        <v>416</v>
      </c>
      <c r="F169" t="s">
        <v>424</v>
      </c>
    </row>
    <row r="170" spans="1:6" ht="15.95" customHeight="1" x14ac:dyDescent="0.15">
      <c r="C170" t="s">
        <v>52</v>
      </c>
      <c r="D170" t="s">
        <v>389</v>
      </c>
      <c r="E170" t="s">
        <v>416</v>
      </c>
      <c r="F170" t="s">
        <v>424</v>
      </c>
    </row>
    <row r="171" spans="1:6" ht="15.95" customHeight="1" x14ac:dyDescent="0.15">
      <c r="C171" t="s">
        <v>53</v>
      </c>
      <c r="D171" t="s">
        <v>390</v>
      </c>
      <c r="E171" t="s">
        <v>416</v>
      </c>
      <c r="F171" t="s">
        <v>424</v>
      </c>
    </row>
    <row r="173" spans="1:6" ht="15.95" customHeight="1" x14ac:dyDescent="0.15">
      <c r="A173" t="s">
        <v>440</v>
      </c>
      <c r="B173" t="s">
        <v>391</v>
      </c>
      <c r="C173" t="s">
        <v>54</v>
      </c>
      <c r="D173" t="s">
        <v>395</v>
      </c>
      <c r="E173" t="s">
        <v>416</v>
      </c>
      <c r="F173" t="s">
        <v>424</v>
      </c>
    </row>
    <row r="174" spans="1:6" ht="15.95" customHeight="1" x14ac:dyDescent="0.15">
      <c r="C174" t="s">
        <v>55</v>
      </c>
      <c r="D174" t="s">
        <v>393</v>
      </c>
      <c r="E174" t="s">
        <v>416</v>
      </c>
      <c r="F174" t="s">
        <v>424</v>
      </c>
    </row>
    <row r="175" spans="1:6" ht="15.95" customHeight="1" x14ac:dyDescent="0.15">
      <c r="C175" t="s">
        <v>56</v>
      </c>
      <c r="D175" t="s">
        <v>394</v>
      </c>
      <c r="E175" t="s">
        <v>416</v>
      </c>
      <c r="F175" t="s">
        <v>424</v>
      </c>
    </row>
    <row r="176" spans="1:6" ht="15.95" customHeight="1" x14ac:dyDescent="0.15">
      <c r="C176" t="s">
        <v>57</v>
      </c>
      <c r="D176" t="s">
        <v>392</v>
      </c>
      <c r="E176" t="s">
        <v>416</v>
      </c>
      <c r="F176" t="s">
        <v>424</v>
      </c>
    </row>
    <row r="177" spans="1:6" ht="15.95" customHeight="1" x14ac:dyDescent="0.15">
      <c r="C177" t="s">
        <v>58</v>
      </c>
      <c r="D177" t="s">
        <v>396</v>
      </c>
      <c r="E177" t="s">
        <v>416</v>
      </c>
      <c r="F177" t="s">
        <v>424</v>
      </c>
    </row>
    <row r="178" spans="1:6" ht="15.95" customHeight="1" x14ac:dyDescent="0.15">
      <c r="C178" t="s">
        <v>59</v>
      </c>
      <c r="D178" t="s">
        <v>397</v>
      </c>
      <c r="E178" t="s">
        <v>416</v>
      </c>
      <c r="F178" t="s">
        <v>424</v>
      </c>
    </row>
    <row r="179" spans="1:6" ht="15.95" customHeight="1" x14ac:dyDescent="0.15">
      <c r="C179" t="s">
        <v>60</v>
      </c>
      <c r="D179" t="s">
        <v>398</v>
      </c>
      <c r="E179" t="s">
        <v>416</v>
      </c>
      <c r="F179" t="s">
        <v>424</v>
      </c>
    </row>
    <row r="180" spans="1:6" ht="15.95" customHeight="1" x14ac:dyDescent="0.15">
      <c r="C180" t="s">
        <v>61</v>
      </c>
      <c r="D180" t="s">
        <v>399</v>
      </c>
      <c r="E180" t="s">
        <v>416</v>
      </c>
      <c r="F180" t="s">
        <v>424</v>
      </c>
    </row>
    <row r="181" spans="1:6" ht="15.95" customHeight="1" x14ac:dyDescent="0.15">
      <c r="C181" t="s">
        <v>62</v>
      </c>
      <c r="D181" t="s">
        <v>400</v>
      </c>
      <c r="E181" t="s">
        <v>416</v>
      </c>
      <c r="F181" t="s">
        <v>424</v>
      </c>
    </row>
    <row r="182" spans="1:6" ht="15.95" customHeight="1" x14ac:dyDescent="0.15">
      <c r="C182" t="s">
        <v>63</v>
      </c>
      <c r="D182" t="s">
        <v>401</v>
      </c>
      <c r="E182" t="s">
        <v>416</v>
      </c>
      <c r="F182" t="s">
        <v>424</v>
      </c>
    </row>
    <row r="184" spans="1:6" ht="15.95" customHeight="1" x14ac:dyDescent="0.15">
      <c r="A184" t="s">
        <v>441</v>
      </c>
      <c r="B184" t="s">
        <v>402</v>
      </c>
      <c r="C184" t="s">
        <v>64</v>
      </c>
      <c r="D184" t="s">
        <v>405</v>
      </c>
      <c r="E184" t="s">
        <v>416</v>
      </c>
      <c r="F184" t="s">
        <v>424</v>
      </c>
    </row>
    <row r="185" spans="1:6" ht="15.95" customHeight="1" x14ac:dyDescent="0.15">
      <c r="C185" t="s">
        <v>65</v>
      </c>
      <c r="D185" t="s">
        <v>403</v>
      </c>
      <c r="E185" t="s">
        <v>416</v>
      </c>
      <c r="F185" t="s">
        <v>424</v>
      </c>
    </row>
    <row r="186" spans="1:6" ht="15.95" customHeight="1" x14ac:dyDescent="0.15">
      <c r="C186" t="s">
        <v>66</v>
      </c>
      <c r="D186" t="s">
        <v>404</v>
      </c>
      <c r="E186" t="s">
        <v>416</v>
      </c>
      <c r="F186" t="s">
        <v>424</v>
      </c>
    </row>
    <row r="188" spans="1:6" ht="15.95" customHeight="1" x14ac:dyDescent="0.15">
      <c r="A188" t="s">
        <v>442</v>
      </c>
      <c r="B188" t="s">
        <v>406</v>
      </c>
      <c r="C188" t="s">
        <v>67</v>
      </c>
      <c r="D188" t="s">
        <v>407</v>
      </c>
      <c r="E188" t="s">
        <v>416</v>
      </c>
      <c r="F188" t="s">
        <v>424</v>
      </c>
    </row>
    <row r="189" spans="1:6" ht="15.95" customHeight="1" x14ac:dyDescent="0.15">
      <c r="C189" t="s">
        <v>408</v>
      </c>
      <c r="D189" t="s">
        <v>409</v>
      </c>
      <c r="E189" t="s">
        <v>416</v>
      </c>
      <c r="F189" t="s">
        <v>424</v>
      </c>
    </row>
    <row r="190" spans="1:6" ht="15.95" customHeight="1" x14ac:dyDescent="0.15">
      <c r="C190" t="s">
        <v>68</v>
      </c>
      <c r="D190" t="s">
        <v>410</v>
      </c>
      <c r="E190" t="s">
        <v>416</v>
      </c>
      <c r="F190" t="s">
        <v>424</v>
      </c>
    </row>
    <row r="192" spans="1:6" ht="15.95" customHeight="1" x14ac:dyDescent="0.15">
      <c r="A192" t="s">
        <v>443</v>
      </c>
      <c r="B192" t="s">
        <v>411</v>
      </c>
      <c r="C192" t="s">
        <v>412</v>
      </c>
      <c r="E192" t="s">
        <v>416</v>
      </c>
      <c r="F192" t="s">
        <v>424</v>
      </c>
    </row>
    <row r="193" spans="1:6" ht="15.95" customHeight="1" x14ac:dyDescent="0.15">
      <c r="C193" t="s">
        <v>413</v>
      </c>
      <c r="E193" t="s">
        <v>416</v>
      </c>
      <c r="F193" t="s">
        <v>424</v>
      </c>
    </row>
    <row r="194" spans="1:6" ht="15.95" customHeight="1" x14ac:dyDescent="0.15">
      <c r="C194" t="s">
        <v>69</v>
      </c>
      <c r="E194" t="s">
        <v>416</v>
      </c>
      <c r="F194" t="s">
        <v>424</v>
      </c>
    </row>
    <row r="195" spans="1:6" ht="15.95" customHeight="1" x14ac:dyDescent="0.15">
      <c r="C195" t="s">
        <v>70</v>
      </c>
      <c r="E195" t="s">
        <v>416</v>
      </c>
      <c r="F195" t="s">
        <v>424</v>
      </c>
    </row>
    <row r="196" spans="1:6" ht="15.95" customHeight="1" x14ac:dyDescent="0.15">
      <c r="C196" t="s">
        <v>71</v>
      </c>
      <c r="E196" t="s">
        <v>416</v>
      </c>
      <c r="F196" t="s">
        <v>424</v>
      </c>
    </row>
    <row r="197" spans="1:6" ht="15.95" customHeight="1" x14ac:dyDescent="0.15">
      <c r="C197" t="s">
        <v>72</v>
      </c>
      <c r="E197" t="s">
        <v>416</v>
      </c>
      <c r="F197" t="s">
        <v>424</v>
      </c>
    </row>
    <row r="198" spans="1:6" ht="15.95" customHeight="1" x14ac:dyDescent="0.15">
      <c r="C198" t="s">
        <v>73</v>
      </c>
      <c r="E198" t="s">
        <v>416</v>
      </c>
      <c r="F198" t="s">
        <v>424</v>
      </c>
    </row>
    <row r="199" spans="1:6" ht="15.95" customHeight="1" x14ac:dyDescent="0.15">
      <c r="C199" t="s">
        <v>74</v>
      </c>
      <c r="E199" t="s">
        <v>416</v>
      </c>
      <c r="F199" t="s">
        <v>424</v>
      </c>
    </row>
    <row r="200" spans="1:6" ht="15.95" customHeight="1" x14ac:dyDescent="0.15">
      <c r="C200" t="s">
        <v>75</v>
      </c>
      <c r="E200" t="s">
        <v>416</v>
      </c>
      <c r="F200" t="s">
        <v>424</v>
      </c>
    </row>
    <row r="201" spans="1:6" ht="15.95" customHeight="1" x14ac:dyDescent="0.15">
      <c r="C201" t="s">
        <v>76</v>
      </c>
      <c r="E201" t="s">
        <v>416</v>
      </c>
      <c r="F201" t="s">
        <v>424</v>
      </c>
    </row>
    <row r="202" spans="1:6" ht="15.95" customHeight="1" x14ac:dyDescent="0.15">
      <c r="C202" t="s">
        <v>77</v>
      </c>
      <c r="E202" t="s">
        <v>416</v>
      </c>
      <c r="F202" t="s">
        <v>424</v>
      </c>
    </row>
    <row r="204" spans="1:6" ht="15.95" customHeight="1" x14ac:dyDescent="0.15">
      <c r="A204" t="s">
        <v>420</v>
      </c>
      <c r="B204" t="s">
        <v>414</v>
      </c>
      <c r="C204" t="s">
        <v>99</v>
      </c>
      <c r="E204" t="s">
        <v>416</v>
      </c>
      <c r="F204" t="s">
        <v>421</v>
      </c>
    </row>
    <row r="205" spans="1:6" ht="15.95" customHeight="1" x14ac:dyDescent="0.15">
      <c r="C205" t="s">
        <v>29</v>
      </c>
      <c r="E205" t="s">
        <v>416</v>
      </c>
      <c r="F205" t="s">
        <v>421</v>
      </c>
    </row>
    <row r="206" spans="1:6" ht="15.95" customHeight="1" x14ac:dyDescent="0.15">
      <c r="C206" t="s">
        <v>78</v>
      </c>
      <c r="E206" t="s">
        <v>416</v>
      </c>
      <c r="F206" t="s">
        <v>421</v>
      </c>
    </row>
    <row r="207" spans="1:6" ht="15.95" customHeight="1" x14ac:dyDescent="0.15">
      <c r="C207" t="s">
        <v>79</v>
      </c>
      <c r="E207" t="s">
        <v>416</v>
      </c>
      <c r="F207" t="s">
        <v>421</v>
      </c>
    </row>
    <row r="208" spans="1:6" ht="15.95" customHeight="1" x14ac:dyDescent="0.15">
      <c r="C208" t="s">
        <v>80</v>
      </c>
      <c r="E208" t="s">
        <v>416</v>
      </c>
      <c r="F208" t="s">
        <v>421</v>
      </c>
    </row>
    <row r="209" spans="3:6" ht="15.95" customHeight="1" x14ac:dyDescent="0.15">
      <c r="C209" t="s">
        <v>81</v>
      </c>
      <c r="E209" t="s">
        <v>416</v>
      </c>
      <c r="F209" t="s">
        <v>421</v>
      </c>
    </row>
    <row r="210" spans="3:6" ht="15.95" customHeight="1" x14ac:dyDescent="0.15">
      <c r="C210" t="s">
        <v>82</v>
      </c>
      <c r="E210" t="s">
        <v>416</v>
      </c>
      <c r="F210" t="s">
        <v>421</v>
      </c>
    </row>
    <row r="211" spans="3:6" ht="15.95" customHeight="1" x14ac:dyDescent="0.15">
      <c r="C211" t="s">
        <v>83</v>
      </c>
      <c r="E211" t="s">
        <v>416</v>
      </c>
      <c r="F211" t="s">
        <v>421</v>
      </c>
    </row>
    <row r="212" spans="3:6" ht="15.95" customHeight="1" x14ac:dyDescent="0.15">
      <c r="C212" t="s">
        <v>84</v>
      </c>
      <c r="E212" t="s">
        <v>416</v>
      </c>
      <c r="F212" t="s">
        <v>421</v>
      </c>
    </row>
    <row r="213" spans="3:6" ht="15.95" customHeight="1" x14ac:dyDescent="0.15">
      <c r="C213" t="s">
        <v>85</v>
      </c>
      <c r="E213" t="s">
        <v>416</v>
      </c>
      <c r="F213" t="s">
        <v>421</v>
      </c>
    </row>
    <row r="214" spans="3:6" ht="15.95" customHeight="1" x14ac:dyDescent="0.15">
      <c r="C214" t="s">
        <v>86</v>
      </c>
      <c r="E214" t="s">
        <v>416</v>
      </c>
      <c r="F214" t="s">
        <v>421</v>
      </c>
    </row>
    <row r="215" spans="3:6" ht="15.95" customHeight="1" x14ac:dyDescent="0.15">
      <c r="C215" t="s">
        <v>87</v>
      </c>
      <c r="E215" t="s">
        <v>416</v>
      </c>
      <c r="F215" t="s">
        <v>421</v>
      </c>
    </row>
    <row r="216" spans="3:6" ht="15.95" customHeight="1" x14ac:dyDescent="0.15">
      <c r="C216" t="s">
        <v>88</v>
      </c>
      <c r="E216" t="s">
        <v>416</v>
      </c>
      <c r="F216" t="s">
        <v>421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625EA-A444-45D1-87C4-6FD4A1572111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A6A8E-48F7-4278-A628-B6DC543D3DED}">
  <sheetPr codeName="Sheet5"/>
  <dimension ref="A1:P1698"/>
  <sheetViews>
    <sheetView zoomScaleNormal="100" workbookViewId="0">
      <selection activeCell="E8" sqref="E8"/>
    </sheetView>
  </sheetViews>
  <sheetFormatPr defaultRowHeight="13.5" x14ac:dyDescent="0.15"/>
  <cols>
    <col min="1" max="1" width="12.75" bestFit="1" customWidth="1"/>
    <col min="2" max="2" width="18.375" bestFit="1" customWidth="1"/>
    <col min="3" max="3" width="37.125" bestFit="1" customWidth="1"/>
    <col min="14" max="14" width="17.25" bestFit="1" customWidth="1"/>
    <col min="15" max="15" width="5.25" bestFit="1" customWidth="1"/>
  </cols>
  <sheetData>
    <row r="1" spans="1:16" x14ac:dyDescent="0.15">
      <c r="A1" t="s">
        <v>456</v>
      </c>
      <c r="B1" t="s">
        <v>452</v>
      </c>
      <c r="C1" t="s">
        <v>453</v>
      </c>
    </row>
    <row r="2" spans="1:16" x14ac:dyDescent="0.15">
      <c r="A2" t="s">
        <v>454</v>
      </c>
      <c r="B2" t="s">
        <v>101</v>
      </c>
      <c r="C2" t="s">
        <v>457</v>
      </c>
    </row>
    <row r="3" spans="1:16" x14ac:dyDescent="0.15">
      <c r="A3" t="s">
        <v>454</v>
      </c>
      <c r="B3" t="s">
        <v>101</v>
      </c>
      <c r="C3" t="s">
        <v>458</v>
      </c>
    </row>
    <row r="4" spans="1:16" x14ac:dyDescent="0.15">
      <c r="A4" t="s">
        <v>454</v>
      </c>
      <c r="B4" t="s">
        <v>101</v>
      </c>
      <c r="C4" t="s">
        <v>459</v>
      </c>
      <c r="N4" t="s">
        <v>455</v>
      </c>
    </row>
    <row r="5" spans="1:16" x14ac:dyDescent="0.15">
      <c r="A5" t="s">
        <v>454</v>
      </c>
      <c r="B5" t="s">
        <v>101</v>
      </c>
      <c r="C5" t="s">
        <v>460</v>
      </c>
      <c r="O5" t="s">
        <v>171</v>
      </c>
      <c r="P5">
        <v>1</v>
      </c>
    </row>
    <row r="6" spans="1:16" x14ac:dyDescent="0.15">
      <c r="A6" t="s">
        <v>454</v>
      </c>
      <c r="B6" t="s">
        <v>101</v>
      </c>
      <c r="C6" t="s">
        <v>461</v>
      </c>
      <c r="O6" t="s">
        <v>181</v>
      </c>
      <c r="P6">
        <v>2</v>
      </c>
    </row>
    <row r="7" spans="1:16" x14ac:dyDescent="0.15">
      <c r="A7" t="s">
        <v>454</v>
      </c>
      <c r="B7" t="s">
        <v>101</v>
      </c>
      <c r="C7" t="s">
        <v>462</v>
      </c>
      <c r="O7" t="s">
        <v>183</v>
      </c>
      <c r="P7">
        <v>3</v>
      </c>
    </row>
    <row r="8" spans="1:16" x14ac:dyDescent="0.15">
      <c r="A8" t="s">
        <v>454</v>
      </c>
      <c r="B8" t="s">
        <v>101</v>
      </c>
      <c r="C8" t="s">
        <v>463</v>
      </c>
      <c r="O8" t="s">
        <v>296</v>
      </c>
      <c r="P8">
        <v>4</v>
      </c>
    </row>
    <row r="9" spans="1:16" x14ac:dyDescent="0.15">
      <c r="A9" t="s">
        <v>454</v>
      </c>
      <c r="B9" t="s">
        <v>101</v>
      </c>
      <c r="C9" t="s">
        <v>464</v>
      </c>
      <c r="O9" t="s">
        <v>188</v>
      </c>
      <c r="P9">
        <v>5</v>
      </c>
    </row>
    <row r="10" spans="1:16" x14ac:dyDescent="0.15">
      <c r="A10" t="s">
        <v>454</v>
      </c>
      <c r="B10" t="s">
        <v>101</v>
      </c>
      <c r="C10" t="s">
        <v>465</v>
      </c>
    </row>
    <row r="11" spans="1:16" x14ac:dyDescent="0.15">
      <c r="A11" t="s">
        <v>454</v>
      </c>
      <c r="B11" t="s">
        <v>101</v>
      </c>
      <c r="C11" t="s">
        <v>466</v>
      </c>
    </row>
    <row r="12" spans="1:16" x14ac:dyDescent="0.15">
      <c r="A12" t="s">
        <v>454</v>
      </c>
      <c r="B12" t="s">
        <v>101</v>
      </c>
      <c r="C12" t="s">
        <v>467</v>
      </c>
    </row>
    <row r="13" spans="1:16" x14ac:dyDescent="0.15">
      <c r="A13" t="s">
        <v>454</v>
      </c>
      <c r="B13" t="s">
        <v>101</v>
      </c>
      <c r="C13" t="s">
        <v>468</v>
      </c>
    </row>
    <row r="14" spans="1:16" x14ac:dyDescent="0.15">
      <c r="A14" t="s">
        <v>454</v>
      </c>
      <c r="B14" t="s">
        <v>101</v>
      </c>
      <c r="C14" t="s">
        <v>469</v>
      </c>
    </row>
    <row r="15" spans="1:16" x14ac:dyDescent="0.15">
      <c r="A15" t="s">
        <v>454</v>
      </c>
      <c r="B15" t="s">
        <v>101</v>
      </c>
      <c r="C15" t="s">
        <v>470</v>
      </c>
    </row>
    <row r="16" spans="1:16" x14ac:dyDescent="0.15">
      <c r="A16" t="s">
        <v>454</v>
      </c>
      <c r="B16" t="s">
        <v>101</v>
      </c>
      <c r="C16" t="s">
        <v>471</v>
      </c>
    </row>
    <row r="17" spans="1:3" x14ac:dyDescent="0.15">
      <c r="A17" t="s">
        <v>454</v>
      </c>
      <c r="B17" t="s">
        <v>101</v>
      </c>
      <c r="C17" t="s">
        <v>472</v>
      </c>
    </row>
    <row r="18" spans="1:3" x14ac:dyDescent="0.15">
      <c r="A18" t="s">
        <v>454</v>
      </c>
      <c r="B18" t="s">
        <v>101</v>
      </c>
      <c r="C18" t="s">
        <v>473</v>
      </c>
    </row>
    <row r="19" spans="1:3" x14ac:dyDescent="0.15">
      <c r="A19" t="s">
        <v>454</v>
      </c>
      <c r="B19" t="s">
        <v>101</v>
      </c>
      <c r="C19" t="s">
        <v>474</v>
      </c>
    </row>
    <row r="20" spans="1:3" x14ac:dyDescent="0.15">
      <c r="A20" t="s">
        <v>454</v>
      </c>
      <c r="B20" t="s">
        <v>101</v>
      </c>
      <c r="C20" t="s">
        <v>475</v>
      </c>
    </row>
    <row r="21" spans="1:3" x14ac:dyDescent="0.15">
      <c r="A21" t="s">
        <v>454</v>
      </c>
      <c r="B21" t="s">
        <v>101</v>
      </c>
      <c r="C21" t="s">
        <v>476</v>
      </c>
    </row>
    <row r="22" spans="1:3" x14ac:dyDescent="0.15">
      <c r="A22" t="s">
        <v>454</v>
      </c>
      <c r="B22" t="s">
        <v>101</v>
      </c>
      <c r="C22" t="s">
        <v>477</v>
      </c>
    </row>
    <row r="23" spans="1:3" x14ac:dyDescent="0.15">
      <c r="A23" t="s">
        <v>454</v>
      </c>
      <c r="B23" t="s">
        <v>101</v>
      </c>
      <c r="C23" t="s">
        <v>478</v>
      </c>
    </row>
    <row r="24" spans="1:3" x14ac:dyDescent="0.15">
      <c r="A24" t="s">
        <v>454</v>
      </c>
      <c r="B24" t="s">
        <v>101</v>
      </c>
      <c r="C24" t="s">
        <v>479</v>
      </c>
    </row>
    <row r="25" spans="1:3" x14ac:dyDescent="0.15">
      <c r="A25" t="s">
        <v>454</v>
      </c>
      <c r="B25" t="s">
        <v>101</v>
      </c>
      <c r="C25" t="s">
        <v>480</v>
      </c>
    </row>
    <row r="26" spans="1:3" x14ac:dyDescent="0.15">
      <c r="A26" t="s">
        <v>454</v>
      </c>
      <c r="B26" t="s">
        <v>101</v>
      </c>
      <c r="C26" t="s">
        <v>481</v>
      </c>
    </row>
    <row r="27" spans="1:3" x14ac:dyDescent="0.15">
      <c r="A27" t="s">
        <v>454</v>
      </c>
      <c r="B27" t="s">
        <v>101</v>
      </c>
      <c r="C27" t="s">
        <v>482</v>
      </c>
    </row>
    <row r="28" spans="1:3" x14ac:dyDescent="0.15">
      <c r="A28" t="s">
        <v>454</v>
      </c>
      <c r="B28" t="s">
        <v>101</v>
      </c>
      <c r="C28" t="s">
        <v>483</v>
      </c>
    </row>
    <row r="29" spans="1:3" x14ac:dyDescent="0.15">
      <c r="A29" t="s">
        <v>454</v>
      </c>
      <c r="B29" t="s">
        <v>101</v>
      </c>
      <c r="C29" t="s">
        <v>484</v>
      </c>
    </row>
    <row r="30" spans="1:3" x14ac:dyDescent="0.15">
      <c r="A30" t="s">
        <v>454</v>
      </c>
      <c r="B30" t="s">
        <v>101</v>
      </c>
      <c r="C30" t="s">
        <v>485</v>
      </c>
    </row>
    <row r="31" spans="1:3" x14ac:dyDescent="0.15">
      <c r="A31" t="s">
        <v>454</v>
      </c>
      <c r="B31" t="s">
        <v>101</v>
      </c>
      <c r="C31" t="s">
        <v>486</v>
      </c>
    </row>
    <row r="32" spans="1:3" x14ac:dyDescent="0.15">
      <c r="A32" t="s">
        <v>454</v>
      </c>
      <c r="B32" t="s">
        <v>101</v>
      </c>
      <c r="C32" t="s">
        <v>487</v>
      </c>
    </row>
    <row r="33" spans="1:3" x14ac:dyDescent="0.15">
      <c r="A33" t="s">
        <v>454</v>
      </c>
      <c r="B33" t="s">
        <v>101</v>
      </c>
      <c r="C33" t="s">
        <v>488</v>
      </c>
    </row>
    <row r="34" spans="1:3" x14ac:dyDescent="0.15">
      <c r="A34" t="s">
        <v>454</v>
      </c>
      <c r="B34" t="s">
        <v>101</v>
      </c>
      <c r="C34" t="s">
        <v>489</v>
      </c>
    </row>
    <row r="35" spans="1:3" x14ac:dyDescent="0.15">
      <c r="A35" t="s">
        <v>454</v>
      </c>
      <c r="B35" t="s">
        <v>101</v>
      </c>
      <c r="C35" t="s">
        <v>490</v>
      </c>
    </row>
    <row r="36" spans="1:3" x14ac:dyDescent="0.15">
      <c r="A36" t="s">
        <v>454</v>
      </c>
      <c r="B36" t="s">
        <v>101</v>
      </c>
      <c r="C36" t="s">
        <v>491</v>
      </c>
    </row>
    <row r="37" spans="1:3" x14ac:dyDescent="0.15">
      <c r="A37" t="s">
        <v>454</v>
      </c>
      <c r="B37" t="s">
        <v>101</v>
      </c>
      <c r="C37" t="s">
        <v>492</v>
      </c>
    </row>
    <row r="38" spans="1:3" x14ac:dyDescent="0.15">
      <c r="A38" t="s">
        <v>454</v>
      </c>
      <c r="B38" t="s">
        <v>101</v>
      </c>
      <c r="C38" t="s">
        <v>493</v>
      </c>
    </row>
    <row r="39" spans="1:3" x14ac:dyDescent="0.15">
      <c r="A39" t="s">
        <v>454</v>
      </c>
      <c r="B39" t="s">
        <v>101</v>
      </c>
      <c r="C39" t="s">
        <v>494</v>
      </c>
    </row>
    <row r="40" spans="1:3" x14ac:dyDescent="0.15">
      <c r="A40" t="s">
        <v>454</v>
      </c>
      <c r="B40" t="s">
        <v>101</v>
      </c>
      <c r="C40" t="s">
        <v>495</v>
      </c>
    </row>
    <row r="41" spans="1:3" x14ac:dyDescent="0.15">
      <c r="A41" t="s">
        <v>454</v>
      </c>
      <c r="B41" t="s">
        <v>101</v>
      </c>
      <c r="C41" t="s">
        <v>496</v>
      </c>
    </row>
    <row r="42" spans="1:3" x14ac:dyDescent="0.15">
      <c r="A42" t="s">
        <v>454</v>
      </c>
      <c r="B42" t="s">
        <v>101</v>
      </c>
      <c r="C42" t="s">
        <v>497</v>
      </c>
    </row>
    <row r="43" spans="1:3" x14ac:dyDescent="0.15">
      <c r="A43" t="s">
        <v>454</v>
      </c>
      <c r="B43" t="s">
        <v>101</v>
      </c>
      <c r="C43" t="s">
        <v>498</v>
      </c>
    </row>
    <row r="44" spans="1:3" x14ac:dyDescent="0.15">
      <c r="A44" t="s">
        <v>454</v>
      </c>
      <c r="B44" t="s">
        <v>101</v>
      </c>
      <c r="C44" t="s">
        <v>499</v>
      </c>
    </row>
    <row r="45" spans="1:3" x14ac:dyDescent="0.15">
      <c r="A45" t="s">
        <v>454</v>
      </c>
      <c r="B45" t="s">
        <v>101</v>
      </c>
      <c r="C45" t="s">
        <v>500</v>
      </c>
    </row>
    <row r="46" spans="1:3" x14ac:dyDescent="0.15">
      <c r="A46" t="s">
        <v>454</v>
      </c>
      <c r="B46" t="s">
        <v>101</v>
      </c>
      <c r="C46" t="s">
        <v>501</v>
      </c>
    </row>
    <row r="47" spans="1:3" x14ac:dyDescent="0.15">
      <c r="A47" t="s">
        <v>454</v>
      </c>
      <c r="B47" t="s">
        <v>101</v>
      </c>
      <c r="C47" t="s">
        <v>502</v>
      </c>
    </row>
    <row r="48" spans="1:3" x14ac:dyDescent="0.15">
      <c r="A48" t="s">
        <v>454</v>
      </c>
      <c r="B48" t="s">
        <v>101</v>
      </c>
      <c r="C48" t="s">
        <v>503</v>
      </c>
    </row>
    <row r="49" spans="1:3" x14ac:dyDescent="0.15">
      <c r="A49" t="s">
        <v>454</v>
      </c>
      <c r="B49" t="s">
        <v>101</v>
      </c>
      <c r="C49" t="s">
        <v>504</v>
      </c>
    </row>
    <row r="50" spans="1:3" x14ac:dyDescent="0.15">
      <c r="A50" t="s">
        <v>454</v>
      </c>
      <c r="B50" t="s">
        <v>101</v>
      </c>
      <c r="C50" t="s">
        <v>505</v>
      </c>
    </row>
    <row r="51" spans="1:3" x14ac:dyDescent="0.15">
      <c r="A51" t="s">
        <v>454</v>
      </c>
      <c r="B51" t="s">
        <v>101</v>
      </c>
      <c r="C51" t="s">
        <v>506</v>
      </c>
    </row>
    <row r="52" spans="1:3" x14ac:dyDescent="0.15">
      <c r="A52" t="s">
        <v>454</v>
      </c>
      <c r="B52" t="s">
        <v>101</v>
      </c>
      <c r="C52" t="s">
        <v>507</v>
      </c>
    </row>
    <row r="53" spans="1:3" x14ac:dyDescent="0.15">
      <c r="A53" t="s">
        <v>454</v>
      </c>
      <c r="B53" t="s">
        <v>101</v>
      </c>
      <c r="C53" t="s">
        <v>508</v>
      </c>
    </row>
    <row r="54" spans="1:3" x14ac:dyDescent="0.15">
      <c r="A54" t="s">
        <v>454</v>
      </c>
      <c r="B54" t="s">
        <v>101</v>
      </c>
      <c r="C54" t="s">
        <v>509</v>
      </c>
    </row>
    <row r="55" spans="1:3" x14ac:dyDescent="0.15">
      <c r="A55" t="s">
        <v>454</v>
      </c>
      <c r="B55" t="s">
        <v>101</v>
      </c>
      <c r="C55" t="s">
        <v>510</v>
      </c>
    </row>
    <row r="56" spans="1:3" x14ac:dyDescent="0.15">
      <c r="A56" t="s">
        <v>454</v>
      </c>
      <c r="B56" t="s">
        <v>101</v>
      </c>
      <c r="C56" t="s">
        <v>511</v>
      </c>
    </row>
    <row r="57" spans="1:3" x14ac:dyDescent="0.15">
      <c r="A57" t="s">
        <v>454</v>
      </c>
      <c r="B57" t="s">
        <v>101</v>
      </c>
      <c r="C57" t="s">
        <v>512</v>
      </c>
    </row>
    <row r="58" spans="1:3" x14ac:dyDescent="0.15">
      <c r="A58" t="s">
        <v>454</v>
      </c>
      <c r="B58" t="s">
        <v>101</v>
      </c>
      <c r="C58" t="s">
        <v>513</v>
      </c>
    </row>
    <row r="59" spans="1:3" x14ac:dyDescent="0.15">
      <c r="A59" t="s">
        <v>454</v>
      </c>
      <c r="B59" t="s">
        <v>101</v>
      </c>
      <c r="C59" t="s">
        <v>514</v>
      </c>
    </row>
    <row r="60" spans="1:3" x14ac:dyDescent="0.15">
      <c r="A60" t="s">
        <v>454</v>
      </c>
      <c r="B60" t="s">
        <v>101</v>
      </c>
      <c r="C60" t="s">
        <v>515</v>
      </c>
    </row>
    <row r="61" spans="1:3" x14ac:dyDescent="0.15">
      <c r="A61" t="s">
        <v>454</v>
      </c>
      <c r="B61" t="s">
        <v>101</v>
      </c>
      <c r="C61" t="s">
        <v>516</v>
      </c>
    </row>
    <row r="62" spans="1:3" x14ac:dyDescent="0.15">
      <c r="A62" t="s">
        <v>454</v>
      </c>
      <c r="B62" t="s">
        <v>101</v>
      </c>
      <c r="C62" t="s">
        <v>517</v>
      </c>
    </row>
    <row r="63" spans="1:3" x14ac:dyDescent="0.15">
      <c r="A63" t="s">
        <v>454</v>
      </c>
      <c r="B63" t="s">
        <v>101</v>
      </c>
      <c r="C63" t="s">
        <v>518</v>
      </c>
    </row>
    <row r="64" spans="1:3" x14ac:dyDescent="0.15">
      <c r="A64" t="s">
        <v>454</v>
      </c>
      <c r="B64" t="s">
        <v>101</v>
      </c>
      <c r="C64" t="s">
        <v>519</v>
      </c>
    </row>
    <row r="65" spans="1:3" x14ac:dyDescent="0.15">
      <c r="A65" t="s">
        <v>454</v>
      </c>
      <c r="B65" t="s">
        <v>101</v>
      </c>
      <c r="C65" t="s">
        <v>520</v>
      </c>
    </row>
    <row r="66" spans="1:3" x14ac:dyDescent="0.15">
      <c r="A66" t="s">
        <v>454</v>
      </c>
      <c r="B66" t="s">
        <v>101</v>
      </c>
      <c r="C66" t="s">
        <v>521</v>
      </c>
    </row>
    <row r="67" spans="1:3" x14ac:dyDescent="0.15">
      <c r="A67" t="s">
        <v>454</v>
      </c>
      <c r="B67" t="s">
        <v>101</v>
      </c>
      <c r="C67" t="s">
        <v>522</v>
      </c>
    </row>
    <row r="68" spans="1:3" x14ac:dyDescent="0.15">
      <c r="A68" t="s">
        <v>454</v>
      </c>
      <c r="B68" t="s">
        <v>101</v>
      </c>
      <c r="C68" t="s">
        <v>523</v>
      </c>
    </row>
    <row r="69" spans="1:3" x14ac:dyDescent="0.15">
      <c r="A69" t="s">
        <v>454</v>
      </c>
      <c r="B69" t="s">
        <v>101</v>
      </c>
      <c r="C69" t="s">
        <v>524</v>
      </c>
    </row>
    <row r="70" spans="1:3" x14ac:dyDescent="0.15">
      <c r="A70" t="s">
        <v>454</v>
      </c>
      <c r="B70" t="s">
        <v>101</v>
      </c>
      <c r="C70" t="s">
        <v>525</v>
      </c>
    </row>
    <row r="71" spans="1:3" x14ac:dyDescent="0.15">
      <c r="A71" t="s">
        <v>454</v>
      </c>
      <c r="B71" t="s">
        <v>101</v>
      </c>
      <c r="C71" t="s">
        <v>526</v>
      </c>
    </row>
    <row r="72" spans="1:3" x14ac:dyDescent="0.15">
      <c r="A72" t="s">
        <v>454</v>
      </c>
      <c r="B72" t="s">
        <v>101</v>
      </c>
      <c r="C72" t="s">
        <v>527</v>
      </c>
    </row>
    <row r="73" spans="1:3" x14ac:dyDescent="0.15">
      <c r="A73" t="s">
        <v>454</v>
      </c>
      <c r="B73" t="s">
        <v>101</v>
      </c>
      <c r="C73" t="s">
        <v>528</v>
      </c>
    </row>
    <row r="74" spans="1:3" x14ac:dyDescent="0.15">
      <c r="A74" t="s">
        <v>454</v>
      </c>
      <c r="B74" t="s">
        <v>101</v>
      </c>
      <c r="C74" t="s">
        <v>529</v>
      </c>
    </row>
    <row r="75" spans="1:3" x14ac:dyDescent="0.15">
      <c r="A75" t="s">
        <v>454</v>
      </c>
      <c r="B75" t="s">
        <v>101</v>
      </c>
      <c r="C75" t="s">
        <v>530</v>
      </c>
    </row>
    <row r="76" spans="1:3" x14ac:dyDescent="0.15">
      <c r="A76" t="s">
        <v>454</v>
      </c>
      <c r="B76" t="s">
        <v>101</v>
      </c>
      <c r="C76" t="s">
        <v>531</v>
      </c>
    </row>
    <row r="77" spans="1:3" x14ac:dyDescent="0.15">
      <c r="A77" t="s">
        <v>454</v>
      </c>
      <c r="B77" t="s">
        <v>101</v>
      </c>
      <c r="C77" t="s">
        <v>532</v>
      </c>
    </row>
    <row r="78" spans="1:3" x14ac:dyDescent="0.15">
      <c r="A78" t="s">
        <v>454</v>
      </c>
      <c r="B78" t="s">
        <v>101</v>
      </c>
      <c r="C78" t="s">
        <v>533</v>
      </c>
    </row>
    <row r="79" spans="1:3" x14ac:dyDescent="0.15">
      <c r="A79" t="s">
        <v>454</v>
      </c>
      <c r="B79" t="s">
        <v>101</v>
      </c>
      <c r="C79" t="s">
        <v>534</v>
      </c>
    </row>
    <row r="80" spans="1:3" x14ac:dyDescent="0.15">
      <c r="A80" t="s">
        <v>454</v>
      </c>
      <c r="B80" t="s">
        <v>101</v>
      </c>
      <c r="C80" t="s">
        <v>535</v>
      </c>
    </row>
    <row r="81" spans="1:3" x14ac:dyDescent="0.15">
      <c r="A81" t="s">
        <v>454</v>
      </c>
      <c r="B81" t="s">
        <v>101</v>
      </c>
      <c r="C81" t="s">
        <v>536</v>
      </c>
    </row>
    <row r="82" spans="1:3" x14ac:dyDescent="0.15">
      <c r="A82" t="s">
        <v>454</v>
      </c>
      <c r="B82" t="s">
        <v>101</v>
      </c>
      <c r="C82" t="s">
        <v>537</v>
      </c>
    </row>
    <row r="83" spans="1:3" x14ac:dyDescent="0.15">
      <c r="A83" t="s">
        <v>454</v>
      </c>
      <c r="B83" t="s">
        <v>101</v>
      </c>
      <c r="C83" t="s">
        <v>538</v>
      </c>
    </row>
    <row r="84" spans="1:3" x14ac:dyDescent="0.15">
      <c r="A84" t="s">
        <v>454</v>
      </c>
      <c r="B84" t="s">
        <v>101</v>
      </c>
      <c r="C84" t="s">
        <v>539</v>
      </c>
    </row>
    <row r="85" spans="1:3" x14ac:dyDescent="0.15">
      <c r="A85" t="s">
        <v>454</v>
      </c>
      <c r="B85" t="s">
        <v>101</v>
      </c>
      <c r="C85" t="s">
        <v>540</v>
      </c>
    </row>
    <row r="86" spans="1:3" x14ac:dyDescent="0.15">
      <c r="A86" t="s">
        <v>454</v>
      </c>
      <c r="B86" t="s">
        <v>101</v>
      </c>
      <c r="C86" t="s">
        <v>541</v>
      </c>
    </row>
    <row r="87" spans="1:3" x14ac:dyDescent="0.15">
      <c r="A87" t="s">
        <v>454</v>
      </c>
      <c r="B87" t="s">
        <v>101</v>
      </c>
      <c r="C87" t="s">
        <v>542</v>
      </c>
    </row>
    <row r="88" spans="1:3" x14ac:dyDescent="0.15">
      <c r="A88" t="s">
        <v>454</v>
      </c>
      <c r="B88" t="s">
        <v>101</v>
      </c>
      <c r="C88" t="s">
        <v>543</v>
      </c>
    </row>
    <row r="89" spans="1:3" x14ac:dyDescent="0.15">
      <c r="A89" t="s">
        <v>454</v>
      </c>
      <c r="B89" t="s">
        <v>101</v>
      </c>
      <c r="C89" t="s">
        <v>544</v>
      </c>
    </row>
    <row r="90" spans="1:3" x14ac:dyDescent="0.15">
      <c r="A90" t="s">
        <v>454</v>
      </c>
      <c r="B90" t="s">
        <v>101</v>
      </c>
      <c r="C90" t="s">
        <v>545</v>
      </c>
    </row>
    <row r="91" spans="1:3" x14ac:dyDescent="0.15">
      <c r="A91" t="s">
        <v>454</v>
      </c>
      <c r="B91" t="s">
        <v>101</v>
      </c>
      <c r="C91" t="s">
        <v>546</v>
      </c>
    </row>
    <row r="92" spans="1:3" x14ac:dyDescent="0.15">
      <c r="A92" t="s">
        <v>454</v>
      </c>
      <c r="B92" t="s">
        <v>101</v>
      </c>
      <c r="C92" t="s">
        <v>547</v>
      </c>
    </row>
    <row r="93" spans="1:3" x14ac:dyDescent="0.15">
      <c r="A93" t="s">
        <v>454</v>
      </c>
      <c r="B93" t="s">
        <v>101</v>
      </c>
      <c r="C93" t="s">
        <v>548</v>
      </c>
    </row>
    <row r="94" spans="1:3" x14ac:dyDescent="0.15">
      <c r="A94" t="s">
        <v>454</v>
      </c>
      <c r="B94" t="s">
        <v>101</v>
      </c>
      <c r="C94" t="s">
        <v>549</v>
      </c>
    </row>
    <row r="95" spans="1:3" x14ac:dyDescent="0.15">
      <c r="A95" t="s">
        <v>454</v>
      </c>
      <c r="B95" t="s">
        <v>101</v>
      </c>
      <c r="C95" t="s">
        <v>550</v>
      </c>
    </row>
    <row r="96" spans="1:3" x14ac:dyDescent="0.15">
      <c r="A96" t="s">
        <v>454</v>
      </c>
      <c r="B96" t="s">
        <v>101</v>
      </c>
      <c r="C96" t="s">
        <v>551</v>
      </c>
    </row>
    <row r="97" spans="1:3" x14ac:dyDescent="0.15">
      <c r="A97" t="s">
        <v>454</v>
      </c>
      <c r="B97" t="s">
        <v>101</v>
      </c>
      <c r="C97" t="s">
        <v>552</v>
      </c>
    </row>
    <row r="98" spans="1:3" x14ac:dyDescent="0.15">
      <c r="A98" t="s">
        <v>454</v>
      </c>
      <c r="B98" t="s">
        <v>101</v>
      </c>
      <c r="C98" t="s">
        <v>553</v>
      </c>
    </row>
    <row r="99" spans="1:3" x14ac:dyDescent="0.15">
      <c r="A99" t="s">
        <v>454</v>
      </c>
      <c r="B99" t="s">
        <v>101</v>
      </c>
      <c r="C99" t="s">
        <v>554</v>
      </c>
    </row>
    <row r="100" spans="1:3" x14ac:dyDescent="0.15">
      <c r="A100" t="s">
        <v>454</v>
      </c>
      <c r="B100" t="s">
        <v>101</v>
      </c>
      <c r="C100" t="s">
        <v>555</v>
      </c>
    </row>
    <row r="101" spans="1:3" x14ac:dyDescent="0.15">
      <c r="A101" t="s">
        <v>454</v>
      </c>
      <c r="B101" t="s">
        <v>101</v>
      </c>
      <c r="C101" t="s">
        <v>556</v>
      </c>
    </row>
    <row r="102" spans="1:3" x14ac:dyDescent="0.15">
      <c r="A102" t="s">
        <v>454</v>
      </c>
      <c r="B102" t="s">
        <v>101</v>
      </c>
      <c r="C102" t="s">
        <v>557</v>
      </c>
    </row>
    <row r="103" spans="1:3" x14ac:dyDescent="0.15">
      <c r="A103" t="s">
        <v>454</v>
      </c>
      <c r="B103" t="s">
        <v>101</v>
      </c>
      <c r="C103" t="s">
        <v>558</v>
      </c>
    </row>
    <row r="104" spans="1:3" x14ac:dyDescent="0.15">
      <c r="A104" t="s">
        <v>454</v>
      </c>
      <c r="B104" t="s">
        <v>101</v>
      </c>
      <c r="C104" t="s">
        <v>559</v>
      </c>
    </row>
    <row r="105" spans="1:3" x14ac:dyDescent="0.15">
      <c r="A105" t="s">
        <v>454</v>
      </c>
      <c r="B105" t="s">
        <v>101</v>
      </c>
      <c r="C105" t="s">
        <v>560</v>
      </c>
    </row>
    <row r="106" spans="1:3" x14ac:dyDescent="0.15">
      <c r="A106" t="s">
        <v>454</v>
      </c>
      <c r="B106" t="s">
        <v>101</v>
      </c>
      <c r="C106" t="s">
        <v>561</v>
      </c>
    </row>
    <row r="107" spans="1:3" x14ac:dyDescent="0.15">
      <c r="A107" t="s">
        <v>454</v>
      </c>
      <c r="B107" t="s">
        <v>101</v>
      </c>
      <c r="C107" t="s">
        <v>562</v>
      </c>
    </row>
    <row r="108" spans="1:3" x14ac:dyDescent="0.15">
      <c r="A108" t="s">
        <v>454</v>
      </c>
      <c r="B108" t="s">
        <v>101</v>
      </c>
      <c r="C108" t="s">
        <v>563</v>
      </c>
    </row>
    <row r="109" spans="1:3" x14ac:dyDescent="0.15">
      <c r="A109" t="s">
        <v>454</v>
      </c>
      <c r="B109" t="s">
        <v>101</v>
      </c>
      <c r="C109" t="s">
        <v>564</v>
      </c>
    </row>
    <row r="110" spans="1:3" x14ac:dyDescent="0.15">
      <c r="A110" t="s">
        <v>454</v>
      </c>
      <c r="B110" t="s">
        <v>101</v>
      </c>
      <c r="C110" t="s">
        <v>565</v>
      </c>
    </row>
    <row r="111" spans="1:3" x14ac:dyDescent="0.15">
      <c r="A111" t="s">
        <v>454</v>
      </c>
      <c r="B111" t="s">
        <v>101</v>
      </c>
      <c r="C111" t="s">
        <v>566</v>
      </c>
    </row>
    <row r="112" spans="1:3" x14ac:dyDescent="0.15">
      <c r="A112" t="s">
        <v>454</v>
      </c>
      <c r="B112" t="s">
        <v>101</v>
      </c>
      <c r="C112" t="s">
        <v>567</v>
      </c>
    </row>
    <row r="113" spans="1:3" x14ac:dyDescent="0.15">
      <c r="A113" t="s">
        <v>454</v>
      </c>
      <c r="B113" t="s">
        <v>101</v>
      </c>
      <c r="C113" t="s">
        <v>568</v>
      </c>
    </row>
    <row r="114" spans="1:3" x14ac:dyDescent="0.15">
      <c r="A114" t="s">
        <v>454</v>
      </c>
      <c r="B114" t="s">
        <v>101</v>
      </c>
      <c r="C114" t="s">
        <v>569</v>
      </c>
    </row>
    <row r="115" spans="1:3" x14ac:dyDescent="0.15">
      <c r="A115" t="s">
        <v>454</v>
      </c>
      <c r="B115" t="s">
        <v>101</v>
      </c>
      <c r="C115" t="s">
        <v>570</v>
      </c>
    </row>
    <row r="116" spans="1:3" x14ac:dyDescent="0.15">
      <c r="A116" t="s">
        <v>454</v>
      </c>
      <c r="B116" t="s">
        <v>101</v>
      </c>
      <c r="C116" t="s">
        <v>571</v>
      </c>
    </row>
    <row r="117" spans="1:3" x14ac:dyDescent="0.15">
      <c r="A117" t="s">
        <v>454</v>
      </c>
      <c r="B117" t="s">
        <v>101</v>
      </c>
      <c r="C117" t="s">
        <v>572</v>
      </c>
    </row>
    <row r="118" spans="1:3" x14ac:dyDescent="0.15">
      <c r="A118" t="s">
        <v>454</v>
      </c>
      <c r="B118" t="s">
        <v>101</v>
      </c>
      <c r="C118" t="s">
        <v>573</v>
      </c>
    </row>
    <row r="119" spans="1:3" x14ac:dyDescent="0.15">
      <c r="A119" t="s">
        <v>454</v>
      </c>
      <c r="B119" t="s">
        <v>101</v>
      </c>
      <c r="C119" t="s">
        <v>574</v>
      </c>
    </row>
    <row r="120" spans="1:3" x14ac:dyDescent="0.15">
      <c r="A120" t="s">
        <v>454</v>
      </c>
      <c r="B120" t="s">
        <v>101</v>
      </c>
      <c r="C120" t="s">
        <v>575</v>
      </c>
    </row>
    <row r="121" spans="1:3" x14ac:dyDescent="0.15">
      <c r="A121" t="s">
        <v>454</v>
      </c>
      <c r="B121" t="s">
        <v>101</v>
      </c>
      <c r="C121" t="s">
        <v>576</v>
      </c>
    </row>
    <row r="122" spans="1:3" x14ac:dyDescent="0.15">
      <c r="A122" t="s">
        <v>454</v>
      </c>
      <c r="B122" t="s">
        <v>101</v>
      </c>
      <c r="C122" t="s">
        <v>577</v>
      </c>
    </row>
    <row r="123" spans="1:3" x14ac:dyDescent="0.15">
      <c r="A123" t="s">
        <v>454</v>
      </c>
      <c r="B123" t="s">
        <v>101</v>
      </c>
      <c r="C123" t="s">
        <v>578</v>
      </c>
    </row>
    <row r="124" spans="1:3" x14ac:dyDescent="0.15">
      <c r="A124" t="s">
        <v>454</v>
      </c>
      <c r="B124" t="s">
        <v>101</v>
      </c>
      <c r="C124" t="s">
        <v>579</v>
      </c>
    </row>
    <row r="125" spans="1:3" x14ac:dyDescent="0.15">
      <c r="A125" t="s">
        <v>454</v>
      </c>
      <c r="B125" t="s">
        <v>101</v>
      </c>
      <c r="C125" t="s">
        <v>580</v>
      </c>
    </row>
    <row r="126" spans="1:3" x14ac:dyDescent="0.15">
      <c r="A126" t="s">
        <v>454</v>
      </c>
      <c r="B126" t="s">
        <v>101</v>
      </c>
      <c r="C126" t="s">
        <v>581</v>
      </c>
    </row>
    <row r="127" spans="1:3" x14ac:dyDescent="0.15">
      <c r="A127" t="s">
        <v>454</v>
      </c>
      <c r="B127" t="s">
        <v>101</v>
      </c>
      <c r="C127" t="s">
        <v>582</v>
      </c>
    </row>
    <row r="128" spans="1:3" x14ac:dyDescent="0.15">
      <c r="A128" t="s">
        <v>454</v>
      </c>
      <c r="B128" t="s">
        <v>101</v>
      </c>
      <c r="C128" t="s">
        <v>583</v>
      </c>
    </row>
    <row r="129" spans="1:3" x14ac:dyDescent="0.15">
      <c r="A129" t="s">
        <v>454</v>
      </c>
      <c r="B129" t="s">
        <v>101</v>
      </c>
      <c r="C129" t="s">
        <v>584</v>
      </c>
    </row>
    <row r="130" spans="1:3" x14ac:dyDescent="0.15">
      <c r="A130" t="s">
        <v>454</v>
      </c>
      <c r="B130" t="s">
        <v>101</v>
      </c>
      <c r="C130" t="s">
        <v>585</v>
      </c>
    </row>
    <row r="131" spans="1:3" x14ac:dyDescent="0.15">
      <c r="A131" t="s">
        <v>454</v>
      </c>
      <c r="B131" t="s">
        <v>101</v>
      </c>
      <c r="C131" t="s">
        <v>586</v>
      </c>
    </row>
    <row r="132" spans="1:3" x14ac:dyDescent="0.15">
      <c r="A132" t="s">
        <v>454</v>
      </c>
      <c r="B132" t="s">
        <v>101</v>
      </c>
      <c r="C132" t="s">
        <v>587</v>
      </c>
    </row>
    <row r="133" spans="1:3" x14ac:dyDescent="0.15">
      <c r="A133" t="s">
        <v>454</v>
      </c>
      <c r="B133" t="s">
        <v>101</v>
      </c>
      <c r="C133" t="s">
        <v>588</v>
      </c>
    </row>
    <row r="134" spans="1:3" x14ac:dyDescent="0.15">
      <c r="A134" t="s">
        <v>454</v>
      </c>
      <c r="B134" t="s">
        <v>101</v>
      </c>
      <c r="C134" t="s">
        <v>589</v>
      </c>
    </row>
    <row r="135" spans="1:3" x14ac:dyDescent="0.15">
      <c r="A135" t="s">
        <v>454</v>
      </c>
      <c r="B135" t="s">
        <v>101</v>
      </c>
      <c r="C135" t="s">
        <v>590</v>
      </c>
    </row>
    <row r="136" spans="1:3" x14ac:dyDescent="0.15">
      <c r="A136" t="s">
        <v>454</v>
      </c>
      <c r="B136" t="s">
        <v>101</v>
      </c>
      <c r="C136" t="s">
        <v>591</v>
      </c>
    </row>
    <row r="137" spans="1:3" x14ac:dyDescent="0.15">
      <c r="A137" t="s">
        <v>454</v>
      </c>
      <c r="B137" t="s">
        <v>101</v>
      </c>
      <c r="C137" t="s">
        <v>592</v>
      </c>
    </row>
    <row r="138" spans="1:3" x14ac:dyDescent="0.15">
      <c r="A138" t="s">
        <v>454</v>
      </c>
      <c r="B138" t="s">
        <v>101</v>
      </c>
      <c r="C138" t="s">
        <v>593</v>
      </c>
    </row>
    <row r="139" spans="1:3" x14ac:dyDescent="0.15">
      <c r="A139" t="s">
        <v>454</v>
      </c>
      <c r="B139" t="s">
        <v>101</v>
      </c>
      <c r="C139" t="s">
        <v>594</v>
      </c>
    </row>
    <row r="140" spans="1:3" x14ac:dyDescent="0.15">
      <c r="A140" t="s">
        <v>454</v>
      </c>
      <c r="B140" t="s">
        <v>101</v>
      </c>
      <c r="C140" t="s">
        <v>595</v>
      </c>
    </row>
    <row r="141" spans="1:3" x14ac:dyDescent="0.15">
      <c r="A141" t="s">
        <v>454</v>
      </c>
      <c r="B141" t="s">
        <v>101</v>
      </c>
      <c r="C141" t="s">
        <v>596</v>
      </c>
    </row>
    <row r="142" spans="1:3" x14ac:dyDescent="0.15">
      <c r="A142" t="s">
        <v>454</v>
      </c>
      <c r="B142" t="s">
        <v>101</v>
      </c>
      <c r="C142" t="s">
        <v>597</v>
      </c>
    </row>
    <row r="143" spans="1:3" x14ac:dyDescent="0.15">
      <c r="A143" t="s">
        <v>454</v>
      </c>
      <c r="B143" t="s">
        <v>101</v>
      </c>
      <c r="C143" t="s">
        <v>598</v>
      </c>
    </row>
    <row r="144" spans="1:3" x14ac:dyDescent="0.15">
      <c r="A144" t="s">
        <v>454</v>
      </c>
      <c r="B144" t="s">
        <v>101</v>
      </c>
      <c r="C144" t="s">
        <v>599</v>
      </c>
    </row>
    <row r="145" spans="1:3" x14ac:dyDescent="0.15">
      <c r="A145" t="s">
        <v>454</v>
      </c>
      <c r="B145" t="s">
        <v>101</v>
      </c>
      <c r="C145" t="s">
        <v>600</v>
      </c>
    </row>
    <row r="146" spans="1:3" x14ac:dyDescent="0.15">
      <c r="A146" t="s">
        <v>454</v>
      </c>
      <c r="B146" t="s">
        <v>101</v>
      </c>
      <c r="C146" t="s">
        <v>601</v>
      </c>
    </row>
    <row r="147" spans="1:3" x14ac:dyDescent="0.15">
      <c r="A147" t="s">
        <v>454</v>
      </c>
      <c r="B147" t="s">
        <v>101</v>
      </c>
      <c r="C147" t="s">
        <v>602</v>
      </c>
    </row>
    <row r="148" spans="1:3" x14ac:dyDescent="0.15">
      <c r="A148" t="s">
        <v>454</v>
      </c>
      <c r="B148" t="s">
        <v>101</v>
      </c>
      <c r="C148" t="s">
        <v>603</v>
      </c>
    </row>
    <row r="149" spans="1:3" x14ac:dyDescent="0.15">
      <c r="A149" t="s">
        <v>454</v>
      </c>
      <c r="B149" t="s">
        <v>101</v>
      </c>
      <c r="C149" t="s">
        <v>604</v>
      </c>
    </row>
    <row r="150" spans="1:3" x14ac:dyDescent="0.15">
      <c r="A150" t="s">
        <v>454</v>
      </c>
      <c r="B150" t="s">
        <v>101</v>
      </c>
      <c r="C150" t="s">
        <v>605</v>
      </c>
    </row>
    <row r="151" spans="1:3" x14ac:dyDescent="0.15">
      <c r="A151" t="s">
        <v>454</v>
      </c>
      <c r="B151" t="s">
        <v>101</v>
      </c>
      <c r="C151" t="s">
        <v>606</v>
      </c>
    </row>
    <row r="152" spans="1:3" x14ac:dyDescent="0.15">
      <c r="A152" t="s">
        <v>454</v>
      </c>
      <c r="B152" t="s">
        <v>101</v>
      </c>
      <c r="C152" t="s">
        <v>607</v>
      </c>
    </row>
    <row r="153" spans="1:3" x14ac:dyDescent="0.15">
      <c r="A153" t="s">
        <v>454</v>
      </c>
      <c r="B153" t="s">
        <v>101</v>
      </c>
      <c r="C153" t="s">
        <v>608</v>
      </c>
    </row>
    <row r="154" spans="1:3" x14ac:dyDescent="0.15">
      <c r="A154" t="s">
        <v>454</v>
      </c>
      <c r="B154" t="s">
        <v>101</v>
      </c>
      <c r="C154" t="s">
        <v>609</v>
      </c>
    </row>
    <row r="155" spans="1:3" x14ac:dyDescent="0.15">
      <c r="A155" t="s">
        <v>454</v>
      </c>
      <c r="B155" t="s">
        <v>101</v>
      </c>
      <c r="C155" t="s">
        <v>610</v>
      </c>
    </row>
    <row r="156" spans="1:3" x14ac:dyDescent="0.15">
      <c r="A156" t="s">
        <v>454</v>
      </c>
      <c r="B156" t="s">
        <v>101</v>
      </c>
      <c r="C156" t="s">
        <v>611</v>
      </c>
    </row>
    <row r="157" spans="1:3" x14ac:dyDescent="0.15">
      <c r="A157" t="s">
        <v>454</v>
      </c>
      <c r="B157" t="s">
        <v>101</v>
      </c>
      <c r="C157" t="s">
        <v>612</v>
      </c>
    </row>
    <row r="158" spans="1:3" x14ac:dyDescent="0.15">
      <c r="A158" t="s">
        <v>454</v>
      </c>
      <c r="B158" t="s">
        <v>101</v>
      </c>
      <c r="C158" t="s">
        <v>613</v>
      </c>
    </row>
    <row r="159" spans="1:3" x14ac:dyDescent="0.15">
      <c r="A159" t="s">
        <v>454</v>
      </c>
      <c r="B159" t="s">
        <v>101</v>
      </c>
      <c r="C159" t="s">
        <v>614</v>
      </c>
    </row>
    <row r="160" spans="1:3" x14ac:dyDescent="0.15">
      <c r="A160" t="s">
        <v>454</v>
      </c>
      <c r="B160" t="s">
        <v>101</v>
      </c>
      <c r="C160" t="s">
        <v>615</v>
      </c>
    </row>
    <row r="161" spans="1:3" x14ac:dyDescent="0.15">
      <c r="A161" t="s">
        <v>454</v>
      </c>
      <c r="B161" t="s">
        <v>101</v>
      </c>
      <c r="C161" t="s">
        <v>616</v>
      </c>
    </row>
    <row r="162" spans="1:3" x14ac:dyDescent="0.15">
      <c r="A162" t="s">
        <v>454</v>
      </c>
      <c r="B162" t="s">
        <v>101</v>
      </c>
      <c r="C162" t="s">
        <v>617</v>
      </c>
    </row>
    <row r="163" spans="1:3" x14ac:dyDescent="0.15">
      <c r="A163" t="s">
        <v>454</v>
      </c>
      <c r="B163" t="s">
        <v>101</v>
      </c>
      <c r="C163" t="s">
        <v>618</v>
      </c>
    </row>
    <row r="164" spans="1:3" x14ac:dyDescent="0.15">
      <c r="A164" t="s">
        <v>454</v>
      </c>
      <c r="B164" t="s">
        <v>101</v>
      </c>
      <c r="C164" t="s">
        <v>619</v>
      </c>
    </row>
    <row r="165" spans="1:3" x14ac:dyDescent="0.15">
      <c r="A165" t="s">
        <v>454</v>
      </c>
      <c r="B165" t="s">
        <v>101</v>
      </c>
      <c r="C165" t="s">
        <v>620</v>
      </c>
    </row>
    <row r="166" spans="1:3" x14ac:dyDescent="0.15">
      <c r="A166" t="s">
        <v>454</v>
      </c>
      <c r="B166" t="s">
        <v>101</v>
      </c>
      <c r="C166" t="s">
        <v>621</v>
      </c>
    </row>
    <row r="167" spans="1:3" x14ac:dyDescent="0.15">
      <c r="A167" t="s">
        <v>454</v>
      </c>
      <c r="B167" t="s">
        <v>101</v>
      </c>
      <c r="C167" t="s">
        <v>622</v>
      </c>
    </row>
    <row r="168" spans="1:3" x14ac:dyDescent="0.15">
      <c r="A168" t="s">
        <v>454</v>
      </c>
      <c r="B168" t="s">
        <v>101</v>
      </c>
      <c r="C168" t="s">
        <v>623</v>
      </c>
    </row>
    <row r="169" spans="1:3" x14ac:dyDescent="0.15">
      <c r="A169" t="s">
        <v>454</v>
      </c>
      <c r="B169" t="s">
        <v>101</v>
      </c>
      <c r="C169" t="s">
        <v>624</v>
      </c>
    </row>
    <row r="170" spans="1:3" x14ac:dyDescent="0.15">
      <c r="A170" t="s">
        <v>454</v>
      </c>
      <c r="B170" t="s">
        <v>101</v>
      </c>
      <c r="C170" t="s">
        <v>625</v>
      </c>
    </row>
    <row r="171" spans="1:3" x14ac:dyDescent="0.15">
      <c r="A171" t="s">
        <v>454</v>
      </c>
      <c r="B171" t="s">
        <v>101</v>
      </c>
      <c r="C171" t="s">
        <v>626</v>
      </c>
    </row>
    <row r="172" spans="1:3" x14ac:dyDescent="0.15">
      <c r="A172" t="s">
        <v>454</v>
      </c>
      <c r="B172" t="s">
        <v>101</v>
      </c>
      <c r="C172" t="s">
        <v>627</v>
      </c>
    </row>
    <row r="173" spans="1:3" x14ac:dyDescent="0.15">
      <c r="A173" t="s">
        <v>454</v>
      </c>
      <c r="B173" t="s">
        <v>101</v>
      </c>
      <c r="C173" t="s">
        <v>628</v>
      </c>
    </row>
    <row r="174" spans="1:3" x14ac:dyDescent="0.15">
      <c r="A174" t="s">
        <v>454</v>
      </c>
      <c r="B174" t="s">
        <v>101</v>
      </c>
      <c r="C174" t="s">
        <v>629</v>
      </c>
    </row>
    <row r="175" spans="1:3" x14ac:dyDescent="0.15">
      <c r="A175" t="s">
        <v>454</v>
      </c>
      <c r="B175" t="s">
        <v>101</v>
      </c>
      <c r="C175" t="s">
        <v>630</v>
      </c>
    </row>
    <row r="176" spans="1:3" x14ac:dyDescent="0.15">
      <c r="A176" t="s">
        <v>454</v>
      </c>
      <c r="B176" t="s">
        <v>101</v>
      </c>
      <c r="C176" t="s">
        <v>631</v>
      </c>
    </row>
    <row r="177" spans="1:3" x14ac:dyDescent="0.15">
      <c r="A177" t="s">
        <v>454</v>
      </c>
      <c r="B177" t="s">
        <v>101</v>
      </c>
      <c r="C177" t="s">
        <v>632</v>
      </c>
    </row>
    <row r="178" spans="1:3" x14ac:dyDescent="0.15">
      <c r="A178" t="s">
        <v>454</v>
      </c>
      <c r="B178" t="s">
        <v>101</v>
      </c>
      <c r="C178" t="s">
        <v>633</v>
      </c>
    </row>
    <row r="179" spans="1:3" x14ac:dyDescent="0.15">
      <c r="A179" t="s">
        <v>454</v>
      </c>
      <c r="B179" t="s">
        <v>101</v>
      </c>
      <c r="C179" t="s">
        <v>634</v>
      </c>
    </row>
    <row r="180" spans="1:3" x14ac:dyDescent="0.15">
      <c r="A180" t="s">
        <v>454</v>
      </c>
      <c r="B180" t="s">
        <v>101</v>
      </c>
      <c r="C180" t="s">
        <v>635</v>
      </c>
    </row>
    <row r="181" spans="1:3" x14ac:dyDescent="0.15">
      <c r="A181" t="s">
        <v>454</v>
      </c>
      <c r="B181" t="s">
        <v>101</v>
      </c>
      <c r="C181" t="s">
        <v>636</v>
      </c>
    </row>
    <row r="182" spans="1:3" x14ac:dyDescent="0.15">
      <c r="A182" t="s">
        <v>454</v>
      </c>
      <c r="B182" t="s">
        <v>101</v>
      </c>
      <c r="C182" t="s">
        <v>637</v>
      </c>
    </row>
    <row r="183" spans="1:3" x14ac:dyDescent="0.15">
      <c r="A183" t="s">
        <v>454</v>
      </c>
      <c r="B183" t="s">
        <v>101</v>
      </c>
      <c r="C183" t="s">
        <v>638</v>
      </c>
    </row>
    <row r="184" spans="1:3" x14ac:dyDescent="0.15">
      <c r="A184" t="s">
        <v>454</v>
      </c>
      <c r="B184" t="s">
        <v>101</v>
      </c>
      <c r="C184" t="s">
        <v>639</v>
      </c>
    </row>
    <row r="185" spans="1:3" x14ac:dyDescent="0.15">
      <c r="A185" t="s">
        <v>454</v>
      </c>
      <c r="B185" t="s">
        <v>101</v>
      </c>
      <c r="C185" t="s">
        <v>640</v>
      </c>
    </row>
    <row r="186" spans="1:3" x14ac:dyDescent="0.15">
      <c r="A186" t="s">
        <v>454</v>
      </c>
      <c r="B186" t="s">
        <v>101</v>
      </c>
      <c r="C186" t="s">
        <v>641</v>
      </c>
    </row>
    <row r="187" spans="1:3" x14ac:dyDescent="0.15">
      <c r="A187" t="s">
        <v>454</v>
      </c>
      <c r="B187" t="s">
        <v>101</v>
      </c>
      <c r="C187" t="s">
        <v>642</v>
      </c>
    </row>
    <row r="188" spans="1:3" x14ac:dyDescent="0.15">
      <c r="A188" t="s">
        <v>454</v>
      </c>
      <c r="B188" t="s">
        <v>101</v>
      </c>
      <c r="C188" t="s">
        <v>643</v>
      </c>
    </row>
    <row r="189" spans="1:3" x14ac:dyDescent="0.15">
      <c r="A189" t="s">
        <v>454</v>
      </c>
      <c r="B189" t="s">
        <v>101</v>
      </c>
      <c r="C189" t="s">
        <v>644</v>
      </c>
    </row>
    <row r="190" spans="1:3" x14ac:dyDescent="0.15">
      <c r="A190" t="s">
        <v>454</v>
      </c>
      <c r="B190" t="s">
        <v>101</v>
      </c>
      <c r="C190" t="s">
        <v>645</v>
      </c>
    </row>
    <row r="191" spans="1:3" x14ac:dyDescent="0.15">
      <c r="A191" t="s">
        <v>454</v>
      </c>
      <c r="B191" t="s">
        <v>101</v>
      </c>
      <c r="C191" t="s">
        <v>646</v>
      </c>
    </row>
    <row r="192" spans="1:3" x14ac:dyDescent="0.15">
      <c r="A192" t="s">
        <v>454</v>
      </c>
      <c r="B192" t="s">
        <v>101</v>
      </c>
      <c r="C192" t="s">
        <v>647</v>
      </c>
    </row>
    <row r="193" spans="1:3" x14ac:dyDescent="0.15">
      <c r="A193" t="s">
        <v>454</v>
      </c>
      <c r="B193" t="s">
        <v>101</v>
      </c>
      <c r="C193" t="s">
        <v>648</v>
      </c>
    </row>
    <row r="194" spans="1:3" x14ac:dyDescent="0.15">
      <c r="A194" t="s">
        <v>454</v>
      </c>
      <c r="B194" t="s">
        <v>101</v>
      </c>
      <c r="C194" t="s">
        <v>649</v>
      </c>
    </row>
    <row r="195" spans="1:3" x14ac:dyDescent="0.15">
      <c r="A195" t="s">
        <v>454</v>
      </c>
      <c r="B195" t="s">
        <v>101</v>
      </c>
      <c r="C195" t="s">
        <v>650</v>
      </c>
    </row>
    <row r="196" spans="1:3" x14ac:dyDescent="0.15">
      <c r="A196" t="s">
        <v>454</v>
      </c>
      <c r="B196" t="s">
        <v>101</v>
      </c>
      <c r="C196" t="s">
        <v>651</v>
      </c>
    </row>
    <row r="197" spans="1:3" x14ac:dyDescent="0.15">
      <c r="A197" t="s">
        <v>454</v>
      </c>
      <c r="B197" t="s">
        <v>101</v>
      </c>
      <c r="C197" t="s">
        <v>652</v>
      </c>
    </row>
    <row r="198" spans="1:3" x14ac:dyDescent="0.15">
      <c r="A198" t="s">
        <v>454</v>
      </c>
      <c r="B198" t="s">
        <v>101</v>
      </c>
      <c r="C198" t="s">
        <v>653</v>
      </c>
    </row>
    <row r="199" spans="1:3" x14ac:dyDescent="0.15">
      <c r="A199" t="s">
        <v>454</v>
      </c>
      <c r="B199" t="s">
        <v>101</v>
      </c>
      <c r="C199" t="s">
        <v>654</v>
      </c>
    </row>
    <row r="200" spans="1:3" x14ac:dyDescent="0.15">
      <c r="A200" t="s">
        <v>454</v>
      </c>
      <c r="B200" t="s">
        <v>101</v>
      </c>
      <c r="C200" t="s">
        <v>655</v>
      </c>
    </row>
    <row r="201" spans="1:3" x14ac:dyDescent="0.15">
      <c r="A201" t="s">
        <v>454</v>
      </c>
      <c r="B201" t="s">
        <v>101</v>
      </c>
      <c r="C201" t="s">
        <v>656</v>
      </c>
    </row>
    <row r="202" spans="1:3" x14ac:dyDescent="0.15">
      <c r="A202" t="s">
        <v>454</v>
      </c>
      <c r="B202" t="s">
        <v>101</v>
      </c>
      <c r="C202" t="s">
        <v>657</v>
      </c>
    </row>
    <row r="203" spans="1:3" x14ac:dyDescent="0.15">
      <c r="A203" t="s">
        <v>454</v>
      </c>
      <c r="B203" t="s">
        <v>101</v>
      </c>
      <c r="C203" t="s">
        <v>658</v>
      </c>
    </row>
    <row r="204" spans="1:3" x14ac:dyDescent="0.15">
      <c r="A204" t="s">
        <v>454</v>
      </c>
      <c r="B204" t="s">
        <v>101</v>
      </c>
      <c r="C204" t="s">
        <v>659</v>
      </c>
    </row>
    <row r="205" spans="1:3" x14ac:dyDescent="0.15">
      <c r="A205" t="s">
        <v>454</v>
      </c>
      <c r="B205" t="s">
        <v>101</v>
      </c>
      <c r="C205" t="s">
        <v>660</v>
      </c>
    </row>
    <row r="206" spans="1:3" x14ac:dyDescent="0.15">
      <c r="A206" t="s">
        <v>454</v>
      </c>
      <c r="B206" t="s">
        <v>101</v>
      </c>
      <c r="C206" t="s">
        <v>661</v>
      </c>
    </row>
    <row r="207" spans="1:3" x14ac:dyDescent="0.15">
      <c r="A207" t="s">
        <v>454</v>
      </c>
      <c r="B207" t="s">
        <v>101</v>
      </c>
      <c r="C207" t="s">
        <v>662</v>
      </c>
    </row>
    <row r="208" spans="1:3" x14ac:dyDescent="0.15">
      <c r="A208" t="s">
        <v>454</v>
      </c>
      <c r="B208" t="s">
        <v>101</v>
      </c>
      <c r="C208" t="s">
        <v>663</v>
      </c>
    </row>
    <row r="209" spans="1:3" x14ac:dyDescent="0.15">
      <c r="A209" t="s">
        <v>454</v>
      </c>
      <c r="B209" t="s">
        <v>101</v>
      </c>
      <c r="C209" t="s">
        <v>664</v>
      </c>
    </row>
    <row r="210" spans="1:3" x14ac:dyDescent="0.15">
      <c r="A210" t="s">
        <v>454</v>
      </c>
      <c r="B210" t="s">
        <v>101</v>
      </c>
      <c r="C210" t="s">
        <v>665</v>
      </c>
    </row>
    <row r="211" spans="1:3" x14ac:dyDescent="0.15">
      <c r="A211" t="s">
        <v>454</v>
      </c>
      <c r="B211" t="s">
        <v>101</v>
      </c>
      <c r="C211" t="s">
        <v>666</v>
      </c>
    </row>
    <row r="212" spans="1:3" x14ac:dyDescent="0.15">
      <c r="A212" t="s">
        <v>454</v>
      </c>
      <c r="B212" t="s">
        <v>101</v>
      </c>
      <c r="C212" t="s">
        <v>667</v>
      </c>
    </row>
    <row r="213" spans="1:3" x14ac:dyDescent="0.15">
      <c r="A213" t="s">
        <v>454</v>
      </c>
      <c r="B213" t="s">
        <v>101</v>
      </c>
      <c r="C213" t="s">
        <v>668</v>
      </c>
    </row>
    <row r="214" spans="1:3" x14ac:dyDescent="0.15">
      <c r="A214" t="s">
        <v>454</v>
      </c>
      <c r="B214" t="s">
        <v>101</v>
      </c>
      <c r="C214" t="s">
        <v>669</v>
      </c>
    </row>
    <row r="215" spans="1:3" x14ac:dyDescent="0.15">
      <c r="A215" t="s">
        <v>454</v>
      </c>
      <c r="B215" t="s">
        <v>101</v>
      </c>
      <c r="C215" t="s">
        <v>670</v>
      </c>
    </row>
    <row r="216" spans="1:3" x14ac:dyDescent="0.15">
      <c r="A216" t="s">
        <v>454</v>
      </c>
      <c r="B216" t="s">
        <v>101</v>
      </c>
      <c r="C216" t="s">
        <v>671</v>
      </c>
    </row>
    <row r="217" spans="1:3" x14ac:dyDescent="0.15">
      <c r="A217" t="s">
        <v>454</v>
      </c>
      <c r="B217" t="s">
        <v>101</v>
      </c>
      <c r="C217" t="s">
        <v>672</v>
      </c>
    </row>
    <row r="218" spans="1:3" x14ac:dyDescent="0.15">
      <c r="A218" t="s">
        <v>454</v>
      </c>
      <c r="B218" t="s">
        <v>101</v>
      </c>
      <c r="C218" t="s">
        <v>673</v>
      </c>
    </row>
    <row r="219" spans="1:3" x14ac:dyDescent="0.15">
      <c r="A219" t="s">
        <v>454</v>
      </c>
      <c r="B219" t="s">
        <v>101</v>
      </c>
      <c r="C219" t="s">
        <v>674</v>
      </c>
    </row>
    <row r="220" spans="1:3" x14ac:dyDescent="0.15">
      <c r="A220" t="s">
        <v>454</v>
      </c>
      <c r="B220" t="s">
        <v>101</v>
      </c>
      <c r="C220" t="s">
        <v>675</v>
      </c>
    </row>
    <row r="221" spans="1:3" x14ac:dyDescent="0.15">
      <c r="A221" t="s">
        <v>454</v>
      </c>
      <c r="B221" t="s">
        <v>101</v>
      </c>
      <c r="C221" t="s">
        <v>676</v>
      </c>
    </row>
    <row r="222" spans="1:3" x14ac:dyDescent="0.15">
      <c r="A222" t="s">
        <v>454</v>
      </c>
      <c r="B222" t="s">
        <v>101</v>
      </c>
      <c r="C222" t="s">
        <v>677</v>
      </c>
    </row>
    <row r="223" spans="1:3" x14ac:dyDescent="0.15">
      <c r="A223" t="s">
        <v>454</v>
      </c>
      <c r="B223" t="s">
        <v>101</v>
      </c>
      <c r="C223" t="s">
        <v>678</v>
      </c>
    </row>
    <row r="224" spans="1:3" x14ac:dyDescent="0.15">
      <c r="A224" t="s">
        <v>454</v>
      </c>
      <c r="B224" t="s">
        <v>101</v>
      </c>
      <c r="C224" t="s">
        <v>679</v>
      </c>
    </row>
    <row r="225" spans="1:3" x14ac:dyDescent="0.15">
      <c r="A225" t="s">
        <v>454</v>
      </c>
      <c r="B225" t="s">
        <v>101</v>
      </c>
      <c r="C225" t="s">
        <v>680</v>
      </c>
    </row>
    <row r="226" spans="1:3" x14ac:dyDescent="0.15">
      <c r="A226" t="s">
        <v>454</v>
      </c>
      <c r="B226" t="s">
        <v>101</v>
      </c>
      <c r="C226" t="s">
        <v>681</v>
      </c>
    </row>
    <row r="227" spans="1:3" x14ac:dyDescent="0.15">
      <c r="A227" t="s">
        <v>454</v>
      </c>
      <c r="B227" t="s">
        <v>101</v>
      </c>
      <c r="C227" t="s">
        <v>682</v>
      </c>
    </row>
    <row r="228" spans="1:3" x14ac:dyDescent="0.15">
      <c r="A228" t="s">
        <v>454</v>
      </c>
      <c r="B228" t="s">
        <v>101</v>
      </c>
      <c r="C228" t="s">
        <v>683</v>
      </c>
    </row>
    <row r="229" spans="1:3" x14ac:dyDescent="0.15">
      <c r="A229" t="s">
        <v>454</v>
      </c>
      <c r="B229" t="s">
        <v>101</v>
      </c>
      <c r="C229" t="s">
        <v>684</v>
      </c>
    </row>
    <row r="230" spans="1:3" x14ac:dyDescent="0.15">
      <c r="A230" t="s">
        <v>454</v>
      </c>
      <c r="B230" t="s">
        <v>101</v>
      </c>
      <c r="C230" t="s">
        <v>685</v>
      </c>
    </row>
    <row r="231" spans="1:3" x14ac:dyDescent="0.15">
      <c r="A231" t="s">
        <v>454</v>
      </c>
      <c r="B231" t="s">
        <v>101</v>
      </c>
      <c r="C231" t="s">
        <v>686</v>
      </c>
    </row>
    <row r="232" spans="1:3" x14ac:dyDescent="0.15">
      <c r="A232" t="s">
        <v>454</v>
      </c>
      <c r="B232" t="s">
        <v>101</v>
      </c>
      <c r="C232" t="s">
        <v>687</v>
      </c>
    </row>
    <row r="233" spans="1:3" x14ac:dyDescent="0.15">
      <c r="A233" t="s">
        <v>454</v>
      </c>
      <c r="B233" t="s">
        <v>101</v>
      </c>
      <c r="C233" t="s">
        <v>688</v>
      </c>
    </row>
    <row r="234" spans="1:3" x14ac:dyDescent="0.15">
      <c r="A234" t="s">
        <v>454</v>
      </c>
      <c r="B234" t="s">
        <v>101</v>
      </c>
      <c r="C234" t="s">
        <v>689</v>
      </c>
    </row>
    <row r="235" spans="1:3" x14ac:dyDescent="0.15">
      <c r="A235" t="s">
        <v>454</v>
      </c>
      <c r="B235" t="s">
        <v>101</v>
      </c>
      <c r="C235" t="s">
        <v>690</v>
      </c>
    </row>
    <row r="236" spans="1:3" x14ac:dyDescent="0.15">
      <c r="A236" t="s">
        <v>454</v>
      </c>
      <c r="B236" t="s">
        <v>101</v>
      </c>
      <c r="C236" t="s">
        <v>691</v>
      </c>
    </row>
    <row r="237" spans="1:3" x14ac:dyDescent="0.15">
      <c r="A237" t="s">
        <v>454</v>
      </c>
      <c r="B237" t="s">
        <v>101</v>
      </c>
      <c r="C237" t="s">
        <v>692</v>
      </c>
    </row>
    <row r="238" spans="1:3" x14ac:dyDescent="0.15">
      <c r="A238" t="s">
        <v>454</v>
      </c>
      <c r="B238" t="s">
        <v>101</v>
      </c>
      <c r="C238" t="s">
        <v>693</v>
      </c>
    </row>
    <row r="239" spans="1:3" x14ac:dyDescent="0.15">
      <c r="A239" t="s">
        <v>454</v>
      </c>
      <c r="B239" t="s">
        <v>101</v>
      </c>
      <c r="C239" t="s">
        <v>694</v>
      </c>
    </row>
    <row r="240" spans="1:3" x14ac:dyDescent="0.15">
      <c r="A240" t="s">
        <v>454</v>
      </c>
      <c r="B240" t="s">
        <v>101</v>
      </c>
      <c r="C240" t="s">
        <v>695</v>
      </c>
    </row>
    <row r="241" spans="1:3" x14ac:dyDescent="0.15">
      <c r="A241" t="s">
        <v>454</v>
      </c>
      <c r="B241" t="s">
        <v>101</v>
      </c>
      <c r="C241" t="s">
        <v>696</v>
      </c>
    </row>
    <row r="242" spans="1:3" x14ac:dyDescent="0.15">
      <c r="A242" t="s">
        <v>454</v>
      </c>
      <c r="B242" t="s">
        <v>101</v>
      </c>
      <c r="C242" t="s">
        <v>697</v>
      </c>
    </row>
    <row r="243" spans="1:3" x14ac:dyDescent="0.15">
      <c r="A243" t="s">
        <v>454</v>
      </c>
      <c r="B243" t="s">
        <v>101</v>
      </c>
      <c r="C243" t="s">
        <v>698</v>
      </c>
    </row>
    <row r="244" spans="1:3" x14ac:dyDescent="0.15">
      <c r="A244" t="s">
        <v>454</v>
      </c>
      <c r="B244" t="s">
        <v>101</v>
      </c>
      <c r="C244" t="s">
        <v>699</v>
      </c>
    </row>
    <row r="245" spans="1:3" x14ac:dyDescent="0.15">
      <c r="A245" t="s">
        <v>454</v>
      </c>
      <c r="B245" t="s">
        <v>101</v>
      </c>
      <c r="C245" t="s">
        <v>700</v>
      </c>
    </row>
    <row r="246" spans="1:3" x14ac:dyDescent="0.15">
      <c r="A246" t="s">
        <v>454</v>
      </c>
      <c r="B246" t="s">
        <v>101</v>
      </c>
      <c r="C246" t="s">
        <v>701</v>
      </c>
    </row>
    <row r="247" spans="1:3" x14ac:dyDescent="0.15">
      <c r="A247" t="s">
        <v>454</v>
      </c>
      <c r="B247" t="s">
        <v>101</v>
      </c>
      <c r="C247" t="s">
        <v>702</v>
      </c>
    </row>
    <row r="248" spans="1:3" x14ac:dyDescent="0.15">
      <c r="A248" t="s">
        <v>454</v>
      </c>
      <c r="B248" t="s">
        <v>101</v>
      </c>
      <c r="C248" t="s">
        <v>703</v>
      </c>
    </row>
    <row r="249" spans="1:3" x14ac:dyDescent="0.15">
      <c r="A249" t="s">
        <v>454</v>
      </c>
      <c r="B249" t="s">
        <v>101</v>
      </c>
      <c r="C249" t="s">
        <v>704</v>
      </c>
    </row>
    <row r="250" spans="1:3" x14ac:dyDescent="0.15">
      <c r="A250" t="s">
        <v>454</v>
      </c>
      <c r="B250" t="s">
        <v>101</v>
      </c>
      <c r="C250" t="s">
        <v>705</v>
      </c>
    </row>
    <row r="251" spans="1:3" x14ac:dyDescent="0.15">
      <c r="A251" t="s">
        <v>454</v>
      </c>
      <c r="B251" t="s">
        <v>101</v>
      </c>
      <c r="C251" t="s">
        <v>706</v>
      </c>
    </row>
    <row r="252" spans="1:3" x14ac:dyDescent="0.15">
      <c r="A252" t="s">
        <v>454</v>
      </c>
      <c r="B252" t="s">
        <v>101</v>
      </c>
      <c r="C252" t="s">
        <v>707</v>
      </c>
    </row>
    <row r="253" spans="1:3" x14ac:dyDescent="0.15">
      <c r="A253" t="s">
        <v>454</v>
      </c>
      <c r="B253" t="s">
        <v>101</v>
      </c>
      <c r="C253" t="s">
        <v>708</v>
      </c>
    </row>
    <row r="254" spans="1:3" x14ac:dyDescent="0.15">
      <c r="A254" t="s">
        <v>454</v>
      </c>
      <c r="B254" t="s">
        <v>101</v>
      </c>
      <c r="C254" t="s">
        <v>709</v>
      </c>
    </row>
    <row r="255" spans="1:3" x14ac:dyDescent="0.15">
      <c r="A255" t="s">
        <v>454</v>
      </c>
      <c r="B255" t="s">
        <v>101</v>
      </c>
      <c r="C255" t="s">
        <v>710</v>
      </c>
    </row>
    <row r="256" spans="1:3" x14ac:dyDescent="0.15">
      <c r="A256" t="s">
        <v>454</v>
      </c>
      <c r="B256" t="s">
        <v>101</v>
      </c>
      <c r="C256" t="s">
        <v>711</v>
      </c>
    </row>
    <row r="257" spans="1:3" x14ac:dyDescent="0.15">
      <c r="A257" t="s">
        <v>454</v>
      </c>
      <c r="B257" t="s">
        <v>101</v>
      </c>
      <c r="C257" t="s">
        <v>712</v>
      </c>
    </row>
    <row r="258" spans="1:3" x14ac:dyDescent="0.15">
      <c r="A258" t="s">
        <v>454</v>
      </c>
      <c r="B258" t="s">
        <v>101</v>
      </c>
      <c r="C258" t="s">
        <v>713</v>
      </c>
    </row>
    <row r="259" spans="1:3" x14ac:dyDescent="0.15">
      <c r="A259" t="s">
        <v>454</v>
      </c>
      <c r="B259" t="s">
        <v>101</v>
      </c>
      <c r="C259" t="s">
        <v>714</v>
      </c>
    </row>
    <row r="260" spans="1:3" x14ac:dyDescent="0.15">
      <c r="A260" t="s">
        <v>454</v>
      </c>
      <c r="B260" t="s">
        <v>101</v>
      </c>
      <c r="C260" t="s">
        <v>715</v>
      </c>
    </row>
    <row r="261" spans="1:3" x14ac:dyDescent="0.15">
      <c r="A261" t="s">
        <v>454</v>
      </c>
      <c r="B261" t="s">
        <v>101</v>
      </c>
      <c r="C261" t="s">
        <v>716</v>
      </c>
    </row>
    <row r="262" spans="1:3" x14ac:dyDescent="0.15">
      <c r="A262" t="s">
        <v>454</v>
      </c>
      <c r="B262" t="s">
        <v>101</v>
      </c>
      <c r="C262" t="s">
        <v>717</v>
      </c>
    </row>
    <row r="263" spans="1:3" x14ac:dyDescent="0.15">
      <c r="A263" t="s">
        <v>454</v>
      </c>
      <c r="B263" t="s">
        <v>101</v>
      </c>
      <c r="C263" t="s">
        <v>718</v>
      </c>
    </row>
    <row r="264" spans="1:3" x14ac:dyDescent="0.15">
      <c r="A264" t="s">
        <v>454</v>
      </c>
      <c r="B264" t="s">
        <v>101</v>
      </c>
      <c r="C264" t="s">
        <v>719</v>
      </c>
    </row>
    <row r="265" spans="1:3" x14ac:dyDescent="0.15">
      <c r="A265" t="s">
        <v>454</v>
      </c>
      <c r="B265" t="s">
        <v>101</v>
      </c>
      <c r="C265" t="s">
        <v>720</v>
      </c>
    </row>
    <row r="266" spans="1:3" x14ac:dyDescent="0.15">
      <c r="A266" t="s">
        <v>454</v>
      </c>
      <c r="B266" t="s">
        <v>101</v>
      </c>
      <c r="C266" t="s">
        <v>721</v>
      </c>
    </row>
    <row r="267" spans="1:3" x14ac:dyDescent="0.15">
      <c r="A267" t="s">
        <v>454</v>
      </c>
      <c r="B267" t="s">
        <v>101</v>
      </c>
      <c r="C267" t="s">
        <v>722</v>
      </c>
    </row>
    <row r="268" spans="1:3" x14ac:dyDescent="0.15">
      <c r="A268" t="s">
        <v>454</v>
      </c>
      <c r="B268" t="s">
        <v>101</v>
      </c>
      <c r="C268" t="s">
        <v>723</v>
      </c>
    </row>
    <row r="269" spans="1:3" x14ac:dyDescent="0.15">
      <c r="A269" t="s">
        <v>454</v>
      </c>
      <c r="B269" t="s">
        <v>101</v>
      </c>
      <c r="C269" t="s">
        <v>724</v>
      </c>
    </row>
    <row r="270" spans="1:3" x14ac:dyDescent="0.15">
      <c r="A270" t="s">
        <v>454</v>
      </c>
      <c r="B270" t="s">
        <v>101</v>
      </c>
      <c r="C270" t="s">
        <v>725</v>
      </c>
    </row>
    <row r="271" spans="1:3" x14ac:dyDescent="0.15">
      <c r="A271" t="s">
        <v>454</v>
      </c>
      <c r="B271" t="s">
        <v>101</v>
      </c>
      <c r="C271" t="s">
        <v>726</v>
      </c>
    </row>
    <row r="272" spans="1:3" x14ac:dyDescent="0.15">
      <c r="A272" t="s">
        <v>454</v>
      </c>
      <c r="B272" t="s">
        <v>101</v>
      </c>
      <c r="C272" t="s">
        <v>727</v>
      </c>
    </row>
    <row r="273" spans="1:3" x14ac:dyDescent="0.15">
      <c r="A273" t="s">
        <v>454</v>
      </c>
      <c r="B273" t="s">
        <v>101</v>
      </c>
      <c r="C273" t="s">
        <v>728</v>
      </c>
    </row>
    <row r="274" spans="1:3" x14ac:dyDescent="0.15">
      <c r="A274" t="s">
        <v>454</v>
      </c>
      <c r="B274" t="s">
        <v>101</v>
      </c>
      <c r="C274" t="s">
        <v>729</v>
      </c>
    </row>
    <row r="275" spans="1:3" x14ac:dyDescent="0.15">
      <c r="A275" t="s">
        <v>454</v>
      </c>
      <c r="B275" t="s">
        <v>101</v>
      </c>
      <c r="C275" t="s">
        <v>730</v>
      </c>
    </row>
    <row r="276" spans="1:3" x14ac:dyDescent="0.15">
      <c r="A276" t="s">
        <v>454</v>
      </c>
      <c r="B276" t="s">
        <v>101</v>
      </c>
      <c r="C276" t="s">
        <v>731</v>
      </c>
    </row>
    <row r="277" spans="1:3" x14ac:dyDescent="0.15">
      <c r="A277" t="s">
        <v>454</v>
      </c>
      <c r="B277" t="s">
        <v>101</v>
      </c>
      <c r="C277" t="s">
        <v>732</v>
      </c>
    </row>
    <row r="278" spans="1:3" x14ac:dyDescent="0.15">
      <c r="A278" t="s">
        <v>454</v>
      </c>
      <c r="B278" t="s">
        <v>101</v>
      </c>
      <c r="C278" t="s">
        <v>733</v>
      </c>
    </row>
    <row r="279" spans="1:3" x14ac:dyDescent="0.15">
      <c r="A279" t="s">
        <v>454</v>
      </c>
      <c r="B279" t="s">
        <v>101</v>
      </c>
      <c r="C279" t="s">
        <v>734</v>
      </c>
    </row>
    <row r="280" spans="1:3" x14ac:dyDescent="0.15">
      <c r="A280" t="s">
        <v>454</v>
      </c>
      <c r="B280" t="s">
        <v>101</v>
      </c>
      <c r="C280" t="s">
        <v>735</v>
      </c>
    </row>
    <row r="281" spans="1:3" x14ac:dyDescent="0.15">
      <c r="A281" t="s">
        <v>454</v>
      </c>
      <c r="B281" t="s">
        <v>101</v>
      </c>
      <c r="C281" t="s">
        <v>736</v>
      </c>
    </row>
    <row r="282" spans="1:3" x14ac:dyDescent="0.15">
      <c r="A282" t="s">
        <v>454</v>
      </c>
      <c r="B282" t="s">
        <v>101</v>
      </c>
      <c r="C282" t="s">
        <v>737</v>
      </c>
    </row>
    <row r="283" spans="1:3" x14ac:dyDescent="0.15">
      <c r="A283" t="s">
        <v>454</v>
      </c>
      <c r="B283" t="s">
        <v>101</v>
      </c>
      <c r="C283" t="s">
        <v>738</v>
      </c>
    </row>
    <row r="284" spans="1:3" x14ac:dyDescent="0.15">
      <c r="A284" t="s">
        <v>454</v>
      </c>
      <c r="B284" t="s">
        <v>101</v>
      </c>
      <c r="C284" t="s">
        <v>739</v>
      </c>
    </row>
    <row r="285" spans="1:3" x14ac:dyDescent="0.15">
      <c r="A285" t="s">
        <v>454</v>
      </c>
      <c r="B285" t="s">
        <v>101</v>
      </c>
      <c r="C285" t="s">
        <v>740</v>
      </c>
    </row>
    <row r="286" spans="1:3" x14ac:dyDescent="0.15">
      <c r="A286" t="s">
        <v>454</v>
      </c>
      <c r="B286" t="s">
        <v>101</v>
      </c>
      <c r="C286" t="s">
        <v>741</v>
      </c>
    </row>
    <row r="287" spans="1:3" x14ac:dyDescent="0.15">
      <c r="A287" t="s">
        <v>454</v>
      </c>
      <c r="B287" t="s">
        <v>101</v>
      </c>
      <c r="C287" t="s">
        <v>742</v>
      </c>
    </row>
    <row r="288" spans="1:3" x14ac:dyDescent="0.15">
      <c r="A288" t="s">
        <v>454</v>
      </c>
      <c r="B288" t="s">
        <v>101</v>
      </c>
      <c r="C288" t="s">
        <v>743</v>
      </c>
    </row>
    <row r="289" spans="1:3" x14ac:dyDescent="0.15">
      <c r="A289" t="s">
        <v>454</v>
      </c>
      <c r="B289" t="s">
        <v>101</v>
      </c>
      <c r="C289" t="s">
        <v>744</v>
      </c>
    </row>
    <row r="290" spans="1:3" x14ac:dyDescent="0.15">
      <c r="A290" t="s">
        <v>454</v>
      </c>
      <c r="B290" t="s">
        <v>101</v>
      </c>
      <c r="C290" t="s">
        <v>745</v>
      </c>
    </row>
    <row r="291" spans="1:3" x14ac:dyDescent="0.15">
      <c r="A291" t="s">
        <v>454</v>
      </c>
      <c r="B291" t="s">
        <v>101</v>
      </c>
      <c r="C291" t="s">
        <v>746</v>
      </c>
    </row>
    <row r="292" spans="1:3" x14ac:dyDescent="0.15">
      <c r="A292" t="s">
        <v>454</v>
      </c>
      <c r="B292" t="s">
        <v>101</v>
      </c>
      <c r="C292" t="s">
        <v>747</v>
      </c>
    </row>
    <row r="293" spans="1:3" x14ac:dyDescent="0.15">
      <c r="A293" t="s">
        <v>454</v>
      </c>
      <c r="B293" t="s">
        <v>101</v>
      </c>
      <c r="C293" t="s">
        <v>748</v>
      </c>
    </row>
    <row r="294" spans="1:3" x14ac:dyDescent="0.15">
      <c r="A294" t="s">
        <v>454</v>
      </c>
      <c r="B294" t="s">
        <v>101</v>
      </c>
      <c r="C294" t="s">
        <v>749</v>
      </c>
    </row>
    <row r="295" spans="1:3" x14ac:dyDescent="0.15">
      <c r="A295" t="s">
        <v>454</v>
      </c>
      <c r="B295" t="s">
        <v>101</v>
      </c>
      <c r="C295" t="s">
        <v>750</v>
      </c>
    </row>
    <row r="296" spans="1:3" x14ac:dyDescent="0.15">
      <c r="A296" t="s">
        <v>454</v>
      </c>
      <c r="B296" t="s">
        <v>101</v>
      </c>
      <c r="C296" t="s">
        <v>751</v>
      </c>
    </row>
    <row r="297" spans="1:3" x14ac:dyDescent="0.15">
      <c r="A297" t="s">
        <v>454</v>
      </c>
      <c r="B297" t="s">
        <v>101</v>
      </c>
      <c r="C297" t="s">
        <v>752</v>
      </c>
    </row>
    <row r="298" spans="1:3" x14ac:dyDescent="0.15">
      <c r="A298" t="s">
        <v>454</v>
      </c>
      <c r="B298" t="s">
        <v>101</v>
      </c>
      <c r="C298" t="s">
        <v>753</v>
      </c>
    </row>
    <row r="299" spans="1:3" x14ac:dyDescent="0.15">
      <c r="A299" t="s">
        <v>454</v>
      </c>
      <c r="B299" t="s">
        <v>101</v>
      </c>
      <c r="C299" t="s">
        <v>754</v>
      </c>
    </row>
    <row r="300" spans="1:3" x14ac:dyDescent="0.15">
      <c r="A300" t="s">
        <v>454</v>
      </c>
      <c r="B300" t="s">
        <v>101</v>
      </c>
      <c r="C300" t="s">
        <v>755</v>
      </c>
    </row>
    <row r="301" spans="1:3" x14ac:dyDescent="0.15">
      <c r="A301" t="s">
        <v>454</v>
      </c>
      <c r="B301" t="s">
        <v>101</v>
      </c>
      <c r="C301" t="s">
        <v>756</v>
      </c>
    </row>
    <row r="302" spans="1:3" x14ac:dyDescent="0.15">
      <c r="A302" t="s">
        <v>454</v>
      </c>
      <c r="B302" t="s">
        <v>101</v>
      </c>
      <c r="C302" t="s">
        <v>757</v>
      </c>
    </row>
    <row r="303" spans="1:3" x14ac:dyDescent="0.15">
      <c r="A303" t="s">
        <v>454</v>
      </c>
      <c r="B303" t="s">
        <v>101</v>
      </c>
      <c r="C303" t="s">
        <v>758</v>
      </c>
    </row>
    <row r="304" spans="1:3" x14ac:dyDescent="0.15">
      <c r="A304" t="s">
        <v>454</v>
      </c>
      <c r="B304" t="s">
        <v>101</v>
      </c>
      <c r="C304" t="s">
        <v>759</v>
      </c>
    </row>
    <row r="305" spans="1:3" x14ac:dyDescent="0.15">
      <c r="A305" t="s">
        <v>454</v>
      </c>
      <c r="B305" t="s">
        <v>101</v>
      </c>
      <c r="C305" t="s">
        <v>760</v>
      </c>
    </row>
    <row r="306" spans="1:3" x14ac:dyDescent="0.15">
      <c r="A306" t="s">
        <v>454</v>
      </c>
      <c r="B306" t="s">
        <v>101</v>
      </c>
      <c r="C306" t="s">
        <v>761</v>
      </c>
    </row>
    <row r="307" spans="1:3" x14ac:dyDescent="0.15">
      <c r="A307" t="s">
        <v>454</v>
      </c>
      <c r="B307" t="s">
        <v>101</v>
      </c>
      <c r="C307" t="s">
        <v>762</v>
      </c>
    </row>
    <row r="308" spans="1:3" x14ac:dyDescent="0.15">
      <c r="A308" t="s">
        <v>454</v>
      </c>
      <c r="B308" t="s">
        <v>101</v>
      </c>
      <c r="C308" t="s">
        <v>763</v>
      </c>
    </row>
    <row r="309" spans="1:3" x14ac:dyDescent="0.15">
      <c r="A309" t="s">
        <v>454</v>
      </c>
      <c r="B309" t="s">
        <v>101</v>
      </c>
      <c r="C309" t="s">
        <v>764</v>
      </c>
    </row>
    <row r="310" spans="1:3" x14ac:dyDescent="0.15">
      <c r="A310" t="s">
        <v>454</v>
      </c>
      <c r="B310" t="s">
        <v>101</v>
      </c>
      <c r="C310" t="s">
        <v>765</v>
      </c>
    </row>
    <row r="311" spans="1:3" x14ac:dyDescent="0.15">
      <c r="A311" t="s">
        <v>454</v>
      </c>
      <c r="B311" t="s">
        <v>101</v>
      </c>
      <c r="C311" t="s">
        <v>766</v>
      </c>
    </row>
    <row r="312" spans="1:3" x14ac:dyDescent="0.15">
      <c r="A312" t="s">
        <v>454</v>
      </c>
      <c r="B312" t="s">
        <v>101</v>
      </c>
      <c r="C312" t="s">
        <v>767</v>
      </c>
    </row>
    <row r="313" spans="1:3" x14ac:dyDescent="0.15">
      <c r="A313" t="s">
        <v>454</v>
      </c>
      <c r="B313" t="s">
        <v>101</v>
      </c>
      <c r="C313" t="s">
        <v>768</v>
      </c>
    </row>
    <row r="314" spans="1:3" x14ac:dyDescent="0.15">
      <c r="A314" t="s">
        <v>454</v>
      </c>
      <c r="B314" t="s">
        <v>101</v>
      </c>
      <c r="C314" t="s">
        <v>769</v>
      </c>
    </row>
    <row r="315" spans="1:3" x14ac:dyDescent="0.15">
      <c r="A315" t="s">
        <v>454</v>
      </c>
      <c r="B315" t="s">
        <v>101</v>
      </c>
      <c r="C315" t="s">
        <v>770</v>
      </c>
    </row>
    <row r="316" spans="1:3" x14ac:dyDescent="0.15">
      <c r="A316" t="s">
        <v>454</v>
      </c>
      <c r="B316" t="s">
        <v>101</v>
      </c>
      <c r="C316" t="s">
        <v>771</v>
      </c>
    </row>
    <row r="317" spans="1:3" x14ac:dyDescent="0.15">
      <c r="A317" t="s">
        <v>454</v>
      </c>
      <c r="B317" t="s">
        <v>101</v>
      </c>
      <c r="C317" t="s">
        <v>772</v>
      </c>
    </row>
    <row r="318" spans="1:3" x14ac:dyDescent="0.15">
      <c r="A318" t="s">
        <v>454</v>
      </c>
      <c r="B318" t="s">
        <v>101</v>
      </c>
      <c r="C318" t="s">
        <v>773</v>
      </c>
    </row>
    <row r="319" spans="1:3" x14ac:dyDescent="0.15">
      <c r="A319" t="s">
        <v>454</v>
      </c>
      <c r="B319" t="s">
        <v>101</v>
      </c>
      <c r="C319" t="s">
        <v>774</v>
      </c>
    </row>
    <row r="320" spans="1:3" x14ac:dyDescent="0.15">
      <c r="A320" t="s">
        <v>454</v>
      </c>
      <c r="B320" t="s">
        <v>101</v>
      </c>
      <c r="C320" t="s">
        <v>775</v>
      </c>
    </row>
    <row r="321" spans="1:3" x14ac:dyDescent="0.15">
      <c r="A321" t="s">
        <v>454</v>
      </c>
      <c r="B321" t="s">
        <v>101</v>
      </c>
      <c r="C321" t="s">
        <v>776</v>
      </c>
    </row>
    <row r="322" spans="1:3" x14ac:dyDescent="0.15">
      <c r="A322" t="s">
        <v>454</v>
      </c>
      <c r="B322" t="s">
        <v>101</v>
      </c>
      <c r="C322" t="s">
        <v>777</v>
      </c>
    </row>
    <row r="323" spans="1:3" x14ac:dyDescent="0.15">
      <c r="A323" t="s">
        <v>454</v>
      </c>
      <c r="B323" t="s">
        <v>101</v>
      </c>
      <c r="C323" t="s">
        <v>778</v>
      </c>
    </row>
    <row r="324" spans="1:3" x14ac:dyDescent="0.15">
      <c r="A324" t="s">
        <v>454</v>
      </c>
      <c r="B324" t="s">
        <v>101</v>
      </c>
      <c r="C324" t="s">
        <v>779</v>
      </c>
    </row>
    <row r="325" spans="1:3" x14ac:dyDescent="0.15">
      <c r="A325" t="s">
        <v>454</v>
      </c>
      <c r="B325" t="s">
        <v>101</v>
      </c>
      <c r="C325" t="s">
        <v>780</v>
      </c>
    </row>
    <row r="326" spans="1:3" x14ac:dyDescent="0.15">
      <c r="A326" t="s">
        <v>454</v>
      </c>
      <c r="B326" t="s">
        <v>101</v>
      </c>
      <c r="C326" t="s">
        <v>781</v>
      </c>
    </row>
    <row r="327" spans="1:3" x14ac:dyDescent="0.15">
      <c r="A327" t="s">
        <v>454</v>
      </c>
      <c r="B327" t="s">
        <v>101</v>
      </c>
      <c r="C327" t="s">
        <v>782</v>
      </c>
    </row>
    <row r="328" spans="1:3" x14ac:dyDescent="0.15">
      <c r="A328" t="s">
        <v>454</v>
      </c>
      <c r="B328" t="s">
        <v>101</v>
      </c>
      <c r="C328" t="s">
        <v>783</v>
      </c>
    </row>
    <row r="329" spans="1:3" x14ac:dyDescent="0.15">
      <c r="A329" t="s">
        <v>454</v>
      </c>
      <c r="B329" t="s">
        <v>101</v>
      </c>
      <c r="C329" t="s">
        <v>784</v>
      </c>
    </row>
    <row r="330" spans="1:3" x14ac:dyDescent="0.15">
      <c r="A330" t="s">
        <v>454</v>
      </c>
      <c r="B330" t="s">
        <v>101</v>
      </c>
      <c r="C330" t="s">
        <v>785</v>
      </c>
    </row>
    <row r="331" spans="1:3" x14ac:dyDescent="0.15">
      <c r="A331" t="s">
        <v>454</v>
      </c>
      <c r="B331" t="s">
        <v>101</v>
      </c>
      <c r="C331" t="s">
        <v>786</v>
      </c>
    </row>
    <row r="332" spans="1:3" x14ac:dyDescent="0.15">
      <c r="A332" t="s">
        <v>454</v>
      </c>
      <c r="B332" t="s">
        <v>101</v>
      </c>
      <c r="C332" t="s">
        <v>787</v>
      </c>
    </row>
    <row r="333" spans="1:3" x14ac:dyDescent="0.15">
      <c r="A333" t="s">
        <v>454</v>
      </c>
      <c r="B333" t="s">
        <v>101</v>
      </c>
      <c r="C333" t="s">
        <v>788</v>
      </c>
    </row>
    <row r="334" spans="1:3" x14ac:dyDescent="0.15">
      <c r="A334" t="s">
        <v>454</v>
      </c>
      <c r="B334" t="s">
        <v>101</v>
      </c>
      <c r="C334" t="s">
        <v>789</v>
      </c>
    </row>
    <row r="335" spans="1:3" x14ac:dyDescent="0.15">
      <c r="A335" t="s">
        <v>454</v>
      </c>
      <c r="B335" t="s">
        <v>101</v>
      </c>
      <c r="C335" t="s">
        <v>790</v>
      </c>
    </row>
    <row r="336" spans="1:3" x14ac:dyDescent="0.15">
      <c r="A336" t="s">
        <v>454</v>
      </c>
      <c r="B336" t="s">
        <v>101</v>
      </c>
      <c r="C336" t="s">
        <v>791</v>
      </c>
    </row>
    <row r="337" spans="1:3" x14ac:dyDescent="0.15">
      <c r="A337" t="s">
        <v>454</v>
      </c>
      <c r="B337" t="s">
        <v>101</v>
      </c>
      <c r="C337" t="s">
        <v>792</v>
      </c>
    </row>
    <row r="338" spans="1:3" x14ac:dyDescent="0.15">
      <c r="A338" t="s">
        <v>454</v>
      </c>
      <c r="B338" t="s">
        <v>101</v>
      </c>
      <c r="C338" t="s">
        <v>793</v>
      </c>
    </row>
    <row r="339" spans="1:3" x14ac:dyDescent="0.15">
      <c r="A339" t="s">
        <v>454</v>
      </c>
      <c r="B339" t="s">
        <v>101</v>
      </c>
      <c r="C339" t="s">
        <v>794</v>
      </c>
    </row>
    <row r="340" spans="1:3" x14ac:dyDescent="0.15">
      <c r="A340" t="s">
        <v>454</v>
      </c>
      <c r="B340" t="s">
        <v>101</v>
      </c>
      <c r="C340" t="s">
        <v>795</v>
      </c>
    </row>
    <row r="341" spans="1:3" x14ac:dyDescent="0.15">
      <c r="A341" t="s">
        <v>454</v>
      </c>
      <c r="B341" t="s">
        <v>101</v>
      </c>
      <c r="C341" t="s">
        <v>796</v>
      </c>
    </row>
    <row r="342" spans="1:3" x14ac:dyDescent="0.15">
      <c r="A342" t="s">
        <v>454</v>
      </c>
      <c r="B342" t="s">
        <v>101</v>
      </c>
      <c r="C342" t="s">
        <v>797</v>
      </c>
    </row>
    <row r="343" spans="1:3" x14ac:dyDescent="0.15">
      <c r="A343" t="s">
        <v>454</v>
      </c>
      <c r="B343" t="s">
        <v>101</v>
      </c>
      <c r="C343" t="s">
        <v>798</v>
      </c>
    </row>
    <row r="344" spans="1:3" x14ac:dyDescent="0.15">
      <c r="A344" t="s">
        <v>454</v>
      </c>
      <c r="B344" t="s">
        <v>101</v>
      </c>
      <c r="C344" t="s">
        <v>799</v>
      </c>
    </row>
    <row r="345" spans="1:3" x14ac:dyDescent="0.15">
      <c r="A345" t="s">
        <v>454</v>
      </c>
      <c r="B345" t="s">
        <v>101</v>
      </c>
      <c r="C345" t="s">
        <v>800</v>
      </c>
    </row>
    <row r="346" spans="1:3" x14ac:dyDescent="0.15">
      <c r="A346" t="s">
        <v>454</v>
      </c>
      <c r="B346" t="s">
        <v>101</v>
      </c>
      <c r="C346" t="s">
        <v>801</v>
      </c>
    </row>
    <row r="347" spans="1:3" x14ac:dyDescent="0.15">
      <c r="A347" t="s">
        <v>454</v>
      </c>
      <c r="B347" t="s">
        <v>101</v>
      </c>
      <c r="C347" t="s">
        <v>802</v>
      </c>
    </row>
    <row r="348" spans="1:3" x14ac:dyDescent="0.15">
      <c r="A348" t="s">
        <v>454</v>
      </c>
      <c r="B348" t="s">
        <v>101</v>
      </c>
      <c r="C348" t="s">
        <v>803</v>
      </c>
    </row>
    <row r="349" spans="1:3" x14ac:dyDescent="0.15">
      <c r="A349" t="s">
        <v>454</v>
      </c>
      <c r="B349" t="s">
        <v>101</v>
      </c>
      <c r="C349" t="s">
        <v>804</v>
      </c>
    </row>
    <row r="350" spans="1:3" x14ac:dyDescent="0.15">
      <c r="A350" t="s">
        <v>454</v>
      </c>
      <c r="B350" t="s">
        <v>101</v>
      </c>
      <c r="C350" t="s">
        <v>805</v>
      </c>
    </row>
    <row r="351" spans="1:3" x14ac:dyDescent="0.15">
      <c r="A351" t="s">
        <v>454</v>
      </c>
      <c r="B351" t="s">
        <v>101</v>
      </c>
      <c r="C351" t="s">
        <v>806</v>
      </c>
    </row>
    <row r="352" spans="1:3" x14ac:dyDescent="0.15">
      <c r="A352" t="s">
        <v>454</v>
      </c>
      <c r="B352" t="s">
        <v>101</v>
      </c>
      <c r="C352" t="s">
        <v>807</v>
      </c>
    </row>
    <row r="353" spans="1:3" x14ac:dyDescent="0.15">
      <c r="A353" t="s">
        <v>454</v>
      </c>
      <c r="B353" t="s">
        <v>101</v>
      </c>
      <c r="C353" t="s">
        <v>808</v>
      </c>
    </row>
    <row r="354" spans="1:3" x14ac:dyDescent="0.15">
      <c r="A354" t="s">
        <v>454</v>
      </c>
      <c r="B354" t="s">
        <v>101</v>
      </c>
      <c r="C354" t="s">
        <v>809</v>
      </c>
    </row>
    <row r="355" spans="1:3" x14ac:dyDescent="0.15">
      <c r="A355" t="s">
        <v>454</v>
      </c>
      <c r="B355" t="s">
        <v>101</v>
      </c>
      <c r="C355" t="s">
        <v>810</v>
      </c>
    </row>
    <row r="356" spans="1:3" x14ac:dyDescent="0.15">
      <c r="A356" t="s">
        <v>454</v>
      </c>
      <c r="B356" t="s">
        <v>101</v>
      </c>
      <c r="C356" t="s">
        <v>811</v>
      </c>
    </row>
    <row r="357" spans="1:3" x14ac:dyDescent="0.15">
      <c r="A357" t="s">
        <v>454</v>
      </c>
      <c r="B357" t="s">
        <v>101</v>
      </c>
      <c r="C357" t="s">
        <v>812</v>
      </c>
    </row>
    <row r="358" spans="1:3" x14ac:dyDescent="0.15">
      <c r="A358" t="s">
        <v>454</v>
      </c>
      <c r="B358" t="s">
        <v>101</v>
      </c>
      <c r="C358" t="s">
        <v>813</v>
      </c>
    </row>
    <row r="359" spans="1:3" x14ac:dyDescent="0.15">
      <c r="A359" t="s">
        <v>454</v>
      </c>
      <c r="B359" t="s">
        <v>101</v>
      </c>
      <c r="C359" t="s">
        <v>814</v>
      </c>
    </row>
    <row r="360" spans="1:3" x14ac:dyDescent="0.15">
      <c r="A360" t="s">
        <v>454</v>
      </c>
      <c r="B360" t="s">
        <v>101</v>
      </c>
      <c r="C360" t="s">
        <v>815</v>
      </c>
    </row>
    <row r="361" spans="1:3" x14ac:dyDescent="0.15">
      <c r="A361" t="s">
        <v>454</v>
      </c>
      <c r="B361" t="s">
        <v>101</v>
      </c>
      <c r="C361" t="s">
        <v>816</v>
      </c>
    </row>
    <row r="362" spans="1:3" x14ac:dyDescent="0.15">
      <c r="A362" t="s">
        <v>454</v>
      </c>
      <c r="B362" t="s">
        <v>101</v>
      </c>
      <c r="C362" t="s">
        <v>817</v>
      </c>
    </row>
    <row r="363" spans="1:3" x14ac:dyDescent="0.15">
      <c r="A363" t="s">
        <v>454</v>
      </c>
      <c r="B363" t="s">
        <v>101</v>
      </c>
      <c r="C363" t="s">
        <v>818</v>
      </c>
    </row>
    <row r="364" spans="1:3" x14ac:dyDescent="0.15">
      <c r="A364" t="s">
        <v>454</v>
      </c>
      <c r="B364" t="s">
        <v>101</v>
      </c>
      <c r="C364" t="s">
        <v>819</v>
      </c>
    </row>
    <row r="365" spans="1:3" x14ac:dyDescent="0.15">
      <c r="A365" t="s">
        <v>454</v>
      </c>
      <c r="B365" t="s">
        <v>101</v>
      </c>
      <c r="C365" t="s">
        <v>820</v>
      </c>
    </row>
    <row r="366" spans="1:3" x14ac:dyDescent="0.15">
      <c r="A366" t="s">
        <v>454</v>
      </c>
      <c r="B366" t="s">
        <v>101</v>
      </c>
      <c r="C366" t="s">
        <v>821</v>
      </c>
    </row>
    <row r="367" spans="1:3" x14ac:dyDescent="0.15">
      <c r="A367" t="s">
        <v>454</v>
      </c>
      <c r="B367" t="s">
        <v>101</v>
      </c>
      <c r="C367" t="s">
        <v>822</v>
      </c>
    </row>
    <row r="368" spans="1:3" x14ac:dyDescent="0.15">
      <c r="A368" t="s">
        <v>454</v>
      </c>
      <c r="B368" t="s">
        <v>101</v>
      </c>
      <c r="C368" t="s">
        <v>823</v>
      </c>
    </row>
    <row r="369" spans="1:3" x14ac:dyDescent="0.15">
      <c r="A369" t="s">
        <v>454</v>
      </c>
      <c r="B369" t="s">
        <v>101</v>
      </c>
      <c r="C369" t="s">
        <v>824</v>
      </c>
    </row>
    <row r="370" spans="1:3" x14ac:dyDescent="0.15">
      <c r="A370" t="s">
        <v>454</v>
      </c>
      <c r="B370" t="s">
        <v>101</v>
      </c>
      <c r="C370" t="s">
        <v>825</v>
      </c>
    </row>
    <row r="371" spans="1:3" x14ac:dyDescent="0.15">
      <c r="A371" t="s">
        <v>454</v>
      </c>
      <c r="B371" t="s">
        <v>101</v>
      </c>
      <c r="C371" t="s">
        <v>826</v>
      </c>
    </row>
    <row r="372" spans="1:3" x14ac:dyDescent="0.15">
      <c r="A372" t="s">
        <v>454</v>
      </c>
      <c r="B372" t="s">
        <v>101</v>
      </c>
      <c r="C372" t="s">
        <v>827</v>
      </c>
    </row>
    <row r="373" spans="1:3" x14ac:dyDescent="0.15">
      <c r="A373" t="s">
        <v>454</v>
      </c>
      <c r="B373" t="s">
        <v>101</v>
      </c>
      <c r="C373" t="s">
        <v>828</v>
      </c>
    </row>
    <row r="374" spans="1:3" x14ac:dyDescent="0.15">
      <c r="A374" t="s">
        <v>454</v>
      </c>
      <c r="B374" t="s">
        <v>101</v>
      </c>
      <c r="C374" t="s">
        <v>829</v>
      </c>
    </row>
    <row r="375" spans="1:3" x14ac:dyDescent="0.15">
      <c r="A375" t="s">
        <v>454</v>
      </c>
      <c r="B375" t="s">
        <v>101</v>
      </c>
      <c r="C375" t="s">
        <v>830</v>
      </c>
    </row>
    <row r="376" spans="1:3" x14ac:dyDescent="0.15">
      <c r="A376" t="s">
        <v>454</v>
      </c>
      <c r="B376" t="s">
        <v>101</v>
      </c>
      <c r="C376" t="s">
        <v>831</v>
      </c>
    </row>
    <row r="377" spans="1:3" x14ac:dyDescent="0.15">
      <c r="A377" t="s">
        <v>454</v>
      </c>
      <c r="B377" t="s">
        <v>101</v>
      </c>
      <c r="C377" t="s">
        <v>832</v>
      </c>
    </row>
    <row r="378" spans="1:3" x14ac:dyDescent="0.15">
      <c r="A378" t="s">
        <v>454</v>
      </c>
      <c r="B378" t="s">
        <v>101</v>
      </c>
      <c r="C378" t="s">
        <v>833</v>
      </c>
    </row>
    <row r="379" spans="1:3" x14ac:dyDescent="0.15">
      <c r="A379" t="s">
        <v>454</v>
      </c>
      <c r="B379" t="s">
        <v>101</v>
      </c>
      <c r="C379" t="s">
        <v>834</v>
      </c>
    </row>
    <row r="380" spans="1:3" x14ac:dyDescent="0.15">
      <c r="A380" t="s">
        <v>454</v>
      </c>
      <c r="B380" t="s">
        <v>101</v>
      </c>
      <c r="C380" t="s">
        <v>835</v>
      </c>
    </row>
    <row r="381" spans="1:3" x14ac:dyDescent="0.15">
      <c r="A381" t="s">
        <v>454</v>
      </c>
      <c r="B381" t="s">
        <v>101</v>
      </c>
      <c r="C381" t="s">
        <v>836</v>
      </c>
    </row>
    <row r="382" spans="1:3" x14ac:dyDescent="0.15">
      <c r="A382" t="s">
        <v>454</v>
      </c>
      <c r="B382" t="s">
        <v>101</v>
      </c>
      <c r="C382" t="s">
        <v>837</v>
      </c>
    </row>
    <row r="383" spans="1:3" x14ac:dyDescent="0.15">
      <c r="A383" t="s">
        <v>454</v>
      </c>
      <c r="B383" t="s">
        <v>101</v>
      </c>
      <c r="C383" t="s">
        <v>838</v>
      </c>
    </row>
    <row r="384" spans="1:3" x14ac:dyDescent="0.15">
      <c r="A384" t="s">
        <v>454</v>
      </c>
      <c r="B384" t="s">
        <v>101</v>
      </c>
      <c r="C384" t="s">
        <v>839</v>
      </c>
    </row>
    <row r="385" spans="1:3" x14ac:dyDescent="0.15">
      <c r="A385" t="s">
        <v>454</v>
      </c>
      <c r="B385" t="s">
        <v>101</v>
      </c>
      <c r="C385" t="s">
        <v>840</v>
      </c>
    </row>
    <row r="386" spans="1:3" x14ac:dyDescent="0.15">
      <c r="A386" t="s">
        <v>454</v>
      </c>
      <c r="B386" t="s">
        <v>101</v>
      </c>
      <c r="C386" t="s">
        <v>841</v>
      </c>
    </row>
    <row r="387" spans="1:3" x14ac:dyDescent="0.15">
      <c r="A387" t="s">
        <v>454</v>
      </c>
      <c r="B387" t="s">
        <v>101</v>
      </c>
      <c r="C387" t="s">
        <v>842</v>
      </c>
    </row>
    <row r="388" spans="1:3" x14ac:dyDescent="0.15">
      <c r="A388" t="s">
        <v>454</v>
      </c>
      <c r="B388" t="s">
        <v>101</v>
      </c>
      <c r="C388" t="s">
        <v>843</v>
      </c>
    </row>
    <row r="389" spans="1:3" x14ac:dyDescent="0.15">
      <c r="A389" t="s">
        <v>454</v>
      </c>
      <c r="B389" t="s">
        <v>101</v>
      </c>
      <c r="C389" t="s">
        <v>844</v>
      </c>
    </row>
    <row r="390" spans="1:3" x14ac:dyDescent="0.15">
      <c r="A390" t="s">
        <v>454</v>
      </c>
      <c r="B390" t="s">
        <v>101</v>
      </c>
      <c r="C390" t="s">
        <v>845</v>
      </c>
    </row>
    <row r="391" spans="1:3" x14ac:dyDescent="0.15">
      <c r="A391" t="s">
        <v>454</v>
      </c>
      <c r="B391" t="s">
        <v>101</v>
      </c>
      <c r="C391" t="s">
        <v>846</v>
      </c>
    </row>
    <row r="392" spans="1:3" x14ac:dyDescent="0.15">
      <c r="A392" t="s">
        <v>454</v>
      </c>
      <c r="B392" t="s">
        <v>101</v>
      </c>
      <c r="C392" t="s">
        <v>847</v>
      </c>
    </row>
    <row r="393" spans="1:3" x14ac:dyDescent="0.15">
      <c r="A393" t="s">
        <v>454</v>
      </c>
      <c r="B393" t="s">
        <v>101</v>
      </c>
      <c r="C393" t="s">
        <v>848</v>
      </c>
    </row>
    <row r="394" spans="1:3" x14ac:dyDescent="0.15">
      <c r="A394" t="s">
        <v>454</v>
      </c>
      <c r="B394" t="s">
        <v>101</v>
      </c>
      <c r="C394" t="s">
        <v>849</v>
      </c>
    </row>
    <row r="395" spans="1:3" x14ac:dyDescent="0.15">
      <c r="A395" t="s">
        <v>454</v>
      </c>
      <c r="B395" t="s">
        <v>101</v>
      </c>
      <c r="C395" t="s">
        <v>850</v>
      </c>
    </row>
    <row r="396" spans="1:3" x14ac:dyDescent="0.15">
      <c r="A396" t="s">
        <v>454</v>
      </c>
      <c r="B396" t="s">
        <v>101</v>
      </c>
      <c r="C396" t="s">
        <v>851</v>
      </c>
    </row>
    <row r="397" spans="1:3" x14ac:dyDescent="0.15">
      <c r="A397" t="s">
        <v>454</v>
      </c>
      <c r="B397" t="s">
        <v>101</v>
      </c>
      <c r="C397" t="s">
        <v>852</v>
      </c>
    </row>
    <row r="398" spans="1:3" x14ac:dyDescent="0.15">
      <c r="A398" t="s">
        <v>454</v>
      </c>
      <c r="B398" t="s">
        <v>101</v>
      </c>
      <c r="C398" t="s">
        <v>853</v>
      </c>
    </row>
    <row r="399" spans="1:3" x14ac:dyDescent="0.15">
      <c r="A399" t="s">
        <v>454</v>
      </c>
      <c r="B399" t="s">
        <v>101</v>
      </c>
      <c r="C399" t="s">
        <v>854</v>
      </c>
    </row>
    <row r="400" spans="1:3" x14ac:dyDescent="0.15">
      <c r="A400" t="s">
        <v>454</v>
      </c>
      <c r="B400" t="s">
        <v>101</v>
      </c>
      <c r="C400" t="s">
        <v>855</v>
      </c>
    </row>
    <row r="401" spans="1:3" x14ac:dyDescent="0.15">
      <c r="A401" t="s">
        <v>454</v>
      </c>
      <c r="B401" t="s">
        <v>101</v>
      </c>
      <c r="C401" t="s">
        <v>856</v>
      </c>
    </row>
    <row r="402" spans="1:3" x14ac:dyDescent="0.15">
      <c r="A402" t="s">
        <v>454</v>
      </c>
      <c r="B402" t="s">
        <v>101</v>
      </c>
      <c r="C402" t="s">
        <v>857</v>
      </c>
    </row>
    <row r="403" spans="1:3" x14ac:dyDescent="0.15">
      <c r="A403" t="s">
        <v>454</v>
      </c>
      <c r="B403" t="s">
        <v>101</v>
      </c>
      <c r="C403" t="s">
        <v>858</v>
      </c>
    </row>
    <row r="404" spans="1:3" x14ac:dyDescent="0.15">
      <c r="A404" t="s">
        <v>454</v>
      </c>
      <c r="B404" t="s">
        <v>101</v>
      </c>
      <c r="C404" t="s">
        <v>859</v>
      </c>
    </row>
    <row r="405" spans="1:3" x14ac:dyDescent="0.15">
      <c r="A405" t="s">
        <v>454</v>
      </c>
      <c r="B405" t="s">
        <v>101</v>
      </c>
      <c r="C405" t="s">
        <v>860</v>
      </c>
    </row>
    <row r="406" spans="1:3" x14ac:dyDescent="0.15">
      <c r="A406" t="s">
        <v>454</v>
      </c>
      <c r="B406" t="s">
        <v>101</v>
      </c>
      <c r="C406" t="s">
        <v>861</v>
      </c>
    </row>
    <row r="407" spans="1:3" x14ac:dyDescent="0.15">
      <c r="A407" t="s">
        <v>454</v>
      </c>
      <c r="B407" t="s">
        <v>101</v>
      </c>
      <c r="C407" t="s">
        <v>862</v>
      </c>
    </row>
    <row r="408" spans="1:3" x14ac:dyDescent="0.15">
      <c r="A408" t="s">
        <v>454</v>
      </c>
      <c r="B408" t="s">
        <v>101</v>
      </c>
      <c r="C408" t="s">
        <v>863</v>
      </c>
    </row>
    <row r="409" spans="1:3" x14ac:dyDescent="0.15">
      <c r="A409" t="s">
        <v>454</v>
      </c>
      <c r="B409" t="s">
        <v>101</v>
      </c>
      <c r="C409" t="s">
        <v>864</v>
      </c>
    </row>
    <row r="410" spans="1:3" x14ac:dyDescent="0.15">
      <c r="A410" t="s">
        <v>454</v>
      </c>
      <c r="B410" t="s">
        <v>101</v>
      </c>
      <c r="C410" t="s">
        <v>865</v>
      </c>
    </row>
    <row r="411" spans="1:3" x14ac:dyDescent="0.15">
      <c r="A411" t="s">
        <v>454</v>
      </c>
      <c r="B411" t="s">
        <v>101</v>
      </c>
      <c r="C411" t="s">
        <v>866</v>
      </c>
    </row>
    <row r="412" spans="1:3" x14ac:dyDescent="0.15">
      <c r="A412" t="s">
        <v>454</v>
      </c>
      <c r="B412" t="s">
        <v>101</v>
      </c>
      <c r="C412" t="s">
        <v>867</v>
      </c>
    </row>
    <row r="413" spans="1:3" x14ac:dyDescent="0.15">
      <c r="A413" t="s">
        <v>454</v>
      </c>
      <c r="B413" t="s">
        <v>101</v>
      </c>
      <c r="C413" t="s">
        <v>868</v>
      </c>
    </row>
    <row r="414" spans="1:3" x14ac:dyDescent="0.15">
      <c r="A414" t="s">
        <v>454</v>
      </c>
      <c r="B414" t="s">
        <v>101</v>
      </c>
      <c r="C414" t="s">
        <v>869</v>
      </c>
    </row>
    <row r="415" spans="1:3" x14ac:dyDescent="0.15">
      <c r="A415" t="s">
        <v>454</v>
      </c>
      <c r="B415" t="s">
        <v>101</v>
      </c>
      <c r="C415" t="s">
        <v>870</v>
      </c>
    </row>
    <row r="416" spans="1:3" x14ac:dyDescent="0.15">
      <c r="A416" t="s">
        <v>454</v>
      </c>
      <c r="B416" t="s">
        <v>101</v>
      </c>
      <c r="C416" t="s">
        <v>871</v>
      </c>
    </row>
    <row r="417" spans="1:3" x14ac:dyDescent="0.15">
      <c r="A417" t="s">
        <v>454</v>
      </c>
      <c r="B417" t="s">
        <v>101</v>
      </c>
      <c r="C417" t="s">
        <v>872</v>
      </c>
    </row>
    <row r="418" spans="1:3" x14ac:dyDescent="0.15">
      <c r="A418" t="s">
        <v>454</v>
      </c>
      <c r="B418" t="s">
        <v>101</v>
      </c>
      <c r="C418" t="s">
        <v>873</v>
      </c>
    </row>
    <row r="419" spans="1:3" x14ac:dyDescent="0.15">
      <c r="A419" t="s">
        <v>454</v>
      </c>
      <c r="B419" t="s">
        <v>101</v>
      </c>
      <c r="C419" t="s">
        <v>874</v>
      </c>
    </row>
    <row r="420" spans="1:3" x14ac:dyDescent="0.15">
      <c r="A420" t="s">
        <v>454</v>
      </c>
      <c r="B420" t="s">
        <v>101</v>
      </c>
      <c r="C420" t="s">
        <v>875</v>
      </c>
    </row>
    <row r="421" spans="1:3" x14ac:dyDescent="0.15">
      <c r="A421" t="s">
        <v>454</v>
      </c>
      <c r="B421" t="s">
        <v>101</v>
      </c>
      <c r="C421" t="s">
        <v>876</v>
      </c>
    </row>
    <row r="422" spans="1:3" x14ac:dyDescent="0.15">
      <c r="A422" t="s">
        <v>454</v>
      </c>
      <c r="B422" t="s">
        <v>101</v>
      </c>
      <c r="C422" t="s">
        <v>877</v>
      </c>
    </row>
    <row r="423" spans="1:3" x14ac:dyDescent="0.15">
      <c r="A423" t="s">
        <v>454</v>
      </c>
      <c r="B423" t="s">
        <v>101</v>
      </c>
      <c r="C423" t="s">
        <v>878</v>
      </c>
    </row>
    <row r="424" spans="1:3" x14ac:dyDescent="0.15">
      <c r="A424" t="s">
        <v>454</v>
      </c>
      <c r="B424" t="s">
        <v>101</v>
      </c>
      <c r="C424" t="s">
        <v>879</v>
      </c>
    </row>
    <row r="425" spans="1:3" x14ac:dyDescent="0.15">
      <c r="A425" t="s">
        <v>454</v>
      </c>
      <c r="B425" t="s">
        <v>101</v>
      </c>
      <c r="C425" t="s">
        <v>880</v>
      </c>
    </row>
    <row r="426" spans="1:3" x14ac:dyDescent="0.15">
      <c r="A426" t="s">
        <v>454</v>
      </c>
      <c r="B426" t="s">
        <v>101</v>
      </c>
      <c r="C426" t="s">
        <v>881</v>
      </c>
    </row>
    <row r="427" spans="1:3" x14ac:dyDescent="0.15">
      <c r="A427" t="s">
        <v>454</v>
      </c>
      <c r="B427" t="s">
        <v>101</v>
      </c>
      <c r="C427" t="s">
        <v>882</v>
      </c>
    </row>
    <row r="428" spans="1:3" x14ac:dyDescent="0.15">
      <c r="A428" t="s">
        <v>454</v>
      </c>
      <c r="B428" t="s">
        <v>101</v>
      </c>
      <c r="C428" t="s">
        <v>883</v>
      </c>
    </row>
    <row r="429" spans="1:3" x14ac:dyDescent="0.15">
      <c r="A429" t="s">
        <v>454</v>
      </c>
      <c r="B429" t="s">
        <v>101</v>
      </c>
      <c r="C429" t="s">
        <v>884</v>
      </c>
    </row>
    <row r="430" spans="1:3" x14ac:dyDescent="0.15">
      <c r="A430" t="s">
        <v>454</v>
      </c>
      <c r="B430" t="s">
        <v>101</v>
      </c>
      <c r="C430" t="s">
        <v>885</v>
      </c>
    </row>
    <row r="431" spans="1:3" x14ac:dyDescent="0.15">
      <c r="A431" t="s">
        <v>454</v>
      </c>
      <c r="B431" t="s">
        <v>101</v>
      </c>
      <c r="C431" t="s">
        <v>886</v>
      </c>
    </row>
    <row r="432" spans="1:3" x14ac:dyDescent="0.15">
      <c r="A432" t="s">
        <v>454</v>
      </c>
      <c r="B432" t="s">
        <v>101</v>
      </c>
      <c r="C432" t="s">
        <v>887</v>
      </c>
    </row>
    <row r="433" spans="1:3" x14ac:dyDescent="0.15">
      <c r="A433" t="s">
        <v>454</v>
      </c>
      <c r="B433" t="s">
        <v>101</v>
      </c>
      <c r="C433" t="s">
        <v>888</v>
      </c>
    </row>
    <row r="434" spans="1:3" x14ac:dyDescent="0.15">
      <c r="A434" t="s">
        <v>454</v>
      </c>
      <c r="B434" t="s">
        <v>101</v>
      </c>
      <c r="C434" t="s">
        <v>889</v>
      </c>
    </row>
    <row r="435" spans="1:3" x14ac:dyDescent="0.15">
      <c r="A435" t="s">
        <v>454</v>
      </c>
      <c r="B435" t="s">
        <v>101</v>
      </c>
      <c r="C435" t="s">
        <v>890</v>
      </c>
    </row>
    <row r="436" spans="1:3" x14ac:dyDescent="0.15">
      <c r="A436" t="s">
        <v>454</v>
      </c>
      <c r="B436" t="s">
        <v>101</v>
      </c>
      <c r="C436" t="s">
        <v>891</v>
      </c>
    </row>
    <row r="437" spans="1:3" x14ac:dyDescent="0.15">
      <c r="A437" t="s">
        <v>454</v>
      </c>
      <c r="B437" t="s">
        <v>101</v>
      </c>
      <c r="C437" t="s">
        <v>892</v>
      </c>
    </row>
    <row r="438" spans="1:3" x14ac:dyDescent="0.15">
      <c r="A438" t="s">
        <v>454</v>
      </c>
      <c r="B438" t="s">
        <v>101</v>
      </c>
      <c r="C438" t="s">
        <v>893</v>
      </c>
    </row>
    <row r="439" spans="1:3" x14ac:dyDescent="0.15">
      <c r="A439" t="s">
        <v>454</v>
      </c>
      <c r="B439" t="s">
        <v>101</v>
      </c>
      <c r="C439" t="s">
        <v>894</v>
      </c>
    </row>
    <row r="440" spans="1:3" x14ac:dyDescent="0.15">
      <c r="A440" t="s">
        <v>454</v>
      </c>
      <c r="B440" t="s">
        <v>101</v>
      </c>
      <c r="C440" t="s">
        <v>895</v>
      </c>
    </row>
    <row r="441" spans="1:3" x14ac:dyDescent="0.15">
      <c r="A441" t="s">
        <v>454</v>
      </c>
      <c r="B441" t="s">
        <v>101</v>
      </c>
      <c r="C441" t="s">
        <v>896</v>
      </c>
    </row>
    <row r="442" spans="1:3" x14ac:dyDescent="0.15">
      <c r="A442" t="s">
        <v>454</v>
      </c>
      <c r="B442" t="s">
        <v>101</v>
      </c>
      <c r="C442" t="s">
        <v>897</v>
      </c>
    </row>
    <row r="443" spans="1:3" x14ac:dyDescent="0.15">
      <c r="A443" t="s">
        <v>454</v>
      </c>
      <c r="B443" t="s">
        <v>101</v>
      </c>
      <c r="C443" t="s">
        <v>898</v>
      </c>
    </row>
    <row r="444" spans="1:3" x14ac:dyDescent="0.15">
      <c r="A444" t="s">
        <v>454</v>
      </c>
      <c r="B444" t="s">
        <v>101</v>
      </c>
      <c r="C444" t="s">
        <v>899</v>
      </c>
    </row>
    <row r="445" spans="1:3" x14ac:dyDescent="0.15">
      <c r="A445" t="s">
        <v>454</v>
      </c>
      <c r="B445" t="s">
        <v>101</v>
      </c>
      <c r="C445" t="s">
        <v>900</v>
      </c>
    </row>
    <row r="446" spans="1:3" x14ac:dyDescent="0.15">
      <c r="A446" t="s">
        <v>454</v>
      </c>
      <c r="B446" t="s">
        <v>101</v>
      </c>
      <c r="C446" t="s">
        <v>901</v>
      </c>
    </row>
    <row r="447" spans="1:3" x14ac:dyDescent="0.15">
      <c r="A447" t="s">
        <v>454</v>
      </c>
      <c r="B447" t="s">
        <v>101</v>
      </c>
      <c r="C447" t="s">
        <v>902</v>
      </c>
    </row>
    <row r="448" spans="1:3" x14ac:dyDescent="0.15">
      <c r="A448" t="s">
        <v>454</v>
      </c>
      <c r="B448" t="s">
        <v>101</v>
      </c>
      <c r="C448" t="s">
        <v>903</v>
      </c>
    </row>
    <row r="449" spans="1:3" x14ac:dyDescent="0.15">
      <c r="A449" t="s">
        <v>454</v>
      </c>
      <c r="B449" t="s">
        <v>101</v>
      </c>
      <c r="C449" t="s">
        <v>904</v>
      </c>
    </row>
    <row r="450" spans="1:3" x14ac:dyDescent="0.15">
      <c r="A450" t="s">
        <v>454</v>
      </c>
      <c r="B450" t="s">
        <v>101</v>
      </c>
      <c r="C450" t="s">
        <v>905</v>
      </c>
    </row>
    <row r="451" spans="1:3" x14ac:dyDescent="0.15">
      <c r="A451" t="s">
        <v>454</v>
      </c>
      <c r="B451" t="s">
        <v>101</v>
      </c>
      <c r="C451" t="s">
        <v>906</v>
      </c>
    </row>
    <row r="452" spans="1:3" x14ac:dyDescent="0.15">
      <c r="A452" t="s">
        <v>454</v>
      </c>
      <c r="B452" t="s">
        <v>101</v>
      </c>
      <c r="C452" t="s">
        <v>907</v>
      </c>
    </row>
    <row r="453" spans="1:3" x14ac:dyDescent="0.15">
      <c r="A453" t="s">
        <v>454</v>
      </c>
      <c r="B453" t="s">
        <v>101</v>
      </c>
      <c r="C453" t="s">
        <v>908</v>
      </c>
    </row>
    <row r="454" spans="1:3" x14ac:dyDescent="0.15">
      <c r="A454" t="s">
        <v>454</v>
      </c>
      <c r="B454" t="s">
        <v>101</v>
      </c>
      <c r="C454" t="s">
        <v>909</v>
      </c>
    </row>
    <row r="455" spans="1:3" x14ac:dyDescent="0.15">
      <c r="A455" t="s">
        <v>454</v>
      </c>
      <c r="B455" t="s">
        <v>101</v>
      </c>
      <c r="C455" t="s">
        <v>910</v>
      </c>
    </row>
    <row r="456" spans="1:3" x14ac:dyDescent="0.15">
      <c r="A456" t="s">
        <v>454</v>
      </c>
      <c r="B456" t="s">
        <v>101</v>
      </c>
      <c r="C456" t="s">
        <v>911</v>
      </c>
    </row>
    <row r="457" spans="1:3" x14ac:dyDescent="0.15">
      <c r="A457" t="s">
        <v>454</v>
      </c>
      <c r="B457" t="s">
        <v>101</v>
      </c>
      <c r="C457" t="s">
        <v>912</v>
      </c>
    </row>
    <row r="458" spans="1:3" x14ac:dyDescent="0.15">
      <c r="A458" t="s">
        <v>454</v>
      </c>
      <c r="B458" t="s">
        <v>101</v>
      </c>
      <c r="C458" t="s">
        <v>913</v>
      </c>
    </row>
    <row r="459" spans="1:3" x14ac:dyDescent="0.15">
      <c r="A459" t="s">
        <v>454</v>
      </c>
      <c r="B459" t="s">
        <v>101</v>
      </c>
      <c r="C459" t="s">
        <v>914</v>
      </c>
    </row>
    <row r="460" spans="1:3" x14ac:dyDescent="0.15">
      <c r="A460" t="s">
        <v>454</v>
      </c>
      <c r="B460" t="s">
        <v>101</v>
      </c>
      <c r="C460" t="s">
        <v>915</v>
      </c>
    </row>
    <row r="461" spans="1:3" x14ac:dyDescent="0.15">
      <c r="A461" t="s">
        <v>454</v>
      </c>
      <c r="B461" t="s">
        <v>101</v>
      </c>
      <c r="C461" t="s">
        <v>916</v>
      </c>
    </row>
    <row r="462" spans="1:3" x14ac:dyDescent="0.15">
      <c r="A462" t="s">
        <v>454</v>
      </c>
      <c r="B462" t="s">
        <v>101</v>
      </c>
      <c r="C462" t="s">
        <v>917</v>
      </c>
    </row>
    <row r="463" spans="1:3" x14ac:dyDescent="0.15">
      <c r="A463" t="s">
        <v>454</v>
      </c>
      <c r="B463" t="s">
        <v>101</v>
      </c>
      <c r="C463" t="s">
        <v>918</v>
      </c>
    </row>
    <row r="464" spans="1:3" x14ac:dyDescent="0.15">
      <c r="A464" t="s">
        <v>454</v>
      </c>
      <c r="B464" t="s">
        <v>101</v>
      </c>
      <c r="C464" t="s">
        <v>919</v>
      </c>
    </row>
    <row r="465" spans="1:3" x14ac:dyDescent="0.15">
      <c r="A465" t="s">
        <v>454</v>
      </c>
      <c r="B465" t="s">
        <v>101</v>
      </c>
      <c r="C465" t="s">
        <v>920</v>
      </c>
    </row>
    <row r="466" spans="1:3" x14ac:dyDescent="0.15">
      <c r="A466" t="s">
        <v>454</v>
      </c>
      <c r="B466" t="s">
        <v>101</v>
      </c>
      <c r="C466" t="s">
        <v>921</v>
      </c>
    </row>
    <row r="467" spans="1:3" x14ac:dyDescent="0.15">
      <c r="A467" t="s">
        <v>454</v>
      </c>
      <c r="B467" t="s">
        <v>101</v>
      </c>
      <c r="C467" t="s">
        <v>922</v>
      </c>
    </row>
    <row r="468" spans="1:3" x14ac:dyDescent="0.15">
      <c r="A468" t="s">
        <v>454</v>
      </c>
      <c r="B468" t="s">
        <v>101</v>
      </c>
      <c r="C468" t="s">
        <v>923</v>
      </c>
    </row>
    <row r="469" spans="1:3" x14ac:dyDescent="0.15">
      <c r="A469" t="s">
        <v>454</v>
      </c>
      <c r="B469" t="s">
        <v>101</v>
      </c>
      <c r="C469" t="s">
        <v>924</v>
      </c>
    </row>
    <row r="470" spans="1:3" x14ac:dyDescent="0.15">
      <c r="A470" t="s">
        <v>454</v>
      </c>
      <c r="B470" t="s">
        <v>101</v>
      </c>
      <c r="C470" t="s">
        <v>925</v>
      </c>
    </row>
    <row r="471" spans="1:3" x14ac:dyDescent="0.15">
      <c r="A471" t="s">
        <v>454</v>
      </c>
      <c r="B471" t="s">
        <v>101</v>
      </c>
      <c r="C471" t="s">
        <v>926</v>
      </c>
    </row>
    <row r="472" spans="1:3" x14ac:dyDescent="0.15">
      <c r="A472" t="s">
        <v>454</v>
      </c>
      <c r="B472" t="s">
        <v>101</v>
      </c>
      <c r="C472" t="s">
        <v>927</v>
      </c>
    </row>
    <row r="473" spans="1:3" x14ac:dyDescent="0.15">
      <c r="A473" t="s">
        <v>454</v>
      </c>
      <c r="B473" t="s">
        <v>101</v>
      </c>
      <c r="C473" t="s">
        <v>928</v>
      </c>
    </row>
    <row r="474" spans="1:3" x14ac:dyDescent="0.15">
      <c r="A474" t="s">
        <v>454</v>
      </c>
      <c r="B474" t="s">
        <v>101</v>
      </c>
      <c r="C474" t="s">
        <v>929</v>
      </c>
    </row>
    <row r="475" spans="1:3" x14ac:dyDescent="0.15">
      <c r="A475" t="s">
        <v>454</v>
      </c>
      <c r="B475" t="s">
        <v>101</v>
      </c>
      <c r="C475" t="s">
        <v>930</v>
      </c>
    </row>
    <row r="476" spans="1:3" x14ac:dyDescent="0.15">
      <c r="A476" t="s">
        <v>454</v>
      </c>
      <c r="B476" t="s">
        <v>101</v>
      </c>
      <c r="C476" t="s">
        <v>931</v>
      </c>
    </row>
    <row r="477" spans="1:3" x14ac:dyDescent="0.15">
      <c r="A477" t="s">
        <v>454</v>
      </c>
      <c r="B477" t="s">
        <v>101</v>
      </c>
      <c r="C477" t="s">
        <v>932</v>
      </c>
    </row>
    <row r="478" spans="1:3" x14ac:dyDescent="0.15">
      <c r="A478" t="s">
        <v>454</v>
      </c>
      <c r="B478" t="s">
        <v>101</v>
      </c>
      <c r="C478" t="s">
        <v>933</v>
      </c>
    </row>
    <row r="479" spans="1:3" x14ac:dyDescent="0.15">
      <c r="A479" t="s">
        <v>454</v>
      </c>
      <c r="B479" t="s">
        <v>101</v>
      </c>
      <c r="C479" t="s">
        <v>934</v>
      </c>
    </row>
    <row r="480" spans="1:3" x14ac:dyDescent="0.15">
      <c r="A480" t="s">
        <v>454</v>
      </c>
      <c r="B480" t="s">
        <v>101</v>
      </c>
      <c r="C480" t="s">
        <v>935</v>
      </c>
    </row>
    <row r="481" spans="1:3" x14ac:dyDescent="0.15">
      <c r="A481" t="s">
        <v>454</v>
      </c>
      <c r="B481" t="s">
        <v>101</v>
      </c>
      <c r="C481" t="s">
        <v>936</v>
      </c>
    </row>
    <row r="482" spans="1:3" x14ac:dyDescent="0.15">
      <c r="A482" t="s">
        <v>454</v>
      </c>
      <c r="B482" t="s">
        <v>101</v>
      </c>
      <c r="C482" t="s">
        <v>937</v>
      </c>
    </row>
    <row r="483" spans="1:3" x14ac:dyDescent="0.15">
      <c r="A483" t="s">
        <v>454</v>
      </c>
      <c r="B483" t="s">
        <v>101</v>
      </c>
      <c r="C483" t="s">
        <v>938</v>
      </c>
    </row>
    <row r="484" spans="1:3" x14ac:dyDescent="0.15">
      <c r="A484" t="s">
        <v>454</v>
      </c>
      <c r="B484" t="s">
        <v>101</v>
      </c>
      <c r="C484" t="s">
        <v>939</v>
      </c>
    </row>
    <row r="485" spans="1:3" x14ac:dyDescent="0.15">
      <c r="A485" t="s">
        <v>454</v>
      </c>
      <c r="B485" t="s">
        <v>101</v>
      </c>
      <c r="C485" t="s">
        <v>940</v>
      </c>
    </row>
    <row r="486" spans="1:3" x14ac:dyDescent="0.15">
      <c r="A486" t="s">
        <v>454</v>
      </c>
      <c r="B486" t="s">
        <v>101</v>
      </c>
      <c r="C486" t="s">
        <v>941</v>
      </c>
    </row>
    <row r="487" spans="1:3" x14ac:dyDescent="0.15">
      <c r="A487" t="s">
        <v>454</v>
      </c>
      <c r="B487" t="s">
        <v>101</v>
      </c>
      <c r="C487" t="s">
        <v>942</v>
      </c>
    </row>
    <row r="488" spans="1:3" x14ac:dyDescent="0.15">
      <c r="A488" t="s">
        <v>454</v>
      </c>
      <c r="B488" t="s">
        <v>101</v>
      </c>
      <c r="C488" t="s">
        <v>943</v>
      </c>
    </row>
    <row r="489" spans="1:3" x14ac:dyDescent="0.15">
      <c r="A489" t="s">
        <v>454</v>
      </c>
      <c r="B489" t="s">
        <v>101</v>
      </c>
      <c r="C489" t="s">
        <v>944</v>
      </c>
    </row>
    <row r="490" spans="1:3" x14ac:dyDescent="0.15">
      <c r="A490" t="s">
        <v>454</v>
      </c>
      <c r="B490" t="s">
        <v>101</v>
      </c>
      <c r="C490" t="s">
        <v>945</v>
      </c>
    </row>
    <row r="491" spans="1:3" x14ac:dyDescent="0.15">
      <c r="A491" t="s">
        <v>454</v>
      </c>
      <c r="B491" t="s">
        <v>101</v>
      </c>
      <c r="C491" t="s">
        <v>946</v>
      </c>
    </row>
    <row r="492" spans="1:3" x14ac:dyDescent="0.15">
      <c r="A492" t="s">
        <v>454</v>
      </c>
      <c r="B492" t="s">
        <v>101</v>
      </c>
      <c r="C492" t="s">
        <v>947</v>
      </c>
    </row>
    <row r="493" spans="1:3" x14ac:dyDescent="0.15">
      <c r="A493" t="s">
        <v>454</v>
      </c>
      <c r="B493" t="s">
        <v>101</v>
      </c>
      <c r="C493" t="s">
        <v>948</v>
      </c>
    </row>
    <row r="494" spans="1:3" x14ac:dyDescent="0.15">
      <c r="A494" t="s">
        <v>454</v>
      </c>
      <c r="B494" t="s">
        <v>101</v>
      </c>
      <c r="C494" t="s">
        <v>949</v>
      </c>
    </row>
    <row r="495" spans="1:3" x14ac:dyDescent="0.15">
      <c r="A495" t="s">
        <v>454</v>
      </c>
      <c r="B495" t="s">
        <v>101</v>
      </c>
      <c r="C495" t="s">
        <v>950</v>
      </c>
    </row>
    <row r="496" spans="1:3" x14ac:dyDescent="0.15">
      <c r="A496" t="s">
        <v>454</v>
      </c>
      <c r="B496" t="s">
        <v>101</v>
      </c>
      <c r="C496" t="s">
        <v>951</v>
      </c>
    </row>
    <row r="497" spans="1:3" x14ac:dyDescent="0.15">
      <c r="A497" t="s">
        <v>454</v>
      </c>
      <c r="B497" t="s">
        <v>101</v>
      </c>
      <c r="C497" t="s">
        <v>952</v>
      </c>
    </row>
    <row r="498" spans="1:3" x14ac:dyDescent="0.15">
      <c r="A498" t="s">
        <v>454</v>
      </c>
      <c r="B498" t="s">
        <v>101</v>
      </c>
      <c r="C498" t="s">
        <v>953</v>
      </c>
    </row>
    <row r="499" spans="1:3" x14ac:dyDescent="0.15">
      <c r="A499" t="s">
        <v>454</v>
      </c>
      <c r="B499" t="s">
        <v>101</v>
      </c>
      <c r="C499" t="s">
        <v>954</v>
      </c>
    </row>
    <row r="500" spans="1:3" x14ac:dyDescent="0.15">
      <c r="A500" t="s">
        <v>454</v>
      </c>
      <c r="B500" t="s">
        <v>101</v>
      </c>
      <c r="C500" t="s">
        <v>955</v>
      </c>
    </row>
    <row r="501" spans="1:3" x14ac:dyDescent="0.15">
      <c r="A501" t="s">
        <v>454</v>
      </c>
      <c r="B501" t="s">
        <v>101</v>
      </c>
      <c r="C501" t="s">
        <v>956</v>
      </c>
    </row>
    <row r="502" spans="1:3" x14ac:dyDescent="0.15">
      <c r="A502" t="s">
        <v>454</v>
      </c>
      <c r="B502" t="s">
        <v>101</v>
      </c>
      <c r="C502" t="s">
        <v>957</v>
      </c>
    </row>
    <row r="503" spans="1:3" x14ac:dyDescent="0.15">
      <c r="A503" t="s">
        <v>454</v>
      </c>
      <c r="B503" t="s">
        <v>101</v>
      </c>
      <c r="C503" t="s">
        <v>958</v>
      </c>
    </row>
    <row r="504" spans="1:3" x14ac:dyDescent="0.15">
      <c r="A504" t="s">
        <v>454</v>
      </c>
      <c r="B504" t="s">
        <v>101</v>
      </c>
      <c r="C504" t="s">
        <v>959</v>
      </c>
    </row>
    <row r="505" spans="1:3" x14ac:dyDescent="0.15">
      <c r="A505" t="s">
        <v>454</v>
      </c>
      <c r="B505" t="s">
        <v>101</v>
      </c>
      <c r="C505" t="s">
        <v>960</v>
      </c>
    </row>
    <row r="506" spans="1:3" x14ac:dyDescent="0.15">
      <c r="A506" t="s">
        <v>454</v>
      </c>
      <c r="B506" t="s">
        <v>101</v>
      </c>
      <c r="C506" t="s">
        <v>961</v>
      </c>
    </row>
    <row r="507" spans="1:3" x14ac:dyDescent="0.15">
      <c r="A507" t="s">
        <v>454</v>
      </c>
      <c r="B507" t="s">
        <v>101</v>
      </c>
      <c r="C507" t="s">
        <v>962</v>
      </c>
    </row>
    <row r="508" spans="1:3" x14ac:dyDescent="0.15">
      <c r="A508" t="s">
        <v>454</v>
      </c>
      <c r="B508" t="s">
        <v>101</v>
      </c>
      <c r="C508" t="s">
        <v>963</v>
      </c>
    </row>
    <row r="509" spans="1:3" x14ac:dyDescent="0.15">
      <c r="A509" t="s">
        <v>454</v>
      </c>
      <c r="B509" t="s">
        <v>101</v>
      </c>
      <c r="C509" t="s">
        <v>964</v>
      </c>
    </row>
    <row r="510" spans="1:3" x14ac:dyDescent="0.15">
      <c r="A510" t="s">
        <v>454</v>
      </c>
      <c r="B510" t="s">
        <v>101</v>
      </c>
      <c r="C510" t="s">
        <v>965</v>
      </c>
    </row>
    <row r="511" spans="1:3" x14ac:dyDescent="0.15">
      <c r="A511" t="s">
        <v>454</v>
      </c>
      <c r="B511" t="s">
        <v>101</v>
      </c>
      <c r="C511" t="s">
        <v>966</v>
      </c>
    </row>
    <row r="512" spans="1:3" x14ac:dyDescent="0.15">
      <c r="A512" t="s">
        <v>454</v>
      </c>
      <c r="B512" t="s">
        <v>101</v>
      </c>
      <c r="C512" t="s">
        <v>967</v>
      </c>
    </row>
    <row r="513" spans="1:3" x14ac:dyDescent="0.15">
      <c r="A513" t="s">
        <v>454</v>
      </c>
      <c r="B513" t="s">
        <v>101</v>
      </c>
      <c r="C513" t="s">
        <v>968</v>
      </c>
    </row>
    <row r="514" spans="1:3" x14ac:dyDescent="0.15">
      <c r="A514" t="s">
        <v>454</v>
      </c>
      <c r="B514" t="s">
        <v>101</v>
      </c>
      <c r="C514" t="s">
        <v>969</v>
      </c>
    </row>
    <row r="515" spans="1:3" x14ac:dyDescent="0.15">
      <c r="A515" t="s">
        <v>454</v>
      </c>
      <c r="B515" t="s">
        <v>101</v>
      </c>
      <c r="C515" t="s">
        <v>970</v>
      </c>
    </row>
    <row r="516" spans="1:3" x14ac:dyDescent="0.15">
      <c r="A516" t="s">
        <v>454</v>
      </c>
      <c r="B516" t="s">
        <v>101</v>
      </c>
      <c r="C516" t="s">
        <v>971</v>
      </c>
    </row>
    <row r="517" spans="1:3" x14ac:dyDescent="0.15">
      <c r="A517" t="s">
        <v>454</v>
      </c>
      <c r="B517" t="s">
        <v>101</v>
      </c>
      <c r="C517" t="s">
        <v>972</v>
      </c>
    </row>
    <row r="518" spans="1:3" x14ac:dyDescent="0.15">
      <c r="A518" t="s">
        <v>454</v>
      </c>
      <c r="B518" t="s">
        <v>101</v>
      </c>
      <c r="C518" t="s">
        <v>973</v>
      </c>
    </row>
    <row r="519" spans="1:3" x14ac:dyDescent="0.15">
      <c r="A519" t="s">
        <v>454</v>
      </c>
      <c r="B519" t="s">
        <v>101</v>
      </c>
      <c r="C519" t="s">
        <v>974</v>
      </c>
    </row>
    <row r="520" spans="1:3" x14ac:dyDescent="0.15">
      <c r="A520" t="s">
        <v>454</v>
      </c>
      <c r="B520" t="s">
        <v>101</v>
      </c>
      <c r="C520" t="s">
        <v>975</v>
      </c>
    </row>
    <row r="521" spans="1:3" x14ac:dyDescent="0.15">
      <c r="A521" t="s">
        <v>454</v>
      </c>
      <c r="B521" t="s">
        <v>101</v>
      </c>
      <c r="C521" t="s">
        <v>976</v>
      </c>
    </row>
    <row r="522" spans="1:3" x14ac:dyDescent="0.15">
      <c r="A522" t="s">
        <v>454</v>
      </c>
      <c r="B522" t="s">
        <v>101</v>
      </c>
      <c r="C522" t="s">
        <v>977</v>
      </c>
    </row>
    <row r="523" spans="1:3" x14ac:dyDescent="0.15">
      <c r="A523" t="s">
        <v>454</v>
      </c>
      <c r="B523" t="s">
        <v>101</v>
      </c>
      <c r="C523" t="s">
        <v>978</v>
      </c>
    </row>
    <row r="524" spans="1:3" x14ac:dyDescent="0.15">
      <c r="A524" t="s">
        <v>454</v>
      </c>
      <c r="B524" t="s">
        <v>101</v>
      </c>
      <c r="C524" t="s">
        <v>979</v>
      </c>
    </row>
    <row r="525" spans="1:3" x14ac:dyDescent="0.15">
      <c r="A525" t="s">
        <v>454</v>
      </c>
      <c r="B525" t="s">
        <v>101</v>
      </c>
      <c r="C525" t="s">
        <v>980</v>
      </c>
    </row>
    <row r="526" spans="1:3" x14ac:dyDescent="0.15">
      <c r="A526" t="s">
        <v>454</v>
      </c>
      <c r="B526" t="s">
        <v>101</v>
      </c>
      <c r="C526" t="s">
        <v>981</v>
      </c>
    </row>
    <row r="527" spans="1:3" x14ac:dyDescent="0.15">
      <c r="A527" t="s">
        <v>454</v>
      </c>
      <c r="B527" t="s">
        <v>101</v>
      </c>
      <c r="C527" t="s">
        <v>982</v>
      </c>
    </row>
    <row r="528" spans="1:3" x14ac:dyDescent="0.15">
      <c r="A528" t="s">
        <v>454</v>
      </c>
      <c r="B528" t="s">
        <v>101</v>
      </c>
      <c r="C528" t="s">
        <v>983</v>
      </c>
    </row>
    <row r="529" spans="1:3" x14ac:dyDescent="0.15">
      <c r="A529" t="s">
        <v>454</v>
      </c>
      <c r="B529" t="s">
        <v>101</v>
      </c>
      <c r="C529" t="s">
        <v>984</v>
      </c>
    </row>
    <row r="530" spans="1:3" x14ac:dyDescent="0.15">
      <c r="A530" t="s">
        <v>454</v>
      </c>
      <c r="B530" t="s">
        <v>101</v>
      </c>
      <c r="C530" t="s">
        <v>985</v>
      </c>
    </row>
    <row r="531" spans="1:3" x14ac:dyDescent="0.15">
      <c r="A531" t="s">
        <v>454</v>
      </c>
      <c r="B531" t="s">
        <v>101</v>
      </c>
      <c r="C531" t="s">
        <v>986</v>
      </c>
    </row>
    <row r="532" spans="1:3" x14ac:dyDescent="0.15">
      <c r="A532" t="s">
        <v>454</v>
      </c>
      <c r="B532" t="s">
        <v>101</v>
      </c>
      <c r="C532" t="s">
        <v>987</v>
      </c>
    </row>
    <row r="533" spans="1:3" x14ac:dyDescent="0.15">
      <c r="A533" t="s">
        <v>454</v>
      </c>
      <c r="B533" t="s">
        <v>101</v>
      </c>
      <c r="C533" t="s">
        <v>988</v>
      </c>
    </row>
    <row r="534" spans="1:3" x14ac:dyDescent="0.15">
      <c r="A534" t="s">
        <v>454</v>
      </c>
      <c r="B534" t="s">
        <v>101</v>
      </c>
      <c r="C534" t="s">
        <v>989</v>
      </c>
    </row>
    <row r="535" spans="1:3" x14ac:dyDescent="0.15">
      <c r="A535" t="s">
        <v>454</v>
      </c>
      <c r="B535" t="s">
        <v>101</v>
      </c>
      <c r="C535" t="s">
        <v>990</v>
      </c>
    </row>
    <row r="536" spans="1:3" x14ac:dyDescent="0.15">
      <c r="A536" t="s">
        <v>454</v>
      </c>
      <c r="B536" t="s">
        <v>101</v>
      </c>
      <c r="C536" t="s">
        <v>991</v>
      </c>
    </row>
    <row r="537" spans="1:3" x14ac:dyDescent="0.15">
      <c r="A537" t="s">
        <v>454</v>
      </c>
      <c r="B537" t="s">
        <v>101</v>
      </c>
      <c r="C537" t="s">
        <v>992</v>
      </c>
    </row>
    <row r="538" spans="1:3" x14ac:dyDescent="0.15">
      <c r="A538" t="s">
        <v>454</v>
      </c>
      <c r="B538" t="s">
        <v>101</v>
      </c>
      <c r="C538" t="s">
        <v>993</v>
      </c>
    </row>
    <row r="539" spans="1:3" x14ac:dyDescent="0.15">
      <c r="A539" t="s">
        <v>454</v>
      </c>
      <c r="B539" t="s">
        <v>101</v>
      </c>
      <c r="C539" t="s">
        <v>994</v>
      </c>
    </row>
    <row r="540" spans="1:3" x14ac:dyDescent="0.15">
      <c r="A540" t="s">
        <v>454</v>
      </c>
      <c r="B540" t="s">
        <v>101</v>
      </c>
      <c r="C540" t="s">
        <v>995</v>
      </c>
    </row>
    <row r="541" spans="1:3" x14ac:dyDescent="0.15">
      <c r="A541" t="s">
        <v>454</v>
      </c>
      <c r="B541" t="s">
        <v>101</v>
      </c>
      <c r="C541" t="s">
        <v>996</v>
      </c>
    </row>
    <row r="542" spans="1:3" x14ac:dyDescent="0.15">
      <c r="A542" t="s">
        <v>454</v>
      </c>
      <c r="B542" t="s">
        <v>101</v>
      </c>
      <c r="C542" t="s">
        <v>997</v>
      </c>
    </row>
    <row r="543" spans="1:3" x14ac:dyDescent="0.15">
      <c r="A543" t="s">
        <v>454</v>
      </c>
      <c r="B543" t="s">
        <v>101</v>
      </c>
      <c r="C543" t="s">
        <v>998</v>
      </c>
    </row>
    <row r="544" spans="1:3" x14ac:dyDescent="0.15">
      <c r="A544" t="s">
        <v>454</v>
      </c>
      <c r="B544" t="s">
        <v>101</v>
      </c>
      <c r="C544" t="s">
        <v>999</v>
      </c>
    </row>
    <row r="545" spans="1:3" x14ac:dyDescent="0.15">
      <c r="A545" t="s">
        <v>454</v>
      </c>
      <c r="B545" t="s">
        <v>101</v>
      </c>
      <c r="C545" t="s">
        <v>1000</v>
      </c>
    </row>
    <row r="546" spans="1:3" x14ac:dyDescent="0.15">
      <c r="A546" t="s">
        <v>454</v>
      </c>
      <c r="B546" t="s">
        <v>101</v>
      </c>
      <c r="C546" t="s">
        <v>1001</v>
      </c>
    </row>
    <row r="547" spans="1:3" x14ac:dyDescent="0.15">
      <c r="A547" t="s">
        <v>454</v>
      </c>
      <c r="B547" t="s">
        <v>101</v>
      </c>
      <c r="C547" t="s">
        <v>1002</v>
      </c>
    </row>
    <row r="548" spans="1:3" x14ac:dyDescent="0.15">
      <c r="A548" t="s">
        <v>454</v>
      </c>
      <c r="B548" t="s">
        <v>101</v>
      </c>
      <c r="C548" t="s">
        <v>1003</v>
      </c>
    </row>
    <row r="549" spans="1:3" x14ac:dyDescent="0.15">
      <c r="A549" t="s">
        <v>454</v>
      </c>
      <c r="B549" t="s">
        <v>101</v>
      </c>
      <c r="C549" t="s">
        <v>1004</v>
      </c>
    </row>
    <row r="550" spans="1:3" x14ac:dyDescent="0.15">
      <c r="A550" t="s">
        <v>454</v>
      </c>
      <c r="B550" t="s">
        <v>101</v>
      </c>
      <c r="C550" t="s">
        <v>1005</v>
      </c>
    </row>
    <row r="551" spans="1:3" x14ac:dyDescent="0.15">
      <c r="A551" t="s">
        <v>454</v>
      </c>
      <c r="B551" t="s">
        <v>101</v>
      </c>
      <c r="C551" t="s">
        <v>1006</v>
      </c>
    </row>
    <row r="552" spans="1:3" x14ac:dyDescent="0.15">
      <c r="A552" t="s">
        <v>454</v>
      </c>
      <c r="B552" t="s">
        <v>101</v>
      </c>
      <c r="C552" t="s">
        <v>1007</v>
      </c>
    </row>
    <row r="553" spans="1:3" x14ac:dyDescent="0.15">
      <c r="A553" t="s">
        <v>454</v>
      </c>
      <c r="B553" t="s">
        <v>101</v>
      </c>
      <c r="C553" t="s">
        <v>1008</v>
      </c>
    </row>
    <row r="554" spans="1:3" x14ac:dyDescent="0.15">
      <c r="A554" t="s">
        <v>454</v>
      </c>
      <c r="B554" t="s">
        <v>101</v>
      </c>
      <c r="C554" t="s">
        <v>1009</v>
      </c>
    </row>
    <row r="555" spans="1:3" x14ac:dyDescent="0.15">
      <c r="A555" t="s">
        <v>454</v>
      </c>
      <c r="B555" t="s">
        <v>101</v>
      </c>
      <c r="C555" t="s">
        <v>1010</v>
      </c>
    </row>
    <row r="556" spans="1:3" x14ac:dyDescent="0.15">
      <c r="A556" t="s">
        <v>454</v>
      </c>
      <c r="B556" t="s">
        <v>101</v>
      </c>
      <c r="C556" t="s">
        <v>1011</v>
      </c>
    </row>
    <row r="557" spans="1:3" x14ac:dyDescent="0.15">
      <c r="A557" t="s">
        <v>454</v>
      </c>
      <c r="B557" t="s">
        <v>101</v>
      </c>
      <c r="C557" t="s">
        <v>1012</v>
      </c>
    </row>
    <row r="558" spans="1:3" x14ac:dyDescent="0.15">
      <c r="A558" t="s">
        <v>454</v>
      </c>
      <c r="B558" t="s">
        <v>101</v>
      </c>
      <c r="C558" t="s">
        <v>1013</v>
      </c>
    </row>
    <row r="559" spans="1:3" x14ac:dyDescent="0.15">
      <c r="A559" t="s">
        <v>454</v>
      </c>
      <c r="B559" t="s">
        <v>101</v>
      </c>
      <c r="C559" t="s">
        <v>1014</v>
      </c>
    </row>
    <row r="560" spans="1:3" x14ac:dyDescent="0.15">
      <c r="A560" t="s">
        <v>454</v>
      </c>
      <c r="B560" t="s">
        <v>101</v>
      </c>
      <c r="C560" t="s">
        <v>1015</v>
      </c>
    </row>
    <row r="561" spans="1:3" x14ac:dyDescent="0.15">
      <c r="A561" t="s">
        <v>454</v>
      </c>
      <c r="B561" t="s">
        <v>101</v>
      </c>
      <c r="C561" t="s">
        <v>1016</v>
      </c>
    </row>
    <row r="562" spans="1:3" x14ac:dyDescent="0.15">
      <c r="A562" t="s">
        <v>454</v>
      </c>
      <c r="B562" t="s">
        <v>101</v>
      </c>
      <c r="C562" t="s">
        <v>1017</v>
      </c>
    </row>
    <row r="563" spans="1:3" x14ac:dyDescent="0.15">
      <c r="A563" t="s">
        <v>454</v>
      </c>
      <c r="B563" t="s">
        <v>101</v>
      </c>
      <c r="C563" t="s">
        <v>1018</v>
      </c>
    </row>
    <row r="564" spans="1:3" x14ac:dyDescent="0.15">
      <c r="A564" t="s">
        <v>454</v>
      </c>
      <c r="B564" t="s">
        <v>101</v>
      </c>
      <c r="C564" t="s">
        <v>1019</v>
      </c>
    </row>
    <row r="565" spans="1:3" x14ac:dyDescent="0.15">
      <c r="A565" t="s">
        <v>454</v>
      </c>
      <c r="B565" t="s">
        <v>101</v>
      </c>
      <c r="C565" t="s">
        <v>1020</v>
      </c>
    </row>
    <row r="566" spans="1:3" x14ac:dyDescent="0.15">
      <c r="A566" t="s">
        <v>454</v>
      </c>
      <c r="B566" t="s">
        <v>101</v>
      </c>
      <c r="C566" t="s">
        <v>1021</v>
      </c>
    </row>
    <row r="567" spans="1:3" x14ac:dyDescent="0.15">
      <c r="A567" t="s">
        <v>454</v>
      </c>
      <c r="B567" t="s">
        <v>101</v>
      </c>
      <c r="C567" t="s">
        <v>1022</v>
      </c>
    </row>
    <row r="568" spans="1:3" x14ac:dyDescent="0.15">
      <c r="A568" t="s">
        <v>454</v>
      </c>
      <c r="B568" t="s">
        <v>101</v>
      </c>
      <c r="C568" t="s">
        <v>1023</v>
      </c>
    </row>
    <row r="569" spans="1:3" x14ac:dyDescent="0.15">
      <c r="A569" t="s">
        <v>454</v>
      </c>
      <c r="B569" t="s">
        <v>101</v>
      </c>
      <c r="C569" t="s">
        <v>1024</v>
      </c>
    </row>
    <row r="570" spans="1:3" x14ac:dyDescent="0.15">
      <c r="A570" t="s">
        <v>454</v>
      </c>
      <c r="B570" t="s">
        <v>101</v>
      </c>
      <c r="C570" t="s">
        <v>1025</v>
      </c>
    </row>
    <row r="571" spans="1:3" x14ac:dyDescent="0.15">
      <c r="A571" t="s">
        <v>454</v>
      </c>
      <c r="B571" t="s">
        <v>101</v>
      </c>
      <c r="C571" t="s">
        <v>1026</v>
      </c>
    </row>
    <row r="572" spans="1:3" x14ac:dyDescent="0.15">
      <c r="A572" t="s">
        <v>454</v>
      </c>
      <c r="B572" t="s">
        <v>101</v>
      </c>
      <c r="C572" t="s">
        <v>1027</v>
      </c>
    </row>
    <row r="573" spans="1:3" x14ac:dyDescent="0.15">
      <c r="A573" t="s">
        <v>454</v>
      </c>
      <c r="B573" t="s">
        <v>101</v>
      </c>
      <c r="C573" t="s">
        <v>1028</v>
      </c>
    </row>
    <row r="574" spans="1:3" x14ac:dyDescent="0.15">
      <c r="A574" t="s">
        <v>454</v>
      </c>
      <c r="B574" t="s">
        <v>101</v>
      </c>
      <c r="C574" t="s">
        <v>1029</v>
      </c>
    </row>
    <row r="575" spans="1:3" x14ac:dyDescent="0.15">
      <c r="A575" t="s">
        <v>454</v>
      </c>
      <c r="B575" t="s">
        <v>101</v>
      </c>
      <c r="C575" t="s">
        <v>1030</v>
      </c>
    </row>
    <row r="576" spans="1:3" x14ac:dyDescent="0.15">
      <c r="A576" t="s">
        <v>454</v>
      </c>
      <c r="B576" t="s">
        <v>101</v>
      </c>
      <c r="C576" t="s">
        <v>1031</v>
      </c>
    </row>
    <row r="577" spans="1:3" x14ac:dyDescent="0.15">
      <c r="A577" t="s">
        <v>454</v>
      </c>
      <c r="B577" t="s">
        <v>101</v>
      </c>
      <c r="C577" t="s">
        <v>1032</v>
      </c>
    </row>
    <row r="578" spans="1:3" x14ac:dyDescent="0.15">
      <c r="A578" t="s">
        <v>454</v>
      </c>
      <c r="B578" t="s">
        <v>101</v>
      </c>
      <c r="C578" t="s">
        <v>1033</v>
      </c>
    </row>
    <row r="579" spans="1:3" x14ac:dyDescent="0.15">
      <c r="A579" t="s">
        <v>454</v>
      </c>
      <c r="B579" t="s">
        <v>101</v>
      </c>
      <c r="C579" t="s">
        <v>1034</v>
      </c>
    </row>
    <row r="580" spans="1:3" x14ac:dyDescent="0.15">
      <c r="A580" t="s">
        <v>454</v>
      </c>
      <c r="B580" t="s">
        <v>101</v>
      </c>
      <c r="C580" t="s">
        <v>1035</v>
      </c>
    </row>
    <row r="581" spans="1:3" x14ac:dyDescent="0.15">
      <c r="A581" t="s">
        <v>454</v>
      </c>
      <c r="B581" t="s">
        <v>101</v>
      </c>
      <c r="C581" t="s">
        <v>1036</v>
      </c>
    </row>
    <row r="582" spans="1:3" x14ac:dyDescent="0.15">
      <c r="A582" t="s">
        <v>454</v>
      </c>
      <c r="B582" t="s">
        <v>101</v>
      </c>
      <c r="C582" t="s">
        <v>1037</v>
      </c>
    </row>
    <row r="583" spans="1:3" x14ac:dyDescent="0.15">
      <c r="A583" t="s">
        <v>454</v>
      </c>
      <c r="B583" t="s">
        <v>101</v>
      </c>
      <c r="C583" t="s">
        <v>1038</v>
      </c>
    </row>
    <row r="584" spans="1:3" x14ac:dyDescent="0.15">
      <c r="A584" t="s">
        <v>454</v>
      </c>
      <c r="B584" t="s">
        <v>101</v>
      </c>
      <c r="C584" t="s">
        <v>1039</v>
      </c>
    </row>
    <row r="585" spans="1:3" x14ac:dyDescent="0.15">
      <c r="A585" t="s">
        <v>454</v>
      </c>
      <c r="B585" t="s">
        <v>101</v>
      </c>
      <c r="C585" t="s">
        <v>1040</v>
      </c>
    </row>
    <row r="586" spans="1:3" x14ac:dyDescent="0.15">
      <c r="A586" t="s">
        <v>454</v>
      </c>
      <c r="B586" t="s">
        <v>101</v>
      </c>
      <c r="C586" t="s">
        <v>1041</v>
      </c>
    </row>
    <row r="587" spans="1:3" x14ac:dyDescent="0.15">
      <c r="A587" t="s">
        <v>454</v>
      </c>
      <c r="B587" t="s">
        <v>101</v>
      </c>
      <c r="C587" t="s">
        <v>1042</v>
      </c>
    </row>
    <row r="588" spans="1:3" x14ac:dyDescent="0.15">
      <c r="A588" t="s">
        <v>454</v>
      </c>
      <c r="B588" t="s">
        <v>101</v>
      </c>
      <c r="C588" t="s">
        <v>1043</v>
      </c>
    </row>
    <row r="589" spans="1:3" x14ac:dyDescent="0.15">
      <c r="A589" t="s">
        <v>454</v>
      </c>
      <c r="B589" t="s">
        <v>101</v>
      </c>
      <c r="C589" t="s">
        <v>1044</v>
      </c>
    </row>
    <row r="590" spans="1:3" x14ac:dyDescent="0.15">
      <c r="A590" t="s">
        <v>454</v>
      </c>
      <c r="B590" t="s">
        <v>101</v>
      </c>
      <c r="C590" t="s">
        <v>1045</v>
      </c>
    </row>
    <row r="591" spans="1:3" x14ac:dyDescent="0.15">
      <c r="A591" t="s">
        <v>454</v>
      </c>
      <c r="B591" t="s">
        <v>101</v>
      </c>
      <c r="C591" t="s">
        <v>1046</v>
      </c>
    </row>
    <row r="592" spans="1:3" x14ac:dyDescent="0.15">
      <c r="A592" t="s">
        <v>454</v>
      </c>
      <c r="B592" t="s">
        <v>101</v>
      </c>
      <c r="C592" t="s">
        <v>1047</v>
      </c>
    </row>
    <row r="593" spans="1:3" x14ac:dyDescent="0.15">
      <c r="A593" t="s">
        <v>454</v>
      </c>
      <c r="B593" t="s">
        <v>101</v>
      </c>
      <c r="C593" t="s">
        <v>1048</v>
      </c>
    </row>
    <row r="594" spans="1:3" x14ac:dyDescent="0.15">
      <c r="A594" t="s">
        <v>454</v>
      </c>
      <c r="B594" t="s">
        <v>101</v>
      </c>
      <c r="C594" t="s">
        <v>1049</v>
      </c>
    </row>
    <row r="595" spans="1:3" x14ac:dyDescent="0.15">
      <c r="A595" t="s">
        <v>454</v>
      </c>
      <c r="B595" t="s">
        <v>101</v>
      </c>
      <c r="C595" t="s">
        <v>1050</v>
      </c>
    </row>
    <row r="596" spans="1:3" x14ac:dyDescent="0.15">
      <c r="A596" t="s">
        <v>454</v>
      </c>
      <c r="B596" t="s">
        <v>101</v>
      </c>
      <c r="C596" t="s">
        <v>1051</v>
      </c>
    </row>
    <row r="597" spans="1:3" x14ac:dyDescent="0.15">
      <c r="A597" t="s">
        <v>454</v>
      </c>
      <c r="B597" t="s">
        <v>101</v>
      </c>
      <c r="C597" t="s">
        <v>1052</v>
      </c>
    </row>
    <row r="598" spans="1:3" x14ac:dyDescent="0.15">
      <c r="A598" t="s">
        <v>454</v>
      </c>
      <c r="B598" t="s">
        <v>101</v>
      </c>
      <c r="C598" t="s">
        <v>1053</v>
      </c>
    </row>
    <row r="599" spans="1:3" x14ac:dyDescent="0.15">
      <c r="A599" t="s">
        <v>454</v>
      </c>
      <c r="B599" t="s">
        <v>101</v>
      </c>
      <c r="C599" t="s">
        <v>1054</v>
      </c>
    </row>
    <row r="600" spans="1:3" x14ac:dyDescent="0.15">
      <c r="A600" t="s">
        <v>454</v>
      </c>
      <c r="B600" t="s">
        <v>101</v>
      </c>
      <c r="C600" t="s">
        <v>1055</v>
      </c>
    </row>
    <row r="601" spans="1:3" x14ac:dyDescent="0.15">
      <c r="A601" t="s">
        <v>454</v>
      </c>
      <c r="B601" t="s">
        <v>101</v>
      </c>
      <c r="C601" t="s">
        <v>1056</v>
      </c>
    </row>
    <row r="602" spans="1:3" x14ac:dyDescent="0.15">
      <c r="A602" t="s">
        <v>454</v>
      </c>
      <c r="B602" t="s">
        <v>101</v>
      </c>
      <c r="C602" t="s">
        <v>1057</v>
      </c>
    </row>
    <row r="603" spans="1:3" x14ac:dyDescent="0.15">
      <c r="A603" t="s">
        <v>454</v>
      </c>
      <c r="B603" t="s">
        <v>101</v>
      </c>
      <c r="C603" t="s">
        <v>1058</v>
      </c>
    </row>
    <row r="604" spans="1:3" x14ac:dyDescent="0.15">
      <c r="A604" t="s">
        <v>454</v>
      </c>
      <c r="B604" t="s">
        <v>101</v>
      </c>
      <c r="C604" t="s">
        <v>1059</v>
      </c>
    </row>
    <row r="605" spans="1:3" x14ac:dyDescent="0.15">
      <c r="A605" t="s">
        <v>454</v>
      </c>
      <c r="B605" t="s">
        <v>101</v>
      </c>
      <c r="C605" t="s">
        <v>1060</v>
      </c>
    </row>
    <row r="606" spans="1:3" x14ac:dyDescent="0.15">
      <c r="A606" t="s">
        <v>454</v>
      </c>
      <c r="B606" t="s">
        <v>101</v>
      </c>
      <c r="C606" t="s">
        <v>1061</v>
      </c>
    </row>
    <row r="607" spans="1:3" x14ac:dyDescent="0.15">
      <c r="A607" t="s">
        <v>454</v>
      </c>
      <c r="B607" t="s">
        <v>101</v>
      </c>
      <c r="C607" t="s">
        <v>1062</v>
      </c>
    </row>
    <row r="608" spans="1:3" x14ac:dyDescent="0.15">
      <c r="A608" t="s">
        <v>454</v>
      </c>
      <c r="B608" t="s">
        <v>101</v>
      </c>
      <c r="C608" t="s">
        <v>1063</v>
      </c>
    </row>
    <row r="609" spans="1:3" x14ac:dyDescent="0.15">
      <c r="A609" t="s">
        <v>454</v>
      </c>
      <c r="B609" t="s">
        <v>101</v>
      </c>
      <c r="C609" t="s">
        <v>1064</v>
      </c>
    </row>
    <row r="610" spans="1:3" x14ac:dyDescent="0.15">
      <c r="A610" t="s">
        <v>454</v>
      </c>
      <c r="B610" t="s">
        <v>101</v>
      </c>
      <c r="C610" t="s">
        <v>1065</v>
      </c>
    </row>
    <row r="611" spans="1:3" x14ac:dyDescent="0.15">
      <c r="A611" t="s">
        <v>454</v>
      </c>
      <c r="B611" t="s">
        <v>101</v>
      </c>
      <c r="C611" t="s">
        <v>1066</v>
      </c>
    </row>
    <row r="612" spans="1:3" x14ac:dyDescent="0.15">
      <c r="A612" t="s">
        <v>454</v>
      </c>
      <c r="B612" t="s">
        <v>101</v>
      </c>
      <c r="C612" t="s">
        <v>1067</v>
      </c>
    </row>
    <row r="613" spans="1:3" x14ac:dyDescent="0.15">
      <c r="A613" t="s">
        <v>454</v>
      </c>
      <c r="B613" t="s">
        <v>101</v>
      </c>
      <c r="C613" t="s">
        <v>1068</v>
      </c>
    </row>
    <row r="614" spans="1:3" x14ac:dyDescent="0.15">
      <c r="A614" t="s">
        <v>454</v>
      </c>
      <c r="B614" t="s">
        <v>101</v>
      </c>
      <c r="C614" t="s">
        <v>1069</v>
      </c>
    </row>
    <row r="615" spans="1:3" x14ac:dyDescent="0.15">
      <c r="A615" t="s">
        <v>454</v>
      </c>
      <c r="B615" t="s">
        <v>101</v>
      </c>
      <c r="C615" t="s">
        <v>1070</v>
      </c>
    </row>
    <row r="616" spans="1:3" x14ac:dyDescent="0.15">
      <c r="A616" t="s">
        <v>454</v>
      </c>
      <c r="B616" t="s">
        <v>101</v>
      </c>
      <c r="C616" t="s">
        <v>1071</v>
      </c>
    </row>
    <row r="617" spans="1:3" x14ac:dyDescent="0.15">
      <c r="A617" t="s">
        <v>454</v>
      </c>
      <c r="B617" t="s">
        <v>101</v>
      </c>
      <c r="C617" t="s">
        <v>1072</v>
      </c>
    </row>
    <row r="618" spans="1:3" x14ac:dyDescent="0.15">
      <c r="A618" t="s">
        <v>454</v>
      </c>
      <c r="B618" t="s">
        <v>101</v>
      </c>
      <c r="C618" t="s">
        <v>1073</v>
      </c>
    </row>
    <row r="619" spans="1:3" x14ac:dyDescent="0.15">
      <c r="A619" t="s">
        <v>454</v>
      </c>
      <c r="B619" t="s">
        <v>101</v>
      </c>
      <c r="C619" t="s">
        <v>1074</v>
      </c>
    </row>
    <row r="620" spans="1:3" x14ac:dyDescent="0.15">
      <c r="A620" t="s">
        <v>454</v>
      </c>
      <c r="B620" t="s">
        <v>101</v>
      </c>
      <c r="C620" t="s">
        <v>1075</v>
      </c>
    </row>
    <row r="621" spans="1:3" x14ac:dyDescent="0.15">
      <c r="A621" t="s">
        <v>454</v>
      </c>
      <c r="B621" t="s">
        <v>101</v>
      </c>
      <c r="C621" t="s">
        <v>1076</v>
      </c>
    </row>
    <row r="622" spans="1:3" x14ac:dyDescent="0.15">
      <c r="A622" t="s">
        <v>454</v>
      </c>
      <c r="B622" t="s">
        <v>101</v>
      </c>
      <c r="C622" t="s">
        <v>1077</v>
      </c>
    </row>
    <row r="623" spans="1:3" x14ac:dyDescent="0.15">
      <c r="A623" t="s">
        <v>454</v>
      </c>
      <c r="B623" t="s">
        <v>101</v>
      </c>
      <c r="C623" t="s">
        <v>1078</v>
      </c>
    </row>
    <row r="624" spans="1:3" x14ac:dyDescent="0.15">
      <c r="A624" t="s">
        <v>454</v>
      </c>
      <c r="B624" t="s">
        <v>101</v>
      </c>
      <c r="C624" t="s">
        <v>1079</v>
      </c>
    </row>
    <row r="625" spans="1:3" x14ac:dyDescent="0.15">
      <c r="A625" t="s">
        <v>454</v>
      </c>
      <c r="B625" t="s">
        <v>101</v>
      </c>
      <c r="C625" t="s">
        <v>1080</v>
      </c>
    </row>
    <row r="626" spans="1:3" x14ac:dyDescent="0.15">
      <c r="A626" t="s">
        <v>454</v>
      </c>
      <c r="B626" t="s">
        <v>101</v>
      </c>
      <c r="C626" t="s">
        <v>1081</v>
      </c>
    </row>
    <row r="627" spans="1:3" x14ac:dyDescent="0.15">
      <c r="A627" t="s">
        <v>454</v>
      </c>
      <c r="B627" t="s">
        <v>101</v>
      </c>
      <c r="C627" t="s">
        <v>1082</v>
      </c>
    </row>
    <row r="628" spans="1:3" x14ac:dyDescent="0.15">
      <c r="A628" t="s">
        <v>454</v>
      </c>
      <c r="B628" t="s">
        <v>101</v>
      </c>
      <c r="C628" t="s">
        <v>1083</v>
      </c>
    </row>
    <row r="629" spans="1:3" x14ac:dyDescent="0.15">
      <c r="A629" t="s">
        <v>454</v>
      </c>
      <c r="B629" t="s">
        <v>101</v>
      </c>
      <c r="C629" t="s">
        <v>1084</v>
      </c>
    </row>
    <row r="630" spans="1:3" x14ac:dyDescent="0.15">
      <c r="A630" t="s">
        <v>454</v>
      </c>
      <c r="B630" t="s">
        <v>101</v>
      </c>
      <c r="C630" t="s">
        <v>1085</v>
      </c>
    </row>
    <row r="631" spans="1:3" x14ac:dyDescent="0.15">
      <c r="A631" t="s">
        <v>454</v>
      </c>
      <c r="B631" t="s">
        <v>101</v>
      </c>
      <c r="C631" t="s">
        <v>1086</v>
      </c>
    </row>
    <row r="632" spans="1:3" x14ac:dyDescent="0.15">
      <c r="A632" t="s">
        <v>454</v>
      </c>
      <c r="B632" t="s">
        <v>101</v>
      </c>
      <c r="C632" t="s">
        <v>1087</v>
      </c>
    </row>
    <row r="633" spans="1:3" x14ac:dyDescent="0.15">
      <c r="A633" t="s">
        <v>454</v>
      </c>
      <c r="B633" t="s">
        <v>101</v>
      </c>
      <c r="C633" t="s">
        <v>1088</v>
      </c>
    </row>
    <row r="634" spans="1:3" x14ac:dyDescent="0.15">
      <c r="A634" t="s">
        <v>454</v>
      </c>
      <c r="B634" t="s">
        <v>101</v>
      </c>
      <c r="C634" t="s">
        <v>1089</v>
      </c>
    </row>
    <row r="635" spans="1:3" x14ac:dyDescent="0.15">
      <c r="A635" t="s">
        <v>454</v>
      </c>
      <c r="B635" t="s">
        <v>101</v>
      </c>
      <c r="C635" t="s">
        <v>1090</v>
      </c>
    </row>
    <row r="636" spans="1:3" x14ac:dyDescent="0.15">
      <c r="A636" t="s">
        <v>454</v>
      </c>
      <c r="B636" t="s">
        <v>101</v>
      </c>
      <c r="C636" t="s">
        <v>1091</v>
      </c>
    </row>
    <row r="637" spans="1:3" x14ac:dyDescent="0.15">
      <c r="A637" t="s">
        <v>454</v>
      </c>
      <c r="B637" t="s">
        <v>101</v>
      </c>
      <c r="C637" t="s">
        <v>1092</v>
      </c>
    </row>
    <row r="638" spans="1:3" x14ac:dyDescent="0.15">
      <c r="A638" t="s">
        <v>454</v>
      </c>
      <c r="B638" t="s">
        <v>101</v>
      </c>
      <c r="C638" t="s">
        <v>1093</v>
      </c>
    </row>
    <row r="639" spans="1:3" x14ac:dyDescent="0.15">
      <c r="A639" t="s">
        <v>454</v>
      </c>
      <c r="B639" t="s">
        <v>101</v>
      </c>
      <c r="C639" t="s">
        <v>1094</v>
      </c>
    </row>
    <row r="640" spans="1:3" x14ac:dyDescent="0.15">
      <c r="A640" t="s">
        <v>454</v>
      </c>
      <c r="B640" t="s">
        <v>101</v>
      </c>
      <c r="C640" t="s">
        <v>1095</v>
      </c>
    </row>
    <row r="641" spans="1:3" x14ac:dyDescent="0.15">
      <c r="A641" t="s">
        <v>454</v>
      </c>
      <c r="B641" t="s">
        <v>101</v>
      </c>
      <c r="C641" t="s">
        <v>1096</v>
      </c>
    </row>
    <row r="642" spans="1:3" x14ac:dyDescent="0.15">
      <c r="A642" t="s">
        <v>454</v>
      </c>
      <c r="B642" t="s">
        <v>101</v>
      </c>
      <c r="C642" t="s">
        <v>1097</v>
      </c>
    </row>
    <row r="643" spans="1:3" x14ac:dyDescent="0.15">
      <c r="A643" t="s">
        <v>454</v>
      </c>
      <c r="B643" t="s">
        <v>101</v>
      </c>
      <c r="C643" t="s">
        <v>1098</v>
      </c>
    </row>
    <row r="644" spans="1:3" x14ac:dyDescent="0.15">
      <c r="A644" t="s">
        <v>454</v>
      </c>
      <c r="B644" t="s">
        <v>101</v>
      </c>
      <c r="C644" t="s">
        <v>1099</v>
      </c>
    </row>
    <row r="645" spans="1:3" x14ac:dyDescent="0.15">
      <c r="A645" t="s">
        <v>454</v>
      </c>
      <c r="B645" t="s">
        <v>101</v>
      </c>
      <c r="C645" t="s">
        <v>1100</v>
      </c>
    </row>
    <row r="646" spans="1:3" x14ac:dyDescent="0.15">
      <c r="A646" t="s">
        <v>454</v>
      </c>
      <c r="B646" t="s">
        <v>101</v>
      </c>
      <c r="C646" t="s">
        <v>1101</v>
      </c>
    </row>
    <row r="647" spans="1:3" x14ac:dyDescent="0.15">
      <c r="A647" t="s">
        <v>454</v>
      </c>
      <c r="B647" t="s">
        <v>101</v>
      </c>
      <c r="C647" t="s">
        <v>1102</v>
      </c>
    </row>
    <row r="648" spans="1:3" x14ac:dyDescent="0.15">
      <c r="A648" t="s">
        <v>454</v>
      </c>
      <c r="B648" t="s">
        <v>101</v>
      </c>
      <c r="C648" t="s">
        <v>1103</v>
      </c>
    </row>
    <row r="649" spans="1:3" x14ac:dyDescent="0.15">
      <c r="A649" t="s">
        <v>454</v>
      </c>
      <c r="B649" t="s">
        <v>101</v>
      </c>
      <c r="C649" t="s">
        <v>1104</v>
      </c>
    </row>
    <row r="650" spans="1:3" x14ac:dyDescent="0.15">
      <c r="A650" t="s">
        <v>454</v>
      </c>
      <c r="B650" t="s">
        <v>101</v>
      </c>
      <c r="C650" t="s">
        <v>1105</v>
      </c>
    </row>
    <row r="651" spans="1:3" x14ac:dyDescent="0.15">
      <c r="A651" t="s">
        <v>454</v>
      </c>
      <c r="B651" t="s">
        <v>101</v>
      </c>
      <c r="C651" t="s">
        <v>1106</v>
      </c>
    </row>
    <row r="652" spans="1:3" x14ac:dyDescent="0.15">
      <c r="A652" t="s">
        <v>454</v>
      </c>
      <c r="B652" t="s">
        <v>101</v>
      </c>
      <c r="C652" t="s">
        <v>1107</v>
      </c>
    </row>
    <row r="653" spans="1:3" x14ac:dyDescent="0.15">
      <c r="A653" t="s">
        <v>454</v>
      </c>
      <c r="B653" t="s">
        <v>101</v>
      </c>
      <c r="C653" t="s">
        <v>1108</v>
      </c>
    </row>
    <row r="654" spans="1:3" x14ac:dyDescent="0.15">
      <c r="A654" t="s">
        <v>454</v>
      </c>
      <c r="B654" t="s">
        <v>101</v>
      </c>
      <c r="C654" t="s">
        <v>1109</v>
      </c>
    </row>
    <row r="655" spans="1:3" x14ac:dyDescent="0.15">
      <c r="A655" t="s">
        <v>454</v>
      </c>
      <c r="B655" t="s">
        <v>101</v>
      </c>
      <c r="C655" t="s">
        <v>1110</v>
      </c>
    </row>
    <row r="656" spans="1:3" x14ac:dyDescent="0.15">
      <c r="A656" t="s">
        <v>454</v>
      </c>
      <c r="B656" t="s">
        <v>101</v>
      </c>
      <c r="C656" t="s">
        <v>1111</v>
      </c>
    </row>
    <row r="657" spans="1:3" x14ac:dyDescent="0.15">
      <c r="A657" t="s">
        <v>454</v>
      </c>
      <c r="B657" t="s">
        <v>101</v>
      </c>
      <c r="C657" t="s">
        <v>1112</v>
      </c>
    </row>
    <row r="658" spans="1:3" x14ac:dyDescent="0.15">
      <c r="A658" t="s">
        <v>454</v>
      </c>
      <c r="B658" t="s">
        <v>101</v>
      </c>
      <c r="C658" t="s">
        <v>1113</v>
      </c>
    </row>
    <row r="659" spans="1:3" x14ac:dyDescent="0.15">
      <c r="A659" t="s">
        <v>454</v>
      </c>
      <c r="B659" t="s">
        <v>101</v>
      </c>
      <c r="C659" t="s">
        <v>1114</v>
      </c>
    </row>
    <row r="660" spans="1:3" x14ac:dyDescent="0.15">
      <c r="A660" t="s">
        <v>454</v>
      </c>
      <c r="B660" t="s">
        <v>101</v>
      </c>
      <c r="C660" t="s">
        <v>1115</v>
      </c>
    </row>
    <row r="661" spans="1:3" x14ac:dyDescent="0.15">
      <c r="A661" t="s">
        <v>454</v>
      </c>
      <c r="B661" t="s">
        <v>101</v>
      </c>
      <c r="C661" t="s">
        <v>1116</v>
      </c>
    </row>
    <row r="662" spans="1:3" x14ac:dyDescent="0.15">
      <c r="A662" t="s">
        <v>454</v>
      </c>
      <c r="B662" t="s">
        <v>101</v>
      </c>
      <c r="C662" t="s">
        <v>1117</v>
      </c>
    </row>
    <row r="663" spans="1:3" x14ac:dyDescent="0.15">
      <c r="A663" t="s">
        <v>454</v>
      </c>
      <c r="B663" t="s">
        <v>101</v>
      </c>
      <c r="C663" t="s">
        <v>1118</v>
      </c>
    </row>
    <row r="664" spans="1:3" x14ac:dyDescent="0.15">
      <c r="A664" t="s">
        <v>454</v>
      </c>
      <c r="B664" t="s">
        <v>101</v>
      </c>
      <c r="C664" t="s">
        <v>1119</v>
      </c>
    </row>
    <row r="665" spans="1:3" x14ac:dyDescent="0.15">
      <c r="A665" t="s">
        <v>454</v>
      </c>
      <c r="B665" t="s">
        <v>101</v>
      </c>
      <c r="C665" t="s">
        <v>1120</v>
      </c>
    </row>
    <row r="666" spans="1:3" x14ac:dyDescent="0.15">
      <c r="A666" t="s">
        <v>454</v>
      </c>
      <c r="B666" t="s">
        <v>101</v>
      </c>
      <c r="C666" t="s">
        <v>1121</v>
      </c>
    </row>
    <row r="667" spans="1:3" x14ac:dyDescent="0.15">
      <c r="A667" t="s">
        <v>454</v>
      </c>
      <c r="B667" t="s">
        <v>101</v>
      </c>
      <c r="C667" t="s">
        <v>1122</v>
      </c>
    </row>
    <row r="668" spans="1:3" x14ac:dyDescent="0.15">
      <c r="A668" t="s">
        <v>454</v>
      </c>
      <c r="B668" t="s">
        <v>101</v>
      </c>
      <c r="C668" t="s">
        <v>1123</v>
      </c>
    </row>
    <row r="669" spans="1:3" x14ac:dyDescent="0.15">
      <c r="A669" t="s">
        <v>454</v>
      </c>
      <c r="B669" t="s">
        <v>101</v>
      </c>
      <c r="C669" t="s">
        <v>1124</v>
      </c>
    </row>
    <row r="670" spans="1:3" x14ac:dyDescent="0.15">
      <c r="A670" t="s">
        <v>454</v>
      </c>
      <c r="B670" t="s">
        <v>101</v>
      </c>
      <c r="C670" t="s">
        <v>1125</v>
      </c>
    </row>
    <row r="671" spans="1:3" x14ac:dyDescent="0.15">
      <c r="A671" t="s">
        <v>454</v>
      </c>
      <c r="B671" t="s">
        <v>101</v>
      </c>
      <c r="C671" t="s">
        <v>1126</v>
      </c>
    </row>
    <row r="672" spans="1:3" x14ac:dyDescent="0.15">
      <c r="A672" t="s">
        <v>454</v>
      </c>
      <c r="B672" t="s">
        <v>101</v>
      </c>
      <c r="C672" t="s">
        <v>1127</v>
      </c>
    </row>
    <row r="673" spans="1:3" x14ac:dyDescent="0.15">
      <c r="A673" t="s">
        <v>454</v>
      </c>
      <c r="B673" t="s">
        <v>101</v>
      </c>
      <c r="C673" t="s">
        <v>1128</v>
      </c>
    </row>
    <row r="674" spans="1:3" x14ac:dyDescent="0.15">
      <c r="A674" t="s">
        <v>454</v>
      </c>
      <c r="B674" t="s">
        <v>101</v>
      </c>
      <c r="C674" t="s">
        <v>1129</v>
      </c>
    </row>
    <row r="675" spans="1:3" x14ac:dyDescent="0.15">
      <c r="A675" t="s">
        <v>454</v>
      </c>
      <c r="B675" t="s">
        <v>101</v>
      </c>
      <c r="C675" t="s">
        <v>1130</v>
      </c>
    </row>
    <row r="676" spans="1:3" x14ac:dyDescent="0.15">
      <c r="A676" t="s">
        <v>454</v>
      </c>
      <c r="B676" t="s">
        <v>101</v>
      </c>
      <c r="C676" t="s">
        <v>1131</v>
      </c>
    </row>
    <row r="677" spans="1:3" x14ac:dyDescent="0.15">
      <c r="A677" t="s">
        <v>454</v>
      </c>
      <c r="B677" t="s">
        <v>101</v>
      </c>
      <c r="C677" t="s">
        <v>1132</v>
      </c>
    </row>
    <row r="678" spans="1:3" x14ac:dyDescent="0.15">
      <c r="A678" t="s">
        <v>454</v>
      </c>
      <c r="B678" t="s">
        <v>101</v>
      </c>
      <c r="C678" t="s">
        <v>1133</v>
      </c>
    </row>
    <row r="679" spans="1:3" x14ac:dyDescent="0.15">
      <c r="A679" t="s">
        <v>454</v>
      </c>
      <c r="B679" t="s">
        <v>101</v>
      </c>
      <c r="C679" t="s">
        <v>1134</v>
      </c>
    </row>
    <row r="680" spans="1:3" x14ac:dyDescent="0.15">
      <c r="A680" t="s">
        <v>454</v>
      </c>
      <c r="B680" t="s">
        <v>101</v>
      </c>
      <c r="C680" t="s">
        <v>1135</v>
      </c>
    </row>
    <row r="681" spans="1:3" x14ac:dyDescent="0.15">
      <c r="A681" t="s">
        <v>454</v>
      </c>
      <c r="B681" t="s">
        <v>101</v>
      </c>
      <c r="C681" t="s">
        <v>1136</v>
      </c>
    </row>
    <row r="682" spans="1:3" x14ac:dyDescent="0.15">
      <c r="A682" t="s">
        <v>454</v>
      </c>
      <c r="B682" t="s">
        <v>101</v>
      </c>
      <c r="C682" t="s">
        <v>1137</v>
      </c>
    </row>
    <row r="683" spans="1:3" x14ac:dyDescent="0.15">
      <c r="A683" t="s">
        <v>454</v>
      </c>
      <c r="B683" t="s">
        <v>101</v>
      </c>
      <c r="C683" t="s">
        <v>1138</v>
      </c>
    </row>
    <row r="684" spans="1:3" x14ac:dyDescent="0.15">
      <c r="A684" t="s">
        <v>454</v>
      </c>
      <c r="B684" t="s">
        <v>101</v>
      </c>
      <c r="C684" t="s">
        <v>1139</v>
      </c>
    </row>
    <row r="685" spans="1:3" x14ac:dyDescent="0.15">
      <c r="A685" t="s">
        <v>454</v>
      </c>
      <c r="B685" t="s">
        <v>101</v>
      </c>
      <c r="C685" t="s">
        <v>1140</v>
      </c>
    </row>
    <row r="686" spans="1:3" x14ac:dyDescent="0.15">
      <c r="A686" t="s">
        <v>454</v>
      </c>
      <c r="B686" t="s">
        <v>101</v>
      </c>
      <c r="C686" t="s">
        <v>1141</v>
      </c>
    </row>
    <row r="687" spans="1:3" x14ac:dyDescent="0.15">
      <c r="A687" t="s">
        <v>454</v>
      </c>
      <c r="B687" t="s">
        <v>101</v>
      </c>
      <c r="C687" t="s">
        <v>1142</v>
      </c>
    </row>
    <row r="688" spans="1:3" x14ac:dyDescent="0.15">
      <c r="A688" t="s">
        <v>454</v>
      </c>
      <c r="B688" t="s">
        <v>101</v>
      </c>
      <c r="C688" t="s">
        <v>1143</v>
      </c>
    </row>
    <row r="689" spans="1:3" x14ac:dyDescent="0.15">
      <c r="A689" t="s">
        <v>454</v>
      </c>
      <c r="B689" t="s">
        <v>101</v>
      </c>
      <c r="C689" t="s">
        <v>1144</v>
      </c>
    </row>
    <row r="690" spans="1:3" x14ac:dyDescent="0.15">
      <c r="A690" t="s">
        <v>454</v>
      </c>
      <c r="B690" t="s">
        <v>101</v>
      </c>
      <c r="C690" t="s">
        <v>1145</v>
      </c>
    </row>
    <row r="691" spans="1:3" x14ac:dyDescent="0.15">
      <c r="A691" t="s">
        <v>454</v>
      </c>
      <c r="B691" t="s">
        <v>101</v>
      </c>
      <c r="C691" t="s">
        <v>1146</v>
      </c>
    </row>
    <row r="692" spans="1:3" x14ac:dyDescent="0.15">
      <c r="A692" t="s">
        <v>454</v>
      </c>
      <c r="B692" t="s">
        <v>101</v>
      </c>
      <c r="C692" t="s">
        <v>1147</v>
      </c>
    </row>
    <row r="693" spans="1:3" x14ac:dyDescent="0.15">
      <c r="A693" t="s">
        <v>454</v>
      </c>
      <c r="B693" t="s">
        <v>101</v>
      </c>
      <c r="C693" t="s">
        <v>1148</v>
      </c>
    </row>
    <row r="694" spans="1:3" x14ac:dyDescent="0.15">
      <c r="A694" t="s">
        <v>454</v>
      </c>
      <c r="B694" t="s">
        <v>101</v>
      </c>
      <c r="C694" t="s">
        <v>1149</v>
      </c>
    </row>
    <row r="695" spans="1:3" x14ac:dyDescent="0.15">
      <c r="A695" t="s">
        <v>454</v>
      </c>
      <c r="B695" t="s">
        <v>101</v>
      </c>
      <c r="C695" t="s">
        <v>1150</v>
      </c>
    </row>
    <row r="696" spans="1:3" x14ac:dyDescent="0.15">
      <c r="A696" t="s">
        <v>454</v>
      </c>
      <c r="B696" t="s">
        <v>101</v>
      </c>
      <c r="C696" t="s">
        <v>1151</v>
      </c>
    </row>
    <row r="697" spans="1:3" x14ac:dyDescent="0.15">
      <c r="A697" t="s">
        <v>454</v>
      </c>
      <c r="B697" t="s">
        <v>101</v>
      </c>
      <c r="C697" t="s">
        <v>1152</v>
      </c>
    </row>
    <row r="698" spans="1:3" x14ac:dyDescent="0.15">
      <c r="A698" t="s">
        <v>454</v>
      </c>
      <c r="B698" t="s">
        <v>101</v>
      </c>
      <c r="C698" t="s">
        <v>1153</v>
      </c>
    </row>
    <row r="699" spans="1:3" x14ac:dyDescent="0.15">
      <c r="A699" t="s">
        <v>454</v>
      </c>
      <c r="B699" t="s">
        <v>101</v>
      </c>
      <c r="C699" t="s">
        <v>1154</v>
      </c>
    </row>
    <row r="700" spans="1:3" x14ac:dyDescent="0.15">
      <c r="A700" t="s">
        <v>454</v>
      </c>
      <c r="B700" t="s">
        <v>101</v>
      </c>
      <c r="C700" t="s">
        <v>1155</v>
      </c>
    </row>
    <row r="701" spans="1:3" x14ac:dyDescent="0.15">
      <c r="A701" t="s">
        <v>454</v>
      </c>
      <c r="B701" t="s">
        <v>101</v>
      </c>
      <c r="C701" t="s">
        <v>1156</v>
      </c>
    </row>
    <row r="702" spans="1:3" x14ac:dyDescent="0.15">
      <c r="A702" t="s">
        <v>454</v>
      </c>
      <c r="B702" t="s">
        <v>101</v>
      </c>
      <c r="C702" t="s">
        <v>1157</v>
      </c>
    </row>
    <row r="703" spans="1:3" x14ac:dyDescent="0.15">
      <c r="A703" t="s">
        <v>454</v>
      </c>
      <c r="B703" t="s">
        <v>101</v>
      </c>
      <c r="C703" t="s">
        <v>1158</v>
      </c>
    </row>
    <row r="704" spans="1:3" x14ac:dyDescent="0.15">
      <c r="A704" t="s">
        <v>454</v>
      </c>
      <c r="B704" t="s">
        <v>101</v>
      </c>
      <c r="C704" t="s">
        <v>1159</v>
      </c>
    </row>
    <row r="705" spans="1:3" x14ac:dyDescent="0.15">
      <c r="A705" t="s">
        <v>454</v>
      </c>
      <c r="B705" t="s">
        <v>101</v>
      </c>
      <c r="C705" t="s">
        <v>1160</v>
      </c>
    </row>
    <row r="706" spans="1:3" x14ac:dyDescent="0.15">
      <c r="A706" t="s">
        <v>454</v>
      </c>
      <c r="B706" t="s">
        <v>101</v>
      </c>
      <c r="C706" t="s">
        <v>1161</v>
      </c>
    </row>
    <row r="707" spans="1:3" x14ac:dyDescent="0.15">
      <c r="A707" t="s">
        <v>454</v>
      </c>
      <c r="B707" t="s">
        <v>101</v>
      </c>
      <c r="C707" t="s">
        <v>1162</v>
      </c>
    </row>
    <row r="708" spans="1:3" x14ac:dyDescent="0.15">
      <c r="A708" t="s">
        <v>454</v>
      </c>
      <c r="B708" t="s">
        <v>101</v>
      </c>
      <c r="C708" t="s">
        <v>1163</v>
      </c>
    </row>
    <row r="709" spans="1:3" x14ac:dyDescent="0.15">
      <c r="A709" t="s">
        <v>454</v>
      </c>
      <c r="B709" t="s">
        <v>101</v>
      </c>
      <c r="C709" t="s">
        <v>1164</v>
      </c>
    </row>
    <row r="710" spans="1:3" x14ac:dyDescent="0.15">
      <c r="A710" t="s">
        <v>454</v>
      </c>
      <c r="B710" t="s">
        <v>101</v>
      </c>
      <c r="C710" t="s">
        <v>1165</v>
      </c>
    </row>
    <row r="711" spans="1:3" x14ac:dyDescent="0.15">
      <c r="A711" t="s">
        <v>454</v>
      </c>
      <c r="B711" t="s">
        <v>101</v>
      </c>
      <c r="C711" t="s">
        <v>1166</v>
      </c>
    </row>
    <row r="712" spans="1:3" x14ac:dyDescent="0.15">
      <c r="A712" t="s">
        <v>454</v>
      </c>
      <c r="B712" t="s">
        <v>101</v>
      </c>
      <c r="C712" t="s">
        <v>1167</v>
      </c>
    </row>
    <row r="713" spans="1:3" x14ac:dyDescent="0.15">
      <c r="A713" t="s">
        <v>454</v>
      </c>
      <c r="B713" t="s">
        <v>101</v>
      </c>
      <c r="C713" t="s">
        <v>1168</v>
      </c>
    </row>
    <row r="714" spans="1:3" x14ac:dyDescent="0.15">
      <c r="A714" t="s">
        <v>454</v>
      </c>
      <c r="B714" t="s">
        <v>101</v>
      </c>
      <c r="C714" t="s">
        <v>1169</v>
      </c>
    </row>
    <row r="715" spans="1:3" x14ac:dyDescent="0.15">
      <c r="A715" t="s">
        <v>454</v>
      </c>
      <c r="B715" t="s">
        <v>101</v>
      </c>
      <c r="C715" t="s">
        <v>1170</v>
      </c>
    </row>
    <row r="716" spans="1:3" x14ac:dyDescent="0.15">
      <c r="A716" t="s">
        <v>454</v>
      </c>
      <c r="B716" t="s">
        <v>101</v>
      </c>
      <c r="C716" t="s">
        <v>1171</v>
      </c>
    </row>
    <row r="717" spans="1:3" x14ac:dyDescent="0.15">
      <c r="A717" t="s">
        <v>454</v>
      </c>
      <c r="B717" t="s">
        <v>101</v>
      </c>
      <c r="C717" t="s">
        <v>1172</v>
      </c>
    </row>
    <row r="718" spans="1:3" x14ac:dyDescent="0.15">
      <c r="A718" t="s">
        <v>454</v>
      </c>
      <c r="B718" t="s">
        <v>101</v>
      </c>
      <c r="C718" t="s">
        <v>1173</v>
      </c>
    </row>
    <row r="719" spans="1:3" x14ac:dyDescent="0.15">
      <c r="A719" t="s">
        <v>454</v>
      </c>
      <c r="B719" t="s">
        <v>101</v>
      </c>
      <c r="C719" t="s">
        <v>1174</v>
      </c>
    </row>
    <row r="720" spans="1:3" x14ac:dyDescent="0.15">
      <c r="A720" t="s">
        <v>454</v>
      </c>
      <c r="B720" t="s">
        <v>101</v>
      </c>
      <c r="C720" t="s">
        <v>1175</v>
      </c>
    </row>
    <row r="721" spans="1:3" x14ac:dyDescent="0.15">
      <c r="A721" t="s">
        <v>454</v>
      </c>
      <c r="B721" t="s">
        <v>101</v>
      </c>
      <c r="C721" t="s">
        <v>1176</v>
      </c>
    </row>
    <row r="722" spans="1:3" x14ac:dyDescent="0.15">
      <c r="A722" t="s">
        <v>454</v>
      </c>
      <c r="B722" t="s">
        <v>101</v>
      </c>
      <c r="C722" t="s">
        <v>1177</v>
      </c>
    </row>
    <row r="723" spans="1:3" x14ac:dyDescent="0.15">
      <c r="A723" t="s">
        <v>454</v>
      </c>
      <c r="B723" t="s">
        <v>101</v>
      </c>
      <c r="C723" t="s">
        <v>1178</v>
      </c>
    </row>
    <row r="724" spans="1:3" x14ac:dyDescent="0.15">
      <c r="A724" t="s">
        <v>454</v>
      </c>
      <c r="B724" t="s">
        <v>101</v>
      </c>
      <c r="C724" t="s">
        <v>1179</v>
      </c>
    </row>
    <row r="725" spans="1:3" x14ac:dyDescent="0.15">
      <c r="A725" t="s">
        <v>454</v>
      </c>
      <c r="B725" t="s">
        <v>101</v>
      </c>
      <c r="C725" t="s">
        <v>1180</v>
      </c>
    </row>
    <row r="726" spans="1:3" x14ac:dyDescent="0.15">
      <c r="A726" t="s">
        <v>454</v>
      </c>
      <c r="B726" t="s">
        <v>101</v>
      </c>
      <c r="C726" t="s">
        <v>1181</v>
      </c>
    </row>
    <row r="727" spans="1:3" x14ac:dyDescent="0.15">
      <c r="A727" t="s">
        <v>454</v>
      </c>
      <c r="B727" t="s">
        <v>101</v>
      </c>
      <c r="C727" t="s">
        <v>1182</v>
      </c>
    </row>
    <row r="728" spans="1:3" x14ac:dyDescent="0.15">
      <c r="A728" t="s">
        <v>454</v>
      </c>
      <c r="B728" t="s">
        <v>101</v>
      </c>
      <c r="C728" t="s">
        <v>1183</v>
      </c>
    </row>
    <row r="729" spans="1:3" x14ac:dyDescent="0.15">
      <c r="A729" t="s">
        <v>454</v>
      </c>
      <c r="B729" t="s">
        <v>101</v>
      </c>
      <c r="C729" t="s">
        <v>1184</v>
      </c>
    </row>
    <row r="730" spans="1:3" x14ac:dyDescent="0.15">
      <c r="A730" t="s">
        <v>454</v>
      </c>
      <c r="B730" t="s">
        <v>101</v>
      </c>
      <c r="C730" t="s">
        <v>1185</v>
      </c>
    </row>
    <row r="731" spans="1:3" x14ac:dyDescent="0.15">
      <c r="A731" t="s">
        <v>454</v>
      </c>
      <c r="B731" t="s">
        <v>101</v>
      </c>
      <c r="C731" t="s">
        <v>1186</v>
      </c>
    </row>
    <row r="732" spans="1:3" x14ac:dyDescent="0.15">
      <c r="A732" t="s">
        <v>454</v>
      </c>
      <c r="B732" t="s">
        <v>101</v>
      </c>
      <c r="C732" t="s">
        <v>1187</v>
      </c>
    </row>
    <row r="733" spans="1:3" x14ac:dyDescent="0.15">
      <c r="A733" t="s">
        <v>454</v>
      </c>
      <c r="B733" t="s">
        <v>101</v>
      </c>
      <c r="C733" t="s">
        <v>1188</v>
      </c>
    </row>
    <row r="734" spans="1:3" x14ac:dyDescent="0.15">
      <c r="A734" t="s">
        <v>454</v>
      </c>
      <c r="B734" t="s">
        <v>101</v>
      </c>
      <c r="C734" t="s">
        <v>1189</v>
      </c>
    </row>
    <row r="735" spans="1:3" x14ac:dyDescent="0.15">
      <c r="A735" t="s">
        <v>454</v>
      </c>
      <c r="B735" t="s">
        <v>101</v>
      </c>
      <c r="C735" t="s">
        <v>1190</v>
      </c>
    </row>
    <row r="736" spans="1:3" x14ac:dyDescent="0.15">
      <c r="A736" t="s">
        <v>454</v>
      </c>
      <c r="B736" t="s">
        <v>101</v>
      </c>
      <c r="C736" t="s">
        <v>1191</v>
      </c>
    </row>
    <row r="737" spans="1:3" x14ac:dyDescent="0.15">
      <c r="A737" t="s">
        <v>454</v>
      </c>
      <c r="B737" t="s">
        <v>101</v>
      </c>
      <c r="C737" t="s">
        <v>1192</v>
      </c>
    </row>
    <row r="738" spans="1:3" x14ac:dyDescent="0.15">
      <c r="A738" t="s">
        <v>454</v>
      </c>
      <c r="B738" t="s">
        <v>101</v>
      </c>
      <c r="C738" t="s">
        <v>1193</v>
      </c>
    </row>
    <row r="739" spans="1:3" x14ac:dyDescent="0.15">
      <c r="A739" t="s">
        <v>454</v>
      </c>
      <c r="B739" t="s">
        <v>101</v>
      </c>
      <c r="C739" t="s">
        <v>1194</v>
      </c>
    </row>
    <row r="740" spans="1:3" x14ac:dyDescent="0.15">
      <c r="A740" t="s">
        <v>454</v>
      </c>
      <c r="B740" t="s">
        <v>101</v>
      </c>
      <c r="C740" t="s">
        <v>1195</v>
      </c>
    </row>
    <row r="741" spans="1:3" x14ac:dyDescent="0.15">
      <c r="A741" t="s">
        <v>454</v>
      </c>
      <c r="B741" t="s">
        <v>101</v>
      </c>
      <c r="C741" t="s">
        <v>1196</v>
      </c>
    </row>
    <row r="742" spans="1:3" x14ac:dyDescent="0.15">
      <c r="A742" t="s">
        <v>454</v>
      </c>
      <c r="B742" t="s">
        <v>101</v>
      </c>
      <c r="C742" t="s">
        <v>1197</v>
      </c>
    </row>
    <row r="743" spans="1:3" x14ac:dyDescent="0.15">
      <c r="A743" t="s">
        <v>454</v>
      </c>
      <c r="B743" t="s">
        <v>101</v>
      </c>
      <c r="C743" t="s">
        <v>1198</v>
      </c>
    </row>
    <row r="744" spans="1:3" x14ac:dyDescent="0.15">
      <c r="A744" t="s">
        <v>454</v>
      </c>
      <c r="B744" t="s">
        <v>101</v>
      </c>
      <c r="C744" t="s">
        <v>1199</v>
      </c>
    </row>
    <row r="745" spans="1:3" x14ac:dyDescent="0.15">
      <c r="A745" t="s">
        <v>454</v>
      </c>
      <c r="B745" t="s">
        <v>101</v>
      </c>
      <c r="C745" t="s">
        <v>1200</v>
      </c>
    </row>
    <row r="746" spans="1:3" x14ac:dyDescent="0.15">
      <c r="A746" t="s">
        <v>454</v>
      </c>
      <c r="B746" t="s">
        <v>101</v>
      </c>
      <c r="C746" t="s">
        <v>1201</v>
      </c>
    </row>
    <row r="747" spans="1:3" x14ac:dyDescent="0.15">
      <c r="A747" t="s">
        <v>454</v>
      </c>
      <c r="B747" t="s">
        <v>101</v>
      </c>
      <c r="C747" t="s">
        <v>1202</v>
      </c>
    </row>
    <row r="748" spans="1:3" x14ac:dyDescent="0.15">
      <c r="A748" t="s">
        <v>454</v>
      </c>
      <c r="B748" t="s">
        <v>101</v>
      </c>
      <c r="C748" t="s">
        <v>1203</v>
      </c>
    </row>
    <row r="749" spans="1:3" x14ac:dyDescent="0.15">
      <c r="A749" t="s">
        <v>454</v>
      </c>
      <c r="B749" t="s">
        <v>101</v>
      </c>
      <c r="C749" t="s">
        <v>1204</v>
      </c>
    </row>
    <row r="750" spans="1:3" x14ac:dyDescent="0.15">
      <c r="A750" t="s">
        <v>454</v>
      </c>
      <c r="B750" t="s">
        <v>101</v>
      </c>
      <c r="C750" t="s">
        <v>1205</v>
      </c>
    </row>
    <row r="751" spans="1:3" x14ac:dyDescent="0.15">
      <c r="A751" t="s">
        <v>454</v>
      </c>
      <c r="B751" t="s">
        <v>101</v>
      </c>
      <c r="C751" t="s">
        <v>1206</v>
      </c>
    </row>
    <row r="752" spans="1:3" x14ac:dyDescent="0.15">
      <c r="A752" t="s">
        <v>454</v>
      </c>
      <c r="B752" t="s">
        <v>101</v>
      </c>
      <c r="C752" t="s">
        <v>1207</v>
      </c>
    </row>
    <row r="753" spans="1:3" x14ac:dyDescent="0.15">
      <c r="A753" t="s">
        <v>454</v>
      </c>
      <c r="B753" t="s">
        <v>101</v>
      </c>
      <c r="C753" t="s">
        <v>1208</v>
      </c>
    </row>
    <row r="754" spans="1:3" x14ac:dyDescent="0.15">
      <c r="A754" t="s">
        <v>454</v>
      </c>
      <c r="B754" t="s">
        <v>101</v>
      </c>
      <c r="C754" t="s">
        <v>1209</v>
      </c>
    </row>
    <row r="755" spans="1:3" x14ac:dyDescent="0.15">
      <c r="A755" t="s">
        <v>454</v>
      </c>
      <c r="B755" t="s">
        <v>101</v>
      </c>
      <c r="C755" t="s">
        <v>1210</v>
      </c>
    </row>
    <row r="756" spans="1:3" x14ac:dyDescent="0.15">
      <c r="A756" t="s">
        <v>454</v>
      </c>
      <c r="B756" t="s">
        <v>101</v>
      </c>
      <c r="C756" t="s">
        <v>1211</v>
      </c>
    </row>
    <row r="757" spans="1:3" x14ac:dyDescent="0.15">
      <c r="A757" t="s">
        <v>454</v>
      </c>
      <c r="B757" t="s">
        <v>101</v>
      </c>
      <c r="C757" t="s">
        <v>1212</v>
      </c>
    </row>
    <row r="758" spans="1:3" x14ac:dyDescent="0.15">
      <c r="A758" t="s">
        <v>454</v>
      </c>
      <c r="B758" t="s">
        <v>101</v>
      </c>
      <c r="C758" t="s">
        <v>1213</v>
      </c>
    </row>
    <row r="759" spans="1:3" x14ac:dyDescent="0.15">
      <c r="A759" t="s">
        <v>454</v>
      </c>
      <c r="B759" t="s">
        <v>101</v>
      </c>
      <c r="C759" t="s">
        <v>1214</v>
      </c>
    </row>
    <row r="760" spans="1:3" x14ac:dyDescent="0.15">
      <c r="A760" t="s">
        <v>454</v>
      </c>
      <c r="B760" t="s">
        <v>101</v>
      </c>
      <c r="C760" t="s">
        <v>1215</v>
      </c>
    </row>
    <row r="761" spans="1:3" x14ac:dyDescent="0.15">
      <c r="A761" t="s">
        <v>454</v>
      </c>
      <c r="B761" t="s">
        <v>101</v>
      </c>
      <c r="C761" t="s">
        <v>1216</v>
      </c>
    </row>
    <row r="762" spans="1:3" x14ac:dyDescent="0.15">
      <c r="A762" t="s">
        <v>454</v>
      </c>
      <c r="B762" t="s">
        <v>101</v>
      </c>
      <c r="C762" t="s">
        <v>1217</v>
      </c>
    </row>
    <row r="763" spans="1:3" x14ac:dyDescent="0.15">
      <c r="A763" t="s">
        <v>454</v>
      </c>
      <c r="B763" t="s">
        <v>101</v>
      </c>
      <c r="C763" t="s">
        <v>1218</v>
      </c>
    </row>
    <row r="764" spans="1:3" x14ac:dyDescent="0.15">
      <c r="A764" t="s">
        <v>454</v>
      </c>
      <c r="B764" t="s">
        <v>101</v>
      </c>
      <c r="C764" t="s">
        <v>1219</v>
      </c>
    </row>
    <row r="765" spans="1:3" x14ac:dyDescent="0.15">
      <c r="A765" t="s">
        <v>454</v>
      </c>
      <c r="B765" t="s">
        <v>101</v>
      </c>
      <c r="C765" t="s">
        <v>1220</v>
      </c>
    </row>
    <row r="766" spans="1:3" x14ac:dyDescent="0.15">
      <c r="A766" t="s">
        <v>454</v>
      </c>
      <c r="B766" t="s">
        <v>101</v>
      </c>
      <c r="C766" t="s">
        <v>1221</v>
      </c>
    </row>
    <row r="767" spans="1:3" x14ac:dyDescent="0.15">
      <c r="A767" t="s">
        <v>454</v>
      </c>
      <c r="B767" t="s">
        <v>101</v>
      </c>
      <c r="C767" t="s">
        <v>1222</v>
      </c>
    </row>
    <row r="768" spans="1:3" x14ac:dyDescent="0.15">
      <c r="A768" t="s">
        <v>454</v>
      </c>
      <c r="B768" t="s">
        <v>101</v>
      </c>
      <c r="C768" t="s">
        <v>1223</v>
      </c>
    </row>
    <row r="769" spans="1:3" x14ac:dyDescent="0.15">
      <c r="A769" t="s">
        <v>454</v>
      </c>
      <c r="B769" t="s">
        <v>101</v>
      </c>
      <c r="C769" t="s">
        <v>1224</v>
      </c>
    </row>
    <row r="770" spans="1:3" x14ac:dyDescent="0.15">
      <c r="A770" t="s">
        <v>454</v>
      </c>
      <c r="B770" t="s">
        <v>101</v>
      </c>
      <c r="C770" t="s">
        <v>1225</v>
      </c>
    </row>
    <row r="771" spans="1:3" x14ac:dyDescent="0.15">
      <c r="A771" t="s">
        <v>454</v>
      </c>
      <c r="B771" t="s">
        <v>101</v>
      </c>
      <c r="C771" t="s">
        <v>1226</v>
      </c>
    </row>
    <row r="772" spans="1:3" x14ac:dyDescent="0.15">
      <c r="A772" t="s">
        <v>454</v>
      </c>
      <c r="B772" t="s">
        <v>101</v>
      </c>
      <c r="C772" t="s">
        <v>1227</v>
      </c>
    </row>
    <row r="773" spans="1:3" x14ac:dyDescent="0.15">
      <c r="A773" t="s">
        <v>454</v>
      </c>
      <c r="B773" t="s">
        <v>101</v>
      </c>
      <c r="C773" t="s">
        <v>1228</v>
      </c>
    </row>
    <row r="774" spans="1:3" x14ac:dyDescent="0.15">
      <c r="A774" t="s">
        <v>454</v>
      </c>
      <c r="B774" t="s">
        <v>101</v>
      </c>
      <c r="C774" t="s">
        <v>1229</v>
      </c>
    </row>
    <row r="775" spans="1:3" x14ac:dyDescent="0.15">
      <c r="A775" t="s">
        <v>454</v>
      </c>
      <c r="B775" t="s">
        <v>101</v>
      </c>
      <c r="C775" t="s">
        <v>1230</v>
      </c>
    </row>
    <row r="776" spans="1:3" x14ac:dyDescent="0.15">
      <c r="A776" t="s">
        <v>454</v>
      </c>
      <c r="B776" t="s">
        <v>101</v>
      </c>
      <c r="C776" t="s">
        <v>1231</v>
      </c>
    </row>
    <row r="777" spans="1:3" x14ac:dyDescent="0.15">
      <c r="A777" t="s">
        <v>454</v>
      </c>
      <c r="B777" t="s">
        <v>101</v>
      </c>
      <c r="C777" t="s">
        <v>1232</v>
      </c>
    </row>
    <row r="778" spans="1:3" x14ac:dyDescent="0.15">
      <c r="A778" t="s">
        <v>454</v>
      </c>
      <c r="B778" t="s">
        <v>101</v>
      </c>
      <c r="C778" t="s">
        <v>1233</v>
      </c>
    </row>
    <row r="779" spans="1:3" x14ac:dyDescent="0.15">
      <c r="A779" t="s">
        <v>454</v>
      </c>
      <c r="B779" t="s">
        <v>101</v>
      </c>
      <c r="C779" t="s">
        <v>1234</v>
      </c>
    </row>
    <row r="780" spans="1:3" x14ac:dyDescent="0.15">
      <c r="A780" t="s">
        <v>454</v>
      </c>
      <c r="B780" t="s">
        <v>101</v>
      </c>
      <c r="C780" t="s">
        <v>1235</v>
      </c>
    </row>
    <row r="781" spans="1:3" x14ac:dyDescent="0.15">
      <c r="A781" t="s">
        <v>454</v>
      </c>
      <c r="B781" t="s">
        <v>101</v>
      </c>
      <c r="C781" t="s">
        <v>1236</v>
      </c>
    </row>
    <row r="782" spans="1:3" x14ac:dyDescent="0.15">
      <c r="A782" t="s">
        <v>454</v>
      </c>
      <c r="B782" t="s">
        <v>101</v>
      </c>
      <c r="C782" t="s">
        <v>1237</v>
      </c>
    </row>
    <row r="783" spans="1:3" x14ac:dyDescent="0.15">
      <c r="A783" t="s">
        <v>454</v>
      </c>
      <c r="B783" t="s">
        <v>101</v>
      </c>
      <c r="C783" t="s">
        <v>1238</v>
      </c>
    </row>
    <row r="784" spans="1:3" x14ac:dyDescent="0.15">
      <c r="A784" t="s">
        <v>454</v>
      </c>
      <c r="B784" t="s">
        <v>101</v>
      </c>
      <c r="C784" t="s">
        <v>1239</v>
      </c>
    </row>
    <row r="785" spans="1:3" x14ac:dyDescent="0.15">
      <c r="A785" t="s">
        <v>454</v>
      </c>
      <c r="B785" t="s">
        <v>101</v>
      </c>
      <c r="C785" t="s">
        <v>1240</v>
      </c>
    </row>
    <row r="786" spans="1:3" x14ac:dyDescent="0.15">
      <c r="A786" t="s">
        <v>454</v>
      </c>
      <c r="B786" t="s">
        <v>101</v>
      </c>
      <c r="C786" t="s">
        <v>1241</v>
      </c>
    </row>
    <row r="787" spans="1:3" x14ac:dyDescent="0.15">
      <c r="A787" t="s">
        <v>454</v>
      </c>
      <c r="B787" t="s">
        <v>101</v>
      </c>
      <c r="C787" t="s">
        <v>1242</v>
      </c>
    </row>
    <row r="788" spans="1:3" x14ac:dyDescent="0.15">
      <c r="A788" t="s">
        <v>454</v>
      </c>
      <c r="B788" t="s">
        <v>101</v>
      </c>
      <c r="C788" t="s">
        <v>1243</v>
      </c>
    </row>
    <row r="789" spans="1:3" x14ac:dyDescent="0.15">
      <c r="A789" t="s">
        <v>454</v>
      </c>
      <c r="B789" t="s">
        <v>101</v>
      </c>
      <c r="C789" t="s">
        <v>1244</v>
      </c>
    </row>
    <row r="790" spans="1:3" x14ac:dyDescent="0.15">
      <c r="A790" t="s">
        <v>454</v>
      </c>
      <c r="B790" t="s">
        <v>101</v>
      </c>
      <c r="C790" t="s">
        <v>1245</v>
      </c>
    </row>
    <row r="791" spans="1:3" x14ac:dyDescent="0.15">
      <c r="A791" t="s">
        <v>454</v>
      </c>
      <c r="B791" t="s">
        <v>101</v>
      </c>
      <c r="C791" t="s">
        <v>1246</v>
      </c>
    </row>
    <row r="792" spans="1:3" x14ac:dyDescent="0.15">
      <c r="A792" t="s">
        <v>454</v>
      </c>
      <c r="B792" t="s">
        <v>101</v>
      </c>
      <c r="C792" t="s">
        <v>1247</v>
      </c>
    </row>
    <row r="793" spans="1:3" x14ac:dyDescent="0.15">
      <c r="A793" t="s">
        <v>454</v>
      </c>
      <c r="B793" t="s">
        <v>101</v>
      </c>
      <c r="C793" t="s">
        <v>1248</v>
      </c>
    </row>
    <row r="794" spans="1:3" x14ac:dyDescent="0.15">
      <c r="A794" t="s">
        <v>454</v>
      </c>
      <c r="B794" t="s">
        <v>101</v>
      </c>
      <c r="C794" t="s">
        <v>1249</v>
      </c>
    </row>
    <row r="795" spans="1:3" x14ac:dyDescent="0.15">
      <c r="A795" t="s">
        <v>454</v>
      </c>
      <c r="B795" t="s">
        <v>101</v>
      </c>
      <c r="C795" t="s">
        <v>1250</v>
      </c>
    </row>
    <row r="796" spans="1:3" x14ac:dyDescent="0.15">
      <c r="A796" t="s">
        <v>454</v>
      </c>
      <c r="B796" t="s">
        <v>101</v>
      </c>
      <c r="C796" t="s">
        <v>1251</v>
      </c>
    </row>
    <row r="797" spans="1:3" x14ac:dyDescent="0.15">
      <c r="A797" t="s">
        <v>454</v>
      </c>
      <c r="B797" t="s">
        <v>101</v>
      </c>
      <c r="C797" t="s">
        <v>1252</v>
      </c>
    </row>
    <row r="798" spans="1:3" x14ac:dyDescent="0.15">
      <c r="A798" t="s">
        <v>454</v>
      </c>
      <c r="B798" t="s">
        <v>101</v>
      </c>
      <c r="C798" t="s">
        <v>1253</v>
      </c>
    </row>
    <row r="799" spans="1:3" x14ac:dyDescent="0.15">
      <c r="A799" t="s">
        <v>454</v>
      </c>
      <c r="B799" t="s">
        <v>101</v>
      </c>
      <c r="C799" t="s">
        <v>1254</v>
      </c>
    </row>
    <row r="800" spans="1:3" x14ac:dyDescent="0.15">
      <c r="A800" t="s">
        <v>454</v>
      </c>
      <c r="B800" t="s">
        <v>101</v>
      </c>
      <c r="C800" t="s">
        <v>1255</v>
      </c>
    </row>
    <row r="801" spans="1:3" x14ac:dyDescent="0.15">
      <c r="A801" t="s">
        <v>454</v>
      </c>
      <c r="B801" t="s">
        <v>101</v>
      </c>
      <c r="C801" t="s">
        <v>1256</v>
      </c>
    </row>
    <row r="802" spans="1:3" x14ac:dyDescent="0.15">
      <c r="A802" t="s">
        <v>454</v>
      </c>
      <c r="B802" t="s">
        <v>101</v>
      </c>
      <c r="C802" t="s">
        <v>1257</v>
      </c>
    </row>
    <row r="803" spans="1:3" x14ac:dyDescent="0.15">
      <c r="A803" t="s">
        <v>454</v>
      </c>
      <c r="B803" t="s">
        <v>101</v>
      </c>
      <c r="C803" t="s">
        <v>1258</v>
      </c>
    </row>
    <row r="804" spans="1:3" x14ac:dyDescent="0.15">
      <c r="A804" t="s">
        <v>454</v>
      </c>
      <c r="B804" t="s">
        <v>101</v>
      </c>
      <c r="C804" t="s">
        <v>1259</v>
      </c>
    </row>
    <row r="805" spans="1:3" x14ac:dyDescent="0.15">
      <c r="A805" t="s">
        <v>454</v>
      </c>
      <c r="B805" t="s">
        <v>101</v>
      </c>
      <c r="C805" t="s">
        <v>1260</v>
      </c>
    </row>
    <row r="806" spans="1:3" x14ac:dyDescent="0.15">
      <c r="A806" t="s">
        <v>454</v>
      </c>
      <c r="B806" t="s">
        <v>101</v>
      </c>
      <c r="C806" t="s">
        <v>1261</v>
      </c>
    </row>
    <row r="807" spans="1:3" x14ac:dyDescent="0.15">
      <c r="A807" t="s">
        <v>454</v>
      </c>
      <c r="B807" t="s">
        <v>101</v>
      </c>
      <c r="C807" t="s">
        <v>1262</v>
      </c>
    </row>
    <row r="808" spans="1:3" x14ac:dyDescent="0.15">
      <c r="A808" t="s">
        <v>454</v>
      </c>
      <c r="B808" t="s">
        <v>101</v>
      </c>
      <c r="C808" t="s">
        <v>1263</v>
      </c>
    </row>
    <row r="809" spans="1:3" x14ac:dyDescent="0.15">
      <c r="A809" t="s">
        <v>454</v>
      </c>
      <c r="B809" t="s">
        <v>101</v>
      </c>
      <c r="C809" t="s">
        <v>1264</v>
      </c>
    </row>
    <row r="810" spans="1:3" x14ac:dyDescent="0.15">
      <c r="A810" t="s">
        <v>454</v>
      </c>
      <c r="B810" t="s">
        <v>101</v>
      </c>
      <c r="C810" t="s">
        <v>1265</v>
      </c>
    </row>
    <row r="811" spans="1:3" x14ac:dyDescent="0.15">
      <c r="A811" t="s">
        <v>454</v>
      </c>
      <c r="B811" t="s">
        <v>101</v>
      </c>
      <c r="C811" t="s">
        <v>1266</v>
      </c>
    </row>
    <row r="812" spans="1:3" x14ac:dyDescent="0.15">
      <c r="A812" t="s">
        <v>454</v>
      </c>
      <c r="B812" t="s">
        <v>101</v>
      </c>
      <c r="C812" t="s">
        <v>1267</v>
      </c>
    </row>
    <row r="813" spans="1:3" x14ac:dyDescent="0.15">
      <c r="A813" t="s">
        <v>454</v>
      </c>
      <c r="B813" t="s">
        <v>101</v>
      </c>
      <c r="C813" t="s">
        <v>1268</v>
      </c>
    </row>
    <row r="814" spans="1:3" x14ac:dyDescent="0.15">
      <c r="A814" t="s">
        <v>454</v>
      </c>
      <c r="B814" t="s">
        <v>101</v>
      </c>
      <c r="C814" t="s">
        <v>1269</v>
      </c>
    </row>
    <row r="815" spans="1:3" x14ac:dyDescent="0.15">
      <c r="A815" t="s">
        <v>454</v>
      </c>
      <c r="B815" t="s">
        <v>101</v>
      </c>
      <c r="C815" t="s">
        <v>1270</v>
      </c>
    </row>
    <row r="816" spans="1:3" x14ac:dyDescent="0.15">
      <c r="A816" t="s">
        <v>454</v>
      </c>
      <c r="B816" t="s">
        <v>101</v>
      </c>
      <c r="C816" t="s">
        <v>1271</v>
      </c>
    </row>
    <row r="817" spans="1:3" x14ac:dyDescent="0.15">
      <c r="A817" t="s">
        <v>454</v>
      </c>
      <c r="B817" t="s">
        <v>101</v>
      </c>
      <c r="C817" t="s">
        <v>1272</v>
      </c>
    </row>
    <row r="818" spans="1:3" x14ac:dyDescent="0.15">
      <c r="A818" t="s">
        <v>454</v>
      </c>
      <c r="B818" t="s">
        <v>101</v>
      </c>
      <c r="C818" t="s">
        <v>1273</v>
      </c>
    </row>
    <row r="819" spans="1:3" x14ac:dyDescent="0.15">
      <c r="A819" t="s">
        <v>454</v>
      </c>
      <c r="B819" t="s">
        <v>101</v>
      </c>
      <c r="C819" t="s">
        <v>1274</v>
      </c>
    </row>
    <row r="820" spans="1:3" x14ac:dyDescent="0.15">
      <c r="A820" t="s">
        <v>454</v>
      </c>
      <c r="B820" t="s">
        <v>101</v>
      </c>
      <c r="C820" t="s">
        <v>1275</v>
      </c>
    </row>
    <row r="821" spans="1:3" x14ac:dyDescent="0.15">
      <c r="A821" t="s">
        <v>454</v>
      </c>
      <c r="B821" t="s">
        <v>101</v>
      </c>
      <c r="C821" t="s">
        <v>1276</v>
      </c>
    </row>
    <row r="822" spans="1:3" x14ac:dyDescent="0.15">
      <c r="A822" t="s">
        <v>454</v>
      </c>
      <c r="B822" t="s">
        <v>101</v>
      </c>
      <c r="C822" t="s">
        <v>1277</v>
      </c>
    </row>
    <row r="823" spans="1:3" x14ac:dyDescent="0.15">
      <c r="A823" t="s">
        <v>454</v>
      </c>
      <c r="B823" t="s">
        <v>101</v>
      </c>
      <c r="C823" t="s">
        <v>1278</v>
      </c>
    </row>
    <row r="824" spans="1:3" x14ac:dyDescent="0.15">
      <c r="A824" t="s">
        <v>454</v>
      </c>
      <c r="B824" t="s">
        <v>101</v>
      </c>
      <c r="C824" t="s">
        <v>1279</v>
      </c>
    </row>
    <row r="825" spans="1:3" x14ac:dyDescent="0.15">
      <c r="A825" t="s">
        <v>454</v>
      </c>
      <c r="B825" t="s">
        <v>101</v>
      </c>
      <c r="C825" t="s">
        <v>1280</v>
      </c>
    </row>
    <row r="826" spans="1:3" x14ac:dyDescent="0.15">
      <c r="A826" t="s">
        <v>454</v>
      </c>
      <c r="B826" t="s">
        <v>101</v>
      </c>
      <c r="C826" t="s">
        <v>1281</v>
      </c>
    </row>
    <row r="827" spans="1:3" x14ac:dyDescent="0.15">
      <c r="A827" t="s">
        <v>454</v>
      </c>
      <c r="B827" t="s">
        <v>101</v>
      </c>
      <c r="C827" t="s">
        <v>1282</v>
      </c>
    </row>
    <row r="828" spans="1:3" x14ac:dyDescent="0.15">
      <c r="A828" t="s">
        <v>454</v>
      </c>
      <c r="B828" t="s">
        <v>101</v>
      </c>
      <c r="C828" t="s">
        <v>1283</v>
      </c>
    </row>
    <row r="829" spans="1:3" x14ac:dyDescent="0.15">
      <c r="A829" t="s">
        <v>454</v>
      </c>
      <c r="B829" t="s">
        <v>101</v>
      </c>
      <c r="C829" t="s">
        <v>1284</v>
      </c>
    </row>
    <row r="830" spans="1:3" x14ac:dyDescent="0.15">
      <c r="A830" t="s">
        <v>454</v>
      </c>
      <c r="B830" t="s">
        <v>101</v>
      </c>
      <c r="C830" t="s">
        <v>1285</v>
      </c>
    </row>
    <row r="831" spans="1:3" x14ac:dyDescent="0.15">
      <c r="A831" t="s">
        <v>454</v>
      </c>
      <c r="B831" t="s">
        <v>101</v>
      </c>
      <c r="C831" t="s">
        <v>1286</v>
      </c>
    </row>
    <row r="832" spans="1:3" x14ac:dyDescent="0.15">
      <c r="A832" t="s">
        <v>454</v>
      </c>
      <c r="B832" t="s">
        <v>101</v>
      </c>
      <c r="C832" t="s">
        <v>1287</v>
      </c>
    </row>
    <row r="833" spans="1:3" x14ac:dyDescent="0.15">
      <c r="A833" t="s">
        <v>454</v>
      </c>
      <c r="B833" t="s">
        <v>101</v>
      </c>
      <c r="C833" t="s">
        <v>1288</v>
      </c>
    </row>
    <row r="834" spans="1:3" x14ac:dyDescent="0.15">
      <c r="A834" t="s">
        <v>454</v>
      </c>
      <c r="B834" t="s">
        <v>101</v>
      </c>
      <c r="C834" t="s">
        <v>1289</v>
      </c>
    </row>
    <row r="835" spans="1:3" x14ac:dyDescent="0.15">
      <c r="A835" t="s">
        <v>454</v>
      </c>
      <c r="B835" t="s">
        <v>101</v>
      </c>
      <c r="C835" t="s">
        <v>1290</v>
      </c>
    </row>
    <row r="836" spans="1:3" x14ac:dyDescent="0.15">
      <c r="A836" t="s">
        <v>454</v>
      </c>
      <c r="B836" t="s">
        <v>101</v>
      </c>
      <c r="C836" t="s">
        <v>1291</v>
      </c>
    </row>
    <row r="837" spans="1:3" x14ac:dyDescent="0.15">
      <c r="A837" t="s">
        <v>454</v>
      </c>
      <c r="B837" t="s">
        <v>101</v>
      </c>
      <c r="C837" t="s">
        <v>1292</v>
      </c>
    </row>
    <row r="838" spans="1:3" x14ac:dyDescent="0.15">
      <c r="A838" t="s">
        <v>454</v>
      </c>
      <c r="B838" t="s">
        <v>101</v>
      </c>
      <c r="C838" t="s">
        <v>1293</v>
      </c>
    </row>
    <row r="839" spans="1:3" x14ac:dyDescent="0.15">
      <c r="A839" t="s">
        <v>454</v>
      </c>
      <c r="B839" t="s">
        <v>101</v>
      </c>
      <c r="C839" t="s">
        <v>1294</v>
      </c>
    </row>
    <row r="840" spans="1:3" x14ac:dyDescent="0.15">
      <c r="A840" t="s">
        <v>454</v>
      </c>
      <c r="B840" t="s">
        <v>101</v>
      </c>
      <c r="C840" t="s">
        <v>1295</v>
      </c>
    </row>
    <row r="841" spans="1:3" x14ac:dyDescent="0.15">
      <c r="A841" t="s">
        <v>454</v>
      </c>
      <c r="B841" t="s">
        <v>101</v>
      </c>
      <c r="C841" t="s">
        <v>1296</v>
      </c>
    </row>
    <row r="842" spans="1:3" x14ac:dyDescent="0.15">
      <c r="A842" t="s">
        <v>454</v>
      </c>
      <c r="B842" t="s">
        <v>101</v>
      </c>
      <c r="C842" t="s">
        <v>1297</v>
      </c>
    </row>
    <row r="843" spans="1:3" x14ac:dyDescent="0.15">
      <c r="A843" t="s">
        <v>454</v>
      </c>
      <c r="B843" t="s">
        <v>101</v>
      </c>
      <c r="C843" t="s">
        <v>1298</v>
      </c>
    </row>
    <row r="844" spans="1:3" x14ac:dyDescent="0.15">
      <c r="A844" t="s">
        <v>454</v>
      </c>
      <c r="B844" t="s">
        <v>101</v>
      </c>
      <c r="C844" t="s">
        <v>1299</v>
      </c>
    </row>
    <row r="845" spans="1:3" x14ac:dyDescent="0.15">
      <c r="A845" t="s">
        <v>454</v>
      </c>
      <c r="B845" t="s">
        <v>101</v>
      </c>
      <c r="C845" t="s">
        <v>1300</v>
      </c>
    </row>
    <row r="846" spans="1:3" x14ac:dyDescent="0.15">
      <c r="A846" t="s">
        <v>454</v>
      </c>
      <c r="B846" t="s">
        <v>101</v>
      </c>
      <c r="C846" t="s">
        <v>1301</v>
      </c>
    </row>
    <row r="847" spans="1:3" x14ac:dyDescent="0.15">
      <c r="A847" t="s">
        <v>454</v>
      </c>
      <c r="B847" t="s">
        <v>101</v>
      </c>
      <c r="C847" t="s">
        <v>1302</v>
      </c>
    </row>
    <row r="848" spans="1:3" x14ac:dyDescent="0.15">
      <c r="A848" t="s">
        <v>454</v>
      </c>
      <c r="B848" t="s">
        <v>101</v>
      </c>
      <c r="C848" t="s">
        <v>1303</v>
      </c>
    </row>
    <row r="849" spans="1:3" x14ac:dyDescent="0.15">
      <c r="A849" t="s">
        <v>454</v>
      </c>
      <c r="B849" t="s">
        <v>101</v>
      </c>
      <c r="C849" t="s">
        <v>1304</v>
      </c>
    </row>
    <row r="850" spans="1:3" x14ac:dyDescent="0.15">
      <c r="A850" t="s">
        <v>454</v>
      </c>
      <c r="B850" t="s">
        <v>101</v>
      </c>
      <c r="C850" t="s">
        <v>1305</v>
      </c>
    </row>
    <row r="851" spans="1:3" x14ac:dyDescent="0.15">
      <c r="A851" t="s">
        <v>454</v>
      </c>
      <c r="B851" t="s">
        <v>101</v>
      </c>
      <c r="C851" t="s">
        <v>1306</v>
      </c>
    </row>
    <row r="852" spans="1:3" x14ac:dyDescent="0.15">
      <c r="A852" t="s">
        <v>454</v>
      </c>
      <c r="B852" t="s">
        <v>101</v>
      </c>
      <c r="C852" t="s">
        <v>1307</v>
      </c>
    </row>
    <row r="853" spans="1:3" x14ac:dyDescent="0.15">
      <c r="A853" t="s">
        <v>454</v>
      </c>
      <c r="B853" t="s">
        <v>101</v>
      </c>
      <c r="C853" t="s">
        <v>1308</v>
      </c>
    </row>
    <row r="854" spans="1:3" x14ac:dyDescent="0.15">
      <c r="A854" t="s">
        <v>454</v>
      </c>
      <c r="B854" t="s">
        <v>101</v>
      </c>
      <c r="C854" t="s">
        <v>1309</v>
      </c>
    </row>
    <row r="855" spans="1:3" x14ac:dyDescent="0.15">
      <c r="A855" t="s">
        <v>454</v>
      </c>
      <c r="B855" t="s">
        <v>101</v>
      </c>
      <c r="C855" t="s">
        <v>1310</v>
      </c>
    </row>
    <row r="856" spans="1:3" x14ac:dyDescent="0.15">
      <c r="A856" t="s">
        <v>454</v>
      </c>
      <c r="B856" t="s">
        <v>101</v>
      </c>
      <c r="C856" t="s">
        <v>1311</v>
      </c>
    </row>
    <row r="857" spans="1:3" x14ac:dyDescent="0.15">
      <c r="A857" t="s">
        <v>454</v>
      </c>
      <c r="B857" t="s">
        <v>101</v>
      </c>
      <c r="C857" t="s">
        <v>1312</v>
      </c>
    </row>
    <row r="858" spans="1:3" x14ac:dyDescent="0.15">
      <c r="A858" t="s">
        <v>454</v>
      </c>
      <c r="B858" t="s">
        <v>101</v>
      </c>
      <c r="C858" t="s">
        <v>1313</v>
      </c>
    </row>
    <row r="859" spans="1:3" x14ac:dyDescent="0.15">
      <c r="A859" t="s">
        <v>454</v>
      </c>
      <c r="B859" t="s">
        <v>101</v>
      </c>
      <c r="C859" t="s">
        <v>1314</v>
      </c>
    </row>
    <row r="860" spans="1:3" x14ac:dyDescent="0.15">
      <c r="A860" t="s">
        <v>454</v>
      </c>
      <c r="B860" t="s">
        <v>101</v>
      </c>
      <c r="C860" t="s">
        <v>1315</v>
      </c>
    </row>
    <row r="861" spans="1:3" x14ac:dyDescent="0.15">
      <c r="A861" t="s">
        <v>454</v>
      </c>
      <c r="B861" t="s">
        <v>101</v>
      </c>
      <c r="C861" t="s">
        <v>1316</v>
      </c>
    </row>
    <row r="862" spans="1:3" x14ac:dyDescent="0.15">
      <c r="A862" t="s">
        <v>454</v>
      </c>
      <c r="B862" t="s">
        <v>101</v>
      </c>
      <c r="C862" t="s">
        <v>1317</v>
      </c>
    </row>
    <row r="863" spans="1:3" x14ac:dyDescent="0.15">
      <c r="A863" t="s">
        <v>454</v>
      </c>
      <c r="B863" t="s">
        <v>101</v>
      </c>
      <c r="C863" t="s">
        <v>1318</v>
      </c>
    </row>
    <row r="864" spans="1:3" x14ac:dyDescent="0.15">
      <c r="A864" t="s">
        <v>454</v>
      </c>
      <c r="B864" t="s">
        <v>101</v>
      </c>
      <c r="C864" t="s">
        <v>1319</v>
      </c>
    </row>
    <row r="865" spans="1:3" x14ac:dyDescent="0.15">
      <c r="A865" t="s">
        <v>454</v>
      </c>
      <c r="B865" t="s">
        <v>101</v>
      </c>
      <c r="C865" t="s">
        <v>1320</v>
      </c>
    </row>
    <row r="866" spans="1:3" x14ac:dyDescent="0.15">
      <c r="A866" t="s">
        <v>454</v>
      </c>
      <c r="B866" t="s">
        <v>101</v>
      </c>
      <c r="C866" t="s">
        <v>1321</v>
      </c>
    </row>
    <row r="867" spans="1:3" x14ac:dyDescent="0.15">
      <c r="A867" t="s">
        <v>454</v>
      </c>
      <c r="B867" t="s">
        <v>101</v>
      </c>
      <c r="C867" t="s">
        <v>1322</v>
      </c>
    </row>
    <row r="868" spans="1:3" x14ac:dyDescent="0.15">
      <c r="A868" t="s">
        <v>454</v>
      </c>
      <c r="B868" t="s">
        <v>101</v>
      </c>
      <c r="C868" t="s">
        <v>1323</v>
      </c>
    </row>
    <row r="869" spans="1:3" x14ac:dyDescent="0.15">
      <c r="A869" t="s">
        <v>454</v>
      </c>
      <c r="B869" t="s">
        <v>101</v>
      </c>
      <c r="C869" t="s">
        <v>1324</v>
      </c>
    </row>
    <row r="870" spans="1:3" x14ac:dyDescent="0.15">
      <c r="A870" t="s">
        <v>454</v>
      </c>
      <c r="B870" t="s">
        <v>101</v>
      </c>
      <c r="C870" t="s">
        <v>1325</v>
      </c>
    </row>
    <row r="871" spans="1:3" x14ac:dyDescent="0.15">
      <c r="A871" t="s">
        <v>454</v>
      </c>
      <c r="B871" t="s">
        <v>101</v>
      </c>
      <c r="C871" t="s">
        <v>1326</v>
      </c>
    </row>
    <row r="872" spans="1:3" x14ac:dyDescent="0.15">
      <c r="A872" t="s">
        <v>454</v>
      </c>
      <c r="B872" t="s">
        <v>101</v>
      </c>
      <c r="C872" t="s">
        <v>1327</v>
      </c>
    </row>
    <row r="873" spans="1:3" x14ac:dyDescent="0.15">
      <c r="A873" t="s">
        <v>454</v>
      </c>
      <c r="B873" t="s">
        <v>101</v>
      </c>
      <c r="C873" t="s">
        <v>1328</v>
      </c>
    </row>
    <row r="874" spans="1:3" x14ac:dyDescent="0.15">
      <c r="A874" t="s">
        <v>454</v>
      </c>
      <c r="B874" t="s">
        <v>101</v>
      </c>
      <c r="C874" t="s">
        <v>1329</v>
      </c>
    </row>
    <row r="875" spans="1:3" x14ac:dyDescent="0.15">
      <c r="A875" t="s">
        <v>454</v>
      </c>
      <c r="B875" t="s">
        <v>101</v>
      </c>
      <c r="C875" t="s">
        <v>1330</v>
      </c>
    </row>
    <row r="876" spans="1:3" x14ac:dyDescent="0.15">
      <c r="A876" t="s">
        <v>454</v>
      </c>
      <c r="B876" t="s">
        <v>101</v>
      </c>
      <c r="C876" t="s">
        <v>1331</v>
      </c>
    </row>
    <row r="877" spans="1:3" x14ac:dyDescent="0.15">
      <c r="A877" t="s">
        <v>454</v>
      </c>
      <c r="B877" t="s">
        <v>101</v>
      </c>
      <c r="C877" t="s">
        <v>1332</v>
      </c>
    </row>
    <row r="878" spans="1:3" x14ac:dyDescent="0.15">
      <c r="A878" t="s">
        <v>454</v>
      </c>
      <c r="B878" t="s">
        <v>101</v>
      </c>
      <c r="C878" t="s">
        <v>1333</v>
      </c>
    </row>
    <row r="879" spans="1:3" x14ac:dyDescent="0.15">
      <c r="A879" t="s">
        <v>454</v>
      </c>
      <c r="B879" t="s">
        <v>101</v>
      </c>
      <c r="C879" t="s">
        <v>1334</v>
      </c>
    </row>
    <row r="880" spans="1:3" x14ac:dyDescent="0.15">
      <c r="A880" t="s">
        <v>454</v>
      </c>
      <c r="B880" t="s">
        <v>101</v>
      </c>
      <c r="C880" t="s">
        <v>1335</v>
      </c>
    </row>
    <row r="881" spans="1:3" x14ac:dyDescent="0.15">
      <c r="A881" t="s">
        <v>454</v>
      </c>
      <c r="B881" t="s">
        <v>101</v>
      </c>
      <c r="C881" t="s">
        <v>1336</v>
      </c>
    </row>
    <row r="882" spans="1:3" x14ac:dyDescent="0.15">
      <c r="A882" t="s">
        <v>454</v>
      </c>
      <c r="B882" t="s">
        <v>101</v>
      </c>
      <c r="C882" t="s">
        <v>1337</v>
      </c>
    </row>
    <row r="883" spans="1:3" x14ac:dyDescent="0.15">
      <c r="A883" t="s">
        <v>454</v>
      </c>
      <c r="B883" t="s">
        <v>101</v>
      </c>
      <c r="C883" t="s">
        <v>1338</v>
      </c>
    </row>
    <row r="884" spans="1:3" x14ac:dyDescent="0.15">
      <c r="A884" t="s">
        <v>454</v>
      </c>
      <c r="B884" t="s">
        <v>101</v>
      </c>
      <c r="C884" t="s">
        <v>1339</v>
      </c>
    </row>
    <row r="885" spans="1:3" x14ac:dyDescent="0.15">
      <c r="A885" t="s">
        <v>454</v>
      </c>
      <c r="B885" t="s">
        <v>101</v>
      </c>
      <c r="C885" t="s">
        <v>1340</v>
      </c>
    </row>
    <row r="886" spans="1:3" x14ac:dyDescent="0.15">
      <c r="A886" t="s">
        <v>454</v>
      </c>
      <c r="B886" t="s">
        <v>101</v>
      </c>
      <c r="C886" t="s">
        <v>1341</v>
      </c>
    </row>
    <row r="887" spans="1:3" x14ac:dyDescent="0.15">
      <c r="A887" t="s">
        <v>454</v>
      </c>
      <c r="B887" t="s">
        <v>101</v>
      </c>
      <c r="C887" t="s">
        <v>1342</v>
      </c>
    </row>
    <row r="888" spans="1:3" x14ac:dyDescent="0.15">
      <c r="A888" t="s">
        <v>454</v>
      </c>
      <c r="B888" t="s">
        <v>101</v>
      </c>
      <c r="C888" t="s">
        <v>1343</v>
      </c>
    </row>
    <row r="889" spans="1:3" x14ac:dyDescent="0.15">
      <c r="A889" t="s">
        <v>454</v>
      </c>
      <c r="B889" t="s">
        <v>101</v>
      </c>
      <c r="C889" t="s">
        <v>1344</v>
      </c>
    </row>
    <row r="890" spans="1:3" x14ac:dyDescent="0.15">
      <c r="A890" t="s">
        <v>454</v>
      </c>
      <c r="B890" t="s">
        <v>101</v>
      </c>
      <c r="C890" t="s">
        <v>1345</v>
      </c>
    </row>
    <row r="891" spans="1:3" x14ac:dyDescent="0.15">
      <c r="A891" t="s">
        <v>454</v>
      </c>
      <c r="B891" t="s">
        <v>101</v>
      </c>
      <c r="C891" t="s">
        <v>1346</v>
      </c>
    </row>
    <row r="892" spans="1:3" x14ac:dyDescent="0.15">
      <c r="A892" t="s">
        <v>454</v>
      </c>
      <c r="B892" t="s">
        <v>101</v>
      </c>
      <c r="C892" t="s">
        <v>1347</v>
      </c>
    </row>
    <row r="893" spans="1:3" x14ac:dyDescent="0.15">
      <c r="A893" t="s">
        <v>454</v>
      </c>
      <c r="B893" t="s">
        <v>101</v>
      </c>
      <c r="C893" t="s">
        <v>1348</v>
      </c>
    </row>
    <row r="894" spans="1:3" x14ac:dyDescent="0.15">
      <c r="A894" t="s">
        <v>454</v>
      </c>
      <c r="B894" t="s">
        <v>101</v>
      </c>
      <c r="C894" t="s">
        <v>1349</v>
      </c>
    </row>
    <row r="895" spans="1:3" x14ac:dyDescent="0.15">
      <c r="A895" t="s">
        <v>454</v>
      </c>
      <c r="B895" t="s">
        <v>101</v>
      </c>
      <c r="C895" t="s">
        <v>1350</v>
      </c>
    </row>
    <row r="896" spans="1:3" x14ac:dyDescent="0.15">
      <c r="A896" t="s">
        <v>454</v>
      </c>
      <c r="B896" t="s">
        <v>101</v>
      </c>
      <c r="C896" t="s">
        <v>1351</v>
      </c>
    </row>
    <row r="897" spans="1:3" x14ac:dyDescent="0.15">
      <c r="A897" t="s">
        <v>454</v>
      </c>
      <c r="B897" t="s">
        <v>101</v>
      </c>
      <c r="C897" t="s">
        <v>1352</v>
      </c>
    </row>
    <row r="898" spans="1:3" x14ac:dyDescent="0.15">
      <c r="A898" t="s">
        <v>454</v>
      </c>
      <c r="B898" t="s">
        <v>101</v>
      </c>
      <c r="C898" t="s">
        <v>1353</v>
      </c>
    </row>
    <row r="899" spans="1:3" x14ac:dyDescent="0.15">
      <c r="A899" t="s">
        <v>454</v>
      </c>
      <c r="B899" t="s">
        <v>101</v>
      </c>
      <c r="C899" t="s">
        <v>1354</v>
      </c>
    </row>
    <row r="900" spans="1:3" x14ac:dyDescent="0.15">
      <c r="A900" t="s">
        <v>454</v>
      </c>
      <c r="B900" t="s">
        <v>101</v>
      </c>
      <c r="C900" t="s">
        <v>1355</v>
      </c>
    </row>
    <row r="901" spans="1:3" x14ac:dyDescent="0.15">
      <c r="A901" t="s">
        <v>454</v>
      </c>
      <c r="B901" t="s">
        <v>101</v>
      </c>
      <c r="C901" t="s">
        <v>1356</v>
      </c>
    </row>
    <row r="902" spans="1:3" x14ac:dyDescent="0.15">
      <c r="A902" t="s">
        <v>454</v>
      </c>
      <c r="B902" t="s">
        <v>101</v>
      </c>
      <c r="C902" t="s">
        <v>1357</v>
      </c>
    </row>
    <row r="903" spans="1:3" x14ac:dyDescent="0.15">
      <c r="A903" t="s">
        <v>454</v>
      </c>
      <c r="B903" t="s">
        <v>101</v>
      </c>
      <c r="C903" t="s">
        <v>1358</v>
      </c>
    </row>
    <row r="904" spans="1:3" x14ac:dyDescent="0.15">
      <c r="A904" t="s">
        <v>454</v>
      </c>
      <c r="B904" t="s">
        <v>101</v>
      </c>
      <c r="C904" t="s">
        <v>1359</v>
      </c>
    </row>
    <row r="905" spans="1:3" x14ac:dyDescent="0.15">
      <c r="A905" t="s">
        <v>454</v>
      </c>
      <c r="B905" t="s">
        <v>101</v>
      </c>
      <c r="C905" t="s">
        <v>1360</v>
      </c>
    </row>
    <row r="906" spans="1:3" x14ac:dyDescent="0.15">
      <c r="A906" t="s">
        <v>454</v>
      </c>
      <c r="B906" t="s">
        <v>101</v>
      </c>
      <c r="C906" t="s">
        <v>1361</v>
      </c>
    </row>
    <row r="907" spans="1:3" x14ac:dyDescent="0.15">
      <c r="A907" t="s">
        <v>454</v>
      </c>
      <c r="B907" t="s">
        <v>101</v>
      </c>
      <c r="C907" t="s">
        <v>1362</v>
      </c>
    </row>
    <row r="908" spans="1:3" x14ac:dyDescent="0.15">
      <c r="A908" t="s">
        <v>454</v>
      </c>
      <c r="B908" t="s">
        <v>101</v>
      </c>
      <c r="C908" t="s">
        <v>1363</v>
      </c>
    </row>
    <row r="909" spans="1:3" x14ac:dyDescent="0.15">
      <c r="A909" t="s">
        <v>454</v>
      </c>
      <c r="B909" t="s">
        <v>101</v>
      </c>
      <c r="C909" t="s">
        <v>1364</v>
      </c>
    </row>
    <row r="910" spans="1:3" x14ac:dyDescent="0.15">
      <c r="A910" t="s">
        <v>454</v>
      </c>
      <c r="B910" t="s">
        <v>101</v>
      </c>
      <c r="C910" t="s">
        <v>1365</v>
      </c>
    </row>
    <row r="911" spans="1:3" x14ac:dyDescent="0.15">
      <c r="A911" t="s">
        <v>454</v>
      </c>
      <c r="B911" t="s">
        <v>101</v>
      </c>
      <c r="C911" t="s">
        <v>1366</v>
      </c>
    </row>
    <row r="912" spans="1:3" x14ac:dyDescent="0.15">
      <c r="A912" t="s">
        <v>454</v>
      </c>
      <c r="B912" t="s">
        <v>101</v>
      </c>
      <c r="C912" t="s">
        <v>1367</v>
      </c>
    </row>
    <row r="913" spans="1:3" x14ac:dyDescent="0.15">
      <c r="A913" t="s">
        <v>454</v>
      </c>
      <c r="B913" t="s">
        <v>101</v>
      </c>
      <c r="C913" t="s">
        <v>1368</v>
      </c>
    </row>
    <row r="914" spans="1:3" x14ac:dyDescent="0.15">
      <c r="A914" t="s">
        <v>454</v>
      </c>
      <c r="B914" t="s">
        <v>101</v>
      </c>
      <c r="C914" t="s">
        <v>1369</v>
      </c>
    </row>
    <row r="915" spans="1:3" x14ac:dyDescent="0.15">
      <c r="A915" t="s">
        <v>454</v>
      </c>
      <c r="B915" t="s">
        <v>101</v>
      </c>
      <c r="C915" t="s">
        <v>1370</v>
      </c>
    </row>
    <row r="916" spans="1:3" x14ac:dyDescent="0.15">
      <c r="A916" t="s">
        <v>454</v>
      </c>
      <c r="B916" t="s">
        <v>101</v>
      </c>
      <c r="C916" t="s">
        <v>1371</v>
      </c>
    </row>
    <row r="917" spans="1:3" x14ac:dyDescent="0.15">
      <c r="A917" t="s">
        <v>454</v>
      </c>
      <c r="B917" t="s">
        <v>101</v>
      </c>
      <c r="C917" t="s">
        <v>1372</v>
      </c>
    </row>
    <row r="918" spans="1:3" x14ac:dyDescent="0.15">
      <c r="A918" t="s">
        <v>454</v>
      </c>
      <c r="B918" t="s">
        <v>101</v>
      </c>
      <c r="C918" t="s">
        <v>1373</v>
      </c>
    </row>
    <row r="919" spans="1:3" x14ac:dyDescent="0.15">
      <c r="A919" t="s">
        <v>454</v>
      </c>
      <c r="B919" t="s">
        <v>101</v>
      </c>
      <c r="C919" t="s">
        <v>1374</v>
      </c>
    </row>
    <row r="920" spans="1:3" x14ac:dyDescent="0.15">
      <c r="A920" t="s">
        <v>454</v>
      </c>
      <c r="B920" t="s">
        <v>101</v>
      </c>
      <c r="C920" t="s">
        <v>1375</v>
      </c>
    </row>
    <row r="921" spans="1:3" x14ac:dyDescent="0.15">
      <c r="A921" t="s">
        <v>454</v>
      </c>
      <c r="B921" t="s">
        <v>101</v>
      </c>
      <c r="C921" t="s">
        <v>1376</v>
      </c>
    </row>
    <row r="922" spans="1:3" x14ac:dyDescent="0.15">
      <c r="A922" t="s">
        <v>454</v>
      </c>
      <c r="B922" t="s">
        <v>101</v>
      </c>
      <c r="C922" t="s">
        <v>1377</v>
      </c>
    </row>
    <row r="923" spans="1:3" x14ac:dyDescent="0.15">
      <c r="A923" t="s">
        <v>454</v>
      </c>
      <c r="B923" t="s">
        <v>101</v>
      </c>
      <c r="C923" t="s">
        <v>1378</v>
      </c>
    </row>
    <row r="924" spans="1:3" x14ac:dyDescent="0.15">
      <c r="A924" t="s">
        <v>454</v>
      </c>
      <c r="B924" t="s">
        <v>101</v>
      </c>
      <c r="C924" t="s">
        <v>1379</v>
      </c>
    </row>
    <row r="925" spans="1:3" x14ac:dyDescent="0.15">
      <c r="A925" t="s">
        <v>454</v>
      </c>
      <c r="B925" t="s">
        <v>101</v>
      </c>
      <c r="C925" t="s">
        <v>1380</v>
      </c>
    </row>
    <row r="926" spans="1:3" x14ac:dyDescent="0.15">
      <c r="A926" t="s">
        <v>454</v>
      </c>
      <c r="B926" t="s">
        <v>101</v>
      </c>
      <c r="C926" t="s">
        <v>1381</v>
      </c>
    </row>
    <row r="927" spans="1:3" x14ac:dyDescent="0.15">
      <c r="A927" t="s">
        <v>454</v>
      </c>
      <c r="B927" t="s">
        <v>101</v>
      </c>
      <c r="C927" t="s">
        <v>1382</v>
      </c>
    </row>
    <row r="928" spans="1:3" x14ac:dyDescent="0.15">
      <c r="A928" t="s">
        <v>454</v>
      </c>
      <c r="B928" t="s">
        <v>101</v>
      </c>
      <c r="C928" t="s">
        <v>1383</v>
      </c>
    </row>
    <row r="929" spans="1:3" x14ac:dyDescent="0.15">
      <c r="A929" t="s">
        <v>454</v>
      </c>
      <c r="B929" t="s">
        <v>101</v>
      </c>
      <c r="C929" t="s">
        <v>1384</v>
      </c>
    </row>
    <row r="930" spans="1:3" x14ac:dyDescent="0.15">
      <c r="A930" t="s">
        <v>454</v>
      </c>
      <c r="B930" t="s">
        <v>101</v>
      </c>
      <c r="C930" t="s">
        <v>1385</v>
      </c>
    </row>
    <row r="931" spans="1:3" x14ac:dyDescent="0.15">
      <c r="A931" t="s">
        <v>454</v>
      </c>
      <c r="B931" t="s">
        <v>101</v>
      </c>
      <c r="C931" t="s">
        <v>1386</v>
      </c>
    </row>
    <row r="932" spans="1:3" x14ac:dyDescent="0.15">
      <c r="A932" t="s">
        <v>454</v>
      </c>
      <c r="B932" t="s">
        <v>101</v>
      </c>
      <c r="C932" t="s">
        <v>1387</v>
      </c>
    </row>
    <row r="933" spans="1:3" x14ac:dyDescent="0.15">
      <c r="A933" t="s">
        <v>454</v>
      </c>
      <c r="B933" t="s">
        <v>101</v>
      </c>
      <c r="C933" t="s">
        <v>1388</v>
      </c>
    </row>
    <row r="934" spans="1:3" x14ac:dyDescent="0.15">
      <c r="A934" t="s">
        <v>454</v>
      </c>
      <c r="B934" t="s">
        <v>101</v>
      </c>
      <c r="C934" t="s">
        <v>1389</v>
      </c>
    </row>
    <row r="935" spans="1:3" x14ac:dyDescent="0.15">
      <c r="A935" t="s">
        <v>454</v>
      </c>
      <c r="B935" t="s">
        <v>101</v>
      </c>
      <c r="C935" t="s">
        <v>1390</v>
      </c>
    </row>
    <row r="936" spans="1:3" x14ac:dyDescent="0.15">
      <c r="A936" t="s">
        <v>454</v>
      </c>
      <c r="B936" t="s">
        <v>101</v>
      </c>
      <c r="C936" t="s">
        <v>1391</v>
      </c>
    </row>
    <row r="937" spans="1:3" x14ac:dyDescent="0.15">
      <c r="A937" t="s">
        <v>454</v>
      </c>
      <c r="B937" t="s">
        <v>101</v>
      </c>
      <c r="C937" t="s">
        <v>1392</v>
      </c>
    </row>
    <row r="938" spans="1:3" x14ac:dyDescent="0.15">
      <c r="A938" t="s">
        <v>454</v>
      </c>
      <c r="B938" t="s">
        <v>101</v>
      </c>
      <c r="C938" t="s">
        <v>1393</v>
      </c>
    </row>
    <row r="939" spans="1:3" x14ac:dyDescent="0.15">
      <c r="A939" t="s">
        <v>454</v>
      </c>
      <c r="B939" t="s">
        <v>101</v>
      </c>
      <c r="C939" t="s">
        <v>1394</v>
      </c>
    </row>
    <row r="940" spans="1:3" x14ac:dyDescent="0.15">
      <c r="A940" t="s">
        <v>454</v>
      </c>
      <c r="B940" t="s">
        <v>101</v>
      </c>
      <c r="C940" t="s">
        <v>1395</v>
      </c>
    </row>
    <row r="941" spans="1:3" x14ac:dyDescent="0.15">
      <c r="A941" t="s">
        <v>454</v>
      </c>
      <c r="B941" t="s">
        <v>101</v>
      </c>
      <c r="C941" t="s">
        <v>1396</v>
      </c>
    </row>
    <row r="942" spans="1:3" x14ac:dyDescent="0.15">
      <c r="A942" t="s">
        <v>454</v>
      </c>
      <c r="B942" t="s">
        <v>101</v>
      </c>
      <c r="C942" t="s">
        <v>1397</v>
      </c>
    </row>
    <row r="943" spans="1:3" x14ac:dyDescent="0.15">
      <c r="A943" t="s">
        <v>454</v>
      </c>
      <c r="B943" t="s">
        <v>101</v>
      </c>
      <c r="C943" t="s">
        <v>1398</v>
      </c>
    </row>
    <row r="944" spans="1:3" x14ac:dyDescent="0.15">
      <c r="A944" t="s">
        <v>454</v>
      </c>
      <c r="B944" t="s">
        <v>101</v>
      </c>
      <c r="C944" t="s">
        <v>1399</v>
      </c>
    </row>
    <row r="945" spans="1:3" x14ac:dyDescent="0.15">
      <c r="A945" t="s">
        <v>454</v>
      </c>
      <c r="B945" t="s">
        <v>101</v>
      </c>
      <c r="C945" t="s">
        <v>1400</v>
      </c>
    </row>
    <row r="946" spans="1:3" x14ac:dyDescent="0.15">
      <c r="A946" t="s">
        <v>454</v>
      </c>
      <c r="B946" t="s">
        <v>101</v>
      </c>
      <c r="C946" t="s">
        <v>1401</v>
      </c>
    </row>
    <row r="947" spans="1:3" x14ac:dyDescent="0.15">
      <c r="A947" t="s">
        <v>454</v>
      </c>
      <c r="B947" t="s">
        <v>101</v>
      </c>
      <c r="C947" t="s">
        <v>1402</v>
      </c>
    </row>
    <row r="948" spans="1:3" x14ac:dyDescent="0.15">
      <c r="A948" t="s">
        <v>454</v>
      </c>
      <c r="B948" t="s">
        <v>101</v>
      </c>
      <c r="C948" t="s">
        <v>1403</v>
      </c>
    </row>
    <row r="949" spans="1:3" x14ac:dyDescent="0.15">
      <c r="A949" t="s">
        <v>454</v>
      </c>
      <c r="B949" t="s">
        <v>101</v>
      </c>
      <c r="C949" t="s">
        <v>1404</v>
      </c>
    </row>
    <row r="950" spans="1:3" x14ac:dyDescent="0.15">
      <c r="A950" t="s">
        <v>454</v>
      </c>
      <c r="B950" t="s">
        <v>101</v>
      </c>
      <c r="C950" t="s">
        <v>1405</v>
      </c>
    </row>
    <row r="951" spans="1:3" x14ac:dyDescent="0.15">
      <c r="A951" t="s">
        <v>454</v>
      </c>
      <c r="B951" t="s">
        <v>101</v>
      </c>
      <c r="C951" t="s">
        <v>1406</v>
      </c>
    </row>
    <row r="952" spans="1:3" x14ac:dyDescent="0.15">
      <c r="A952" t="s">
        <v>454</v>
      </c>
      <c r="B952" t="s">
        <v>101</v>
      </c>
      <c r="C952" t="s">
        <v>1407</v>
      </c>
    </row>
    <row r="953" spans="1:3" x14ac:dyDescent="0.15">
      <c r="A953" t="s">
        <v>454</v>
      </c>
      <c r="B953" t="s">
        <v>101</v>
      </c>
      <c r="C953" t="s">
        <v>1408</v>
      </c>
    </row>
    <row r="954" spans="1:3" x14ac:dyDescent="0.15">
      <c r="A954" t="s">
        <v>454</v>
      </c>
      <c r="B954" t="s">
        <v>101</v>
      </c>
      <c r="C954" t="s">
        <v>1409</v>
      </c>
    </row>
    <row r="955" spans="1:3" x14ac:dyDescent="0.15">
      <c r="A955" t="s">
        <v>454</v>
      </c>
      <c r="B955" t="s">
        <v>101</v>
      </c>
      <c r="C955" t="s">
        <v>1410</v>
      </c>
    </row>
    <row r="956" spans="1:3" x14ac:dyDescent="0.15">
      <c r="A956" t="s">
        <v>454</v>
      </c>
      <c r="B956" t="s">
        <v>101</v>
      </c>
      <c r="C956" t="s">
        <v>1411</v>
      </c>
    </row>
    <row r="957" spans="1:3" x14ac:dyDescent="0.15">
      <c r="A957" t="s">
        <v>454</v>
      </c>
      <c r="B957" t="s">
        <v>101</v>
      </c>
      <c r="C957" t="s">
        <v>1412</v>
      </c>
    </row>
    <row r="958" spans="1:3" x14ac:dyDescent="0.15">
      <c r="A958" t="s">
        <v>454</v>
      </c>
      <c r="B958" t="s">
        <v>101</v>
      </c>
      <c r="C958" t="s">
        <v>1413</v>
      </c>
    </row>
    <row r="959" spans="1:3" x14ac:dyDescent="0.15">
      <c r="A959" t="s">
        <v>454</v>
      </c>
      <c r="B959" t="s">
        <v>101</v>
      </c>
      <c r="C959" t="s">
        <v>1414</v>
      </c>
    </row>
    <row r="960" spans="1:3" x14ac:dyDescent="0.15">
      <c r="A960" t="s">
        <v>454</v>
      </c>
      <c r="B960" t="s">
        <v>101</v>
      </c>
      <c r="C960" t="s">
        <v>1415</v>
      </c>
    </row>
    <row r="961" spans="1:3" x14ac:dyDescent="0.15">
      <c r="A961" t="s">
        <v>454</v>
      </c>
      <c r="B961" t="s">
        <v>101</v>
      </c>
      <c r="C961" t="s">
        <v>1416</v>
      </c>
    </row>
    <row r="962" spans="1:3" x14ac:dyDescent="0.15">
      <c r="A962" t="s">
        <v>454</v>
      </c>
      <c r="B962" t="s">
        <v>101</v>
      </c>
      <c r="C962" t="s">
        <v>1417</v>
      </c>
    </row>
    <row r="963" spans="1:3" x14ac:dyDescent="0.15">
      <c r="A963" t="s">
        <v>454</v>
      </c>
      <c r="B963" t="s">
        <v>101</v>
      </c>
      <c r="C963" t="s">
        <v>1418</v>
      </c>
    </row>
    <row r="964" spans="1:3" x14ac:dyDescent="0.15">
      <c r="A964" t="s">
        <v>454</v>
      </c>
      <c r="B964" t="s">
        <v>101</v>
      </c>
      <c r="C964" t="s">
        <v>1419</v>
      </c>
    </row>
    <row r="965" spans="1:3" x14ac:dyDescent="0.15">
      <c r="A965" t="s">
        <v>454</v>
      </c>
      <c r="B965" t="s">
        <v>101</v>
      </c>
      <c r="C965" t="s">
        <v>1420</v>
      </c>
    </row>
    <row r="966" spans="1:3" x14ac:dyDescent="0.15">
      <c r="A966" t="s">
        <v>454</v>
      </c>
      <c r="B966" t="s">
        <v>101</v>
      </c>
      <c r="C966" t="s">
        <v>1421</v>
      </c>
    </row>
    <row r="967" spans="1:3" x14ac:dyDescent="0.15">
      <c r="A967" t="s">
        <v>454</v>
      </c>
      <c r="B967" t="s">
        <v>101</v>
      </c>
      <c r="C967" t="s">
        <v>1422</v>
      </c>
    </row>
    <row r="968" spans="1:3" x14ac:dyDescent="0.15">
      <c r="A968" t="s">
        <v>454</v>
      </c>
      <c r="B968" t="s">
        <v>101</v>
      </c>
      <c r="C968" t="s">
        <v>1423</v>
      </c>
    </row>
    <row r="969" spans="1:3" x14ac:dyDescent="0.15">
      <c r="A969" t="s">
        <v>454</v>
      </c>
      <c r="B969" t="s">
        <v>101</v>
      </c>
      <c r="C969" t="s">
        <v>1424</v>
      </c>
    </row>
    <row r="970" spans="1:3" x14ac:dyDescent="0.15">
      <c r="A970" t="s">
        <v>454</v>
      </c>
      <c r="B970" t="s">
        <v>101</v>
      </c>
      <c r="C970" t="s">
        <v>1425</v>
      </c>
    </row>
    <row r="971" spans="1:3" x14ac:dyDescent="0.15">
      <c r="A971" t="s">
        <v>454</v>
      </c>
      <c r="B971" t="s">
        <v>101</v>
      </c>
      <c r="C971" t="s">
        <v>1426</v>
      </c>
    </row>
    <row r="972" spans="1:3" x14ac:dyDescent="0.15">
      <c r="A972" t="s">
        <v>454</v>
      </c>
      <c r="B972" t="s">
        <v>101</v>
      </c>
      <c r="C972" t="s">
        <v>1427</v>
      </c>
    </row>
    <row r="973" spans="1:3" x14ac:dyDescent="0.15">
      <c r="A973" t="s">
        <v>454</v>
      </c>
      <c r="B973" t="s">
        <v>101</v>
      </c>
      <c r="C973" t="s">
        <v>1428</v>
      </c>
    </row>
    <row r="974" spans="1:3" x14ac:dyDescent="0.15">
      <c r="A974" t="s">
        <v>454</v>
      </c>
      <c r="B974" t="s">
        <v>101</v>
      </c>
      <c r="C974" t="s">
        <v>1429</v>
      </c>
    </row>
    <row r="975" spans="1:3" x14ac:dyDescent="0.15">
      <c r="A975" t="s">
        <v>454</v>
      </c>
      <c r="B975" t="s">
        <v>101</v>
      </c>
      <c r="C975" t="s">
        <v>1430</v>
      </c>
    </row>
    <row r="976" spans="1:3" x14ac:dyDescent="0.15">
      <c r="A976" t="s">
        <v>454</v>
      </c>
      <c r="B976" t="s">
        <v>101</v>
      </c>
      <c r="C976" t="s">
        <v>1431</v>
      </c>
    </row>
    <row r="977" spans="1:3" x14ac:dyDescent="0.15">
      <c r="A977" t="s">
        <v>454</v>
      </c>
      <c r="B977" t="s">
        <v>101</v>
      </c>
      <c r="C977" t="s">
        <v>1432</v>
      </c>
    </row>
    <row r="978" spans="1:3" x14ac:dyDescent="0.15">
      <c r="A978" t="s">
        <v>454</v>
      </c>
      <c r="B978" t="s">
        <v>101</v>
      </c>
      <c r="C978" t="s">
        <v>1433</v>
      </c>
    </row>
    <row r="979" spans="1:3" x14ac:dyDescent="0.15">
      <c r="A979" t="s">
        <v>454</v>
      </c>
      <c r="B979" t="s">
        <v>101</v>
      </c>
      <c r="C979" t="s">
        <v>1434</v>
      </c>
    </row>
    <row r="980" spans="1:3" x14ac:dyDescent="0.15">
      <c r="A980" t="s">
        <v>454</v>
      </c>
      <c r="B980" t="s">
        <v>101</v>
      </c>
      <c r="C980" t="s">
        <v>1435</v>
      </c>
    </row>
    <row r="981" spans="1:3" x14ac:dyDescent="0.15">
      <c r="A981" t="s">
        <v>454</v>
      </c>
      <c r="B981" t="s">
        <v>101</v>
      </c>
      <c r="C981" t="s">
        <v>1436</v>
      </c>
    </row>
    <row r="982" spans="1:3" x14ac:dyDescent="0.15">
      <c r="A982" t="s">
        <v>454</v>
      </c>
      <c r="B982" t="s">
        <v>101</v>
      </c>
      <c r="C982" t="s">
        <v>1437</v>
      </c>
    </row>
    <row r="983" spans="1:3" x14ac:dyDescent="0.15">
      <c r="A983" t="s">
        <v>454</v>
      </c>
      <c r="B983" t="s">
        <v>101</v>
      </c>
      <c r="C983" t="s">
        <v>1438</v>
      </c>
    </row>
    <row r="984" spans="1:3" x14ac:dyDescent="0.15">
      <c r="A984" t="s">
        <v>454</v>
      </c>
      <c r="B984" t="s">
        <v>101</v>
      </c>
      <c r="C984" t="s">
        <v>1439</v>
      </c>
    </row>
    <row r="985" spans="1:3" x14ac:dyDescent="0.15">
      <c r="A985" t="s">
        <v>454</v>
      </c>
      <c r="B985" t="s">
        <v>101</v>
      </c>
      <c r="C985" t="s">
        <v>1440</v>
      </c>
    </row>
    <row r="986" spans="1:3" x14ac:dyDescent="0.15">
      <c r="A986" t="s">
        <v>454</v>
      </c>
      <c r="B986" t="s">
        <v>101</v>
      </c>
      <c r="C986" t="s">
        <v>1441</v>
      </c>
    </row>
    <row r="987" spans="1:3" x14ac:dyDescent="0.15">
      <c r="A987" t="s">
        <v>454</v>
      </c>
      <c r="B987" t="s">
        <v>101</v>
      </c>
      <c r="C987" t="s">
        <v>1442</v>
      </c>
    </row>
    <row r="988" spans="1:3" x14ac:dyDescent="0.15">
      <c r="A988" t="s">
        <v>454</v>
      </c>
      <c r="B988" t="s">
        <v>101</v>
      </c>
      <c r="C988" t="s">
        <v>1443</v>
      </c>
    </row>
    <row r="989" spans="1:3" x14ac:dyDescent="0.15">
      <c r="A989" t="s">
        <v>454</v>
      </c>
      <c r="B989" t="s">
        <v>101</v>
      </c>
      <c r="C989" t="s">
        <v>1444</v>
      </c>
    </row>
    <row r="990" spans="1:3" x14ac:dyDescent="0.15">
      <c r="A990" t="s">
        <v>454</v>
      </c>
      <c r="B990" t="s">
        <v>101</v>
      </c>
      <c r="C990" t="s">
        <v>1445</v>
      </c>
    </row>
    <row r="991" spans="1:3" x14ac:dyDescent="0.15">
      <c r="A991" t="s">
        <v>454</v>
      </c>
      <c r="B991" t="s">
        <v>101</v>
      </c>
      <c r="C991" t="s">
        <v>1446</v>
      </c>
    </row>
    <row r="992" spans="1:3" x14ac:dyDescent="0.15">
      <c r="A992" t="s">
        <v>454</v>
      </c>
      <c r="B992" t="s">
        <v>101</v>
      </c>
      <c r="C992" t="s">
        <v>1447</v>
      </c>
    </row>
    <row r="993" spans="1:3" x14ac:dyDescent="0.15">
      <c r="A993" t="s">
        <v>454</v>
      </c>
      <c r="B993" t="s">
        <v>101</v>
      </c>
      <c r="C993" t="s">
        <v>1448</v>
      </c>
    </row>
    <row r="994" spans="1:3" x14ac:dyDescent="0.15">
      <c r="A994" t="s">
        <v>454</v>
      </c>
      <c r="B994" t="s">
        <v>101</v>
      </c>
      <c r="C994" t="s">
        <v>1449</v>
      </c>
    </row>
    <row r="995" spans="1:3" x14ac:dyDescent="0.15">
      <c r="A995" t="s">
        <v>454</v>
      </c>
      <c r="B995" t="s">
        <v>101</v>
      </c>
      <c r="C995" t="s">
        <v>1450</v>
      </c>
    </row>
    <row r="996" spans="1:3" x14ac:dyDescent="0.15">
      <c r="A996" t="s">
        <v>454</v>
      </c>
      <c r="B996" t="s">
        <v>101</v>
      </c>
      <c r="C996" t="s">
        <v>1451</v>
      </c>
    </row>
    <row r="997" spans="1:3" x14ac:dyDescent="0.15">
      <c r="A997" t="s">
        <v>454</v>
      </c>
      <c r="B997" t="s">
        <v>101</v>
      </c>
      <c r="C997" t="s">
        <v>1452</v>
      </c>
    </row>
    <row r="998" spans="1:3" x14ac:dyDescent="0.15">
      <c r="A998" t="s">
        <v>454</v>
      </c>
      <c r="B998" t="s">
        <v>101</v>
      </c>
      <c r="C998" t="s">
        <v>1453</v>
      </c>
    </row>
    <row r="999" spans="1:3" x14ac:dyDescent="0.15">
      <c r="A999" t="s">
        <v>454</v>
      </c>
      <c r="B999" t="s">
        <v>101</v>
      </c>
      <c r="C999" t="s">
        <v>1454</v>
      </c>
    </row>
    <row r="1000" spans="1:3" x14ac:dyDescent="0.15">
      <c r="A1000" t="s">
        <v>454</v>
      </c>
      <c r="B1000" t="s">
        <v>101</v>
      </c>
      <c r="C1000" t="s">
        <v>1455</v>
      </c>
    </row>
    <row r="1001" spans="1:3" x14ac:dyDescent="0.15">
      <c r="A1001" t="s">
        <v>454</v>
      </c>
      <c r="B1001" t="s">
        <v>101</v>
      </c>
      <c r="C1001" t="s">
        <v>1456</v>
      </c>
    </row>
    <row r="1002" spans="1:3" x14ac:dyDescent="0.15">
      <c r="A1002" t="s">
        <v>454</v>
      </c>
      <c r="B1002" t="s">
        <v>101</v>
      </c>
      <c r="C1002" t="s">
        <v>1457</v>
      </c>
    </row>
    <row r="1003" spans="1:3" x14ac:dyDescent="0.15">
      <c r="A1003" t="s">
        <v>454</v>
      </c>
      <c r="B1003" t="s">
        <v>101</v>
      </c>
      <c r="C1003" t="s">
        <v>1458</v>
      </c>
    </row>
    <row r="1004" spans="1:3" x14ac:dyDescent="0.15">
      <c r="A1004" t="s">
        <v>454</v>
      </c>
      <c r="B1004" t="s">
        <v>101</v>
      </c>
      <c r="C1004" t="s">
        <v>1459</v>
      </c>
    </row>
    <row r="1005" spans="1:3" x14ac:dyDescent="0.15">
      <c r="A1005" t="s">
        <v>454</v>
      </c>
      <c r="B1005" t="s">
        <v>101</v>
      </c>
      <c r="C1005" t="s">
        <v>1460</v>
      </c>
    </row>
    <row r="1006" spans="1:3" x14ac:dyDescent="0.15">
      <c r="A1006" t="s">
        <v>454</v>
      </c>
      <c r="B1006" t="s">
        <v>101</v>
      </c>
      <c r="C1006" t="s">
        <v>1461</v>
      </c>
    </row>
    <row r="1007" spans="1:3" x14ac:dyDescent="0.15">
      <c r="A1007" t="s">
        <v>454</v>
      </c>
      <c r="B1007" t="s">
        <v>101</v>
      </c>
      <c r="C1007" t="s">
        <v>1462</v>
      </c>
    </row>
    <row r="1008" spans="1:3" x14ac:dyDescent="0.15">
      <c r="A1008" t="s">
        <v>454</v>
      </c>
      <c r="B1008" t="s">
        <v>101</v>
      </c>
      <c r="C1008" t="s">
        <v>1463</v>
      </c>
    </row>
    <row r="1009" spans="1:3" x14ac:dyDescent="0.15">
      <c r="A1009" t="s">
        <v>454</v>
      </c>
      <c r="B1009" t="s">
        <v>101</v>
      </c>
      <c r="C1009" t="s">
        <v>1464</v>
      </c>
    </row>
    <row r="1010" spans="1:3" x14ac:dyDescent="0.15">
      <c r="A1010" t="s">
        <v>454</v>
      </c>
      <c r="B1010" t="s">
        <v>101</v>
      </c>
      <c r="C1010" t="s">
        <v>1465</v>
      </c>
    </row>
    <row r="1011" spans="1:3" x14ac:dyDescent="0.15">
      <c r="A1011" t="s">
        <v>454</v>
      </c>
      <c r="B1011" t="s">
        <v>101</v>
      </c>
      <c r="C1011" t="s">
        <v>1466</v>
      </c>
    </row>
    <row r="1012" spans="1:3" x14ac:dyDescent="0.15">
      <c r="A1012" t="s">
        <v>454</v>
      </c>
      <c r="B1012" t="s">
        <v>101</v>
      </c>
      <c r="C1012" t="s">
        <v>1467</v>
      </c>
    </row>
    <row r="1013" spans="1:3" x14ac:dyDescent="0.15">
      <c r="A1013" t="s">
        <v>454</v>
      </c>
      <c r="B1013" t="s">
        <v>101</v>
      </c>
      <c r="C1013" t="s">
        <v>1468</v>
      </c>
    </row>
    <row r="1014" spans="1:3" x14ac:dyDescent="0.15">
      <c r="A1014" t="s">
        <v>454</v>
      </c>
      <c r="B1014" t="s">
        <v>101</v>
      </c>
      <c r="C1014" t="s">
        <v>1469</v>
      </c>
    </row>
    <row r="1015" spans="1:3" x14ac:dyDescent="0.15">
      <c r="A1015" t="s">
        <v>454</v>
      </c>
      <c r="B1015" t="s">
        <v>101</v>
      </c>
      <c r="C1015" t="s">
        <v>1470</v>
      </c>
    </row>
    <row r="1016" spans="1:3" x14ac:dyDescent="0.15">
      <c r="A1016" t="s">
        <v>454</v>
      </c>
      <c r="B1016" t="s">
        <v>101</v>
      </c>
      <c r="C1016" t="s">
        <v>1471</v>
      </c>
    </row>
    <row r="1017" spans="1:3" x14ac:dyDescent="0.15">
      <c r="A1017" t="s">
        <v>454</v>
      </c>
      <c r="B1017" t="s">
        <v>101</v>
      </c>
      <c r="C1017" t="s">
        <v>1472</v>
      </c>
    </row>
    <row r="1018" spans="1:3" x14ac:dyDescent="0.15">
      <c r="A1018" t="s">
        <v>454</v>
      </c>
      <c r="B1018" t="s">
        <v>101</v>
      </c>
      <c r="C1018" t="s">
        <v>1473</v>
      </c>
    </row>
    <row r="1019" spans="1:3" x14ac:dyDescent="0.15">
      <c r="A1019" t="s">
        <v>454</v>
      </c>
      <c r="B1019" t="s">
        <v>101</v>
      </c>
      <c r="C1019" t="s">
        <v>1474</v>
      </c>
    </row>
    <row r="1020" spans="1:3" x14ac:dyDescent="0.15">
      <c r="A1020" t="s">
        <v>454</v>
      </c>
      <c r="B1020" t="s">
        <v>101</v>
      </c>
      <c r="C1020" t="s">
        <v>1475</v>
      </c>
    </row>
    <row r="1021" spans="1:3" x14ac:dyDescent="0.15">
      <c r="A1021" t="s">
        <v>454</v>
      </c>
      <c r="B1021" t="s">
        <v>101</v>
      </c>
      <c r="C1021" t="s">
        <v>1476</v>
      </c>
    </row>
    <row r="1022" spans="1:3" x14ac:dyDescent="0.15">
      <c r="A1022" t="s">
        <v>454</v>
      </c>
      <c r="B1022" t="s">
        <v>101</v>
      </c>
      <c r="C1022" t="s">
        <v>1477</v>
      </c>
    </row>
    <row r="1023" spans="1:3" x14ac:dyDescent="0.15">
      <c r="A1023" t="s">
        <v>454</v>
      </c>
      <c r="B1023" t="s">
        <v>101</v>
      </c>
      <c r="C1023" t="s">
        <v>1478</v>
      </c>
    </row>
    <row r="1024" spans="1:3" x14ac:dyDescent="0.15">
      <c r="A1024" t="s">
        <v>454</v>
      </c>
      <c r="B1024" t="s">
        <v>101</v>
      </c>
      <c r="C1024" t="s">
        <v>1479</v>
      </c>
    </row>
    <row r="1025" spans="1:3" x14ac:dyDescent="0.15">
      <c r="A1025" t="s">
        <v>454</v>
      </c>
      <c r="B1025" t="s">
        <v>101</v>
      </c>
      <c r="C1025" t="s">
        <v>1480</v>
      </c>
    </row>
    <row r="1026" spans="1:3" x14ac:dyDescent="0.15">
      <c r="A1026" t="s">
        <v>454</v>
      </c>
      <c r="B1026" t="s">
        <v>101</v>
      </c>
      <c r="C1026" t="s">
        <v>1481</v>
      </c>
    </row>
    <row r="1027" spans="1:3" x14ac:dyDescent="0.15">
      <c r="A1027" t="s">
        <v>454</v>
      </c>
      <c r="B1027" t="s">
        <v>101</v>
      </c>
      <c r="C1027" t="s">
        <v>1482</v>
      </c>
    </row>
    <row r="1028" spans="1:3" x14ac:dyDescent="0.15">
      <c r="A1028" t="s">
        <v>454</v>
      </c>
      <c r="B1028" t="s">
        <v>101</v>
      </c>
      <c r="C1028" t="s">
        <v>1483</v>
      </c>
    </row>
    <row r="1029" spans="1:3" x14ac:dyDescent="0.15">
      <c r="A1029" t="s">
        <v>454</v>
      </c>
      <c r="B1029" t="s">
        <v>101</v>
      </c>
      <c r="C1029" t="s">
        <v>1484</v>
      </c>
    </row>
    <row r="1030" spans="1:3" x14ac:dyDescent="0.15">
      <c r="A1030" t="s">
        <v>454</v>
      </c>
      <c r="B1030" t="s">
        <v>101</v>
      </c>
      <c r="C1030" t="s">
        <v>1485</v>
      </c>
    </row>
    <row r="1031" spans="1:3" x14ac:dyDescent="0.15">
      <c r="A1031" t="s">
        <v>454</v>
      </c>
      <c r="B1031" t="s">
        <v>101</v>
      </c>
      <c r="C1031" t="s">
        <v>1486</v>
      </c>
    </row>
    <row r="1032" spans="1:3" x14ac:dyDescent="0.15">
      <c r="A1032" t="s">
        <v>454</v>
      </c>
      <c r="B1032" t="s">
        <v>101</v>
      </c>
      <c r="C1032" t="s">
        <v>1487</v>
      </c>
    </row>
    <row r="1033" spans="1:3" x14ac:dyDescent="0.15">
      <c r="A1033" t="s">
        <v>454</v>
      </c>
      <c r="B1033" t="s">
        <v>101</v>
      </c>
      <c r="C1033" t="s">
        <v>1488</v>
      </c>
    </row>
    <row r="1034" spans="1:3" x14ac:dyDescent="0.15">
      <c r="A1034" t="s">
        <v>454</v>
      </c>
      <c r="B1034" t="s">
        <v>101</v>
      </c>
      <c r="C1034" t="s">
        <v>1489</v>
      </c>
    </row>
    <row r="1035" spans="1:3" x14ac:dyDescent="0.15">
      <c r="A1035" t="s">
        <v>454</v>
      </c>
      <c r="B1035" t="s">
        <v>101</v>
      </c>
      <c r="C1035" t="s">
        <v>1490</v>
      </c>
    </row>
    <row r="1036" spans="1:3" x14ac:dyDescent="0.15">
      <c r="A1036" t="s">
        <v>454</v>
      </c>
      <c r="B1036" t="s">
        <v>101</v>
      </c>
      <c r="C1036" t="s">
        <v>1491</v>
      </c>
    </row>
    <row r="1037" spans="1:3" x14ac:dyDescent="0.15">
      <c r="A1037" t="s">
        <v>454</v>
      </c>
      <c r="B1037" t="s">
        <v>101</v>
      </c>
      <c r="C1037" t="s">
        <v>1492</v>
      </c>
    </row>
    <row r="1038" spans="1:3" x14ac:dyDescent="0.15">
      <c r="A1038" t="s">
        <v>454</v>
      </c>
      <c r="B1038" t="s">
        <v>101</v>
      </c>
      <c r="C1038" t="s">
        <v>1493</v>
      </c>
    </row>
    <row r="1039" spans="1:3" x14ac:dyDescent="0.15">
      <c r="A1039" t="s">
        <v>454</v>
      </c>
      <c r="B1039" t="s">
        <v>101</v>
      </c>
      <c r="C1039" t="s">
        <v>1494</v>
      </c>
    </row>
    <row r="1040" spans="1:3" x14ac:dyDescent="0.15">
      <c r="A1040" t="s">
        <v>454</v>
      </c>
      <c r="B1040" t="s">
        <v>101</v>
      </c>
      <c r="C1040" t="s">
        <v>1495</v>
      </c>
    </row>
    <row r="1041" spans="1:3" x14ac:dyDescent="0.15">
      <c r="A1041" t="s">
        <v>454</v>
      </c>
      <c r="B1041" t="s">
        <v>101</v>
      </c>
      <c r="C1041" t="s">
        <v>1496</v>
      </c>
    </row>
    <row r="1042" spans="1:3" x14ac:dyDescent="0.15">
      <c r="A1042" t="s">
        <v>454</v>
      </c>
      <c r="B1042" t="s">
        <v>101</v>
      </c>
      <c r="C1042" t="s">
        <v>1497</v>
      </c>
    </row>
    <row r="1043" spans="1:3" x14ac:dyDescent="0.15">
      <c r="A1043" t="s">
        <v>454</v>
      </c>
      <c r="B1043" t="s">
        <v>101</v>
      </c>
      <c r="C1043" t="s">
        <v>1498</v>
      </c>
    </row>
    <row r="1044" spans="1:3" x14ac:dyDescent="0.15">
      <c r="A1044" t="s">
        <v>454</v>
      </c>
      <c r="B1044" t="s">
        <v>101</v>
      </c>
      <c r="C1044" t="s">
        <v>1499</v>
      </c>
    </row>
    <row r="1045" spans="1:3" x14ac:dyDescent="0.15">
      <c r="A1045" t="s">
        <v>454</v>
      </c>
      <c r="B1045" t="s">
        <v>101</v>
      </c>
      <c r="C1045" t="s">
        <v>1500</v>
      </c>
    </row>
    <row r="1046" spans="1:3" x14ac:dyDescent="0.15">
      <c r="A1046" t="s">
        <v>454</v>
      </c>
      <c r="B1046" t="s">
        <v>101</v>
      </c>
      <c r="C1046" t="s">
        <v>1501</v>
      </c>
    </row>
    <row r="1047" spans="1:3" x14ac:dyDescent="0.15">
      <c r="A1047" t="s">
        <v>454</v>
      </c>
      <c r="B1047" t="s">
        <v>101</v>
      </c>
      <c r="C1047" t="s">
        <v>1502</v>
      </c>
    </row>
    <row r="1048" spans="1:3" x14ac:dyDescent="0.15">
      <c r="A1048" t="s">
        <v>454</v>
      </c>
      <c r="B1048" t="s">
        <v>101</v>
      </c>
      <c r="C1048" t="s">
        <v>1503</v>
      </c>
    </row>
    <row r="1049" spans="1:3" x14ac:dyDescent="0.15">
      <c r="A1049" t="s">
        <v>454</v>
      </c>
      <c r="B1049" t="s">
        <v>101</v>
      </c>
      <c r="C1049" t="s">
        <v>1504</v>
      </c>
    </row>
    <row r="1050" spans="1:3" x14ac:dyDescent="0.15">
      <c r="A1050" t="s">
        <v>454</v>
      </c>
      <c r="B1050" t="s">
        <v>101</v>
      </c>
      <c r="C1050" t="s">
        <v>1505</v>
      </c>
    </row>
    <row r="1051" spans="1:3" x14ac:dyDescent="0.15">
      <c r="A1051" t="s">
        <v>454</v>
      </c>
      <c r="B1051" t="s">
        <v>101</v>
      </c>
      <c r="C1051" t="s">
        <v>1506</v>
      </c>
    </row>
    <row r="1052" spans="1:3" x14ac:dyDescent="0.15">
      <c r="A1052" t="s">
        <v>454</v>
      </c>
      <c r="B1052" t="s">
        <v>101</v>
      </c>
      <c r="C1052" t="s">
        <v>1507</v>
      </c>
    </row>
    <row r="1053" spans="1:3" x14ac:dyDescent="0.15">
      <c r="A1053" t="s">
        <v>454</v>
      </c>
      <c r="B1053" t="s">
        <v>101</v>
      </c>
      <c r="C1053" t="s">
        <v>1508</v>
      </c>
    </row>
    <row r="1054" spans="1:3" x14ac:dyDescent="0.15">
      <c r="A1054" t="s">
        <v>454</v>
      </c>
      <c r="B1054" t="s">
        <v>101</v>
      </c>
      <c r="C1054" t="s">
        <v>1509</v>
      </c>
    </row>
    <row r="1055" spans="1:3" x14ac:dyDescent="0.15">
      <c r="A1055" t="s">
        <v>454</v>
      </c>
      <c r="B1055" t="s">
        <v>101</v>
      </c>
      <c r="C1055" t="s">
        <v>1510</v>
      </c>
    </row>
    <row r="1056" spans="1:3" x14ac:dyDescent="0.15">
      <c r="A1056" t="s">
        <v>454</v>
      </c>
      <c r="B1056" t="s">
        <v>101</v>
      </c>
      <c r="C1056" t="s">
        <v>1511</v>
      </c>
    </row>
    <row r="1057" spans="1:3" x14ac:dyDescent="0.15">
      <c r="A1057" t="s">
        <v>454</v>
      </c>
      <c r="B1057" t="s">
        <v>101</v>
      </c>
      <c r="C1057" t="s">
        <v>1512</v>
      </c>
    </row>
    <row r="1058" spans="1:3" x14ac:dyDescent="0.15">
      <c r="A1058" t="s">
        <v>454</v>
      </c>
      <c r="B1058" t="s">
        <v>101</v>
      </c>
      <c r="C1058" t="s">
        <v>1513</v>
      </c>
    </row>
    <row r="1059" spans="1:3" x14ac:dyDescent="0.15">
      <c r="A1059" t="s">
        <v>454</v>
      </c>
      <c r="B1059" t="s">
        <v>101</v>
      </c>
      <c r="C1059" t="s">
        <v>1514</v>
      </c>
    </row>
    <row r="1060" spans="1:3" x14ac:dyDescent="0.15">
      <c r="A1060" t="s">
        <v>454</v>
      </c>
      <c r="B1060" t="s">
        <v>101</v>
      </c>
      <c r="C1060" t="s">
        <v>1515</v>
      </c>
    </row>
    <row r="1061" spans="1:3" x14ac:dyDescent="0.15">
      <c r="A1061" t="s">
        <v>454</v>
      </c>
      <c r="B1061" t="s">
        <v>101</v>
      </c>
      <c r="C1061" t="s">
        <v>1516</v>
      </c>
    </row>
    <row r="1062" spans="1:3" x14ac:dyDescent="0.15">
      <c r="A1062" t="s">
        <v>454</v>
      </c>
      <c r="B1062" t="s">
        <v>101</v>
      </c>
      <c r="C1062" t="s">
        <v>1517</v>
      </c>
    </row>
    <row r="1063" spans="1:3" x14ac:dyDescent="0.15">
      <c r="A1063" t="s">
        <v>454</v>
      </c>
      <c r="B1063" t="s">
        <v>101</v>
      </c>
      <c r="C1063" t="s">
        <v>1518</v>
      </c>
    </row>
    <row r="1064" spans="1:3" x14ac:dyDescent="0.15">
      <c r="A1064" t="s">
        <v>454</v>
      </c>
      <c r="B1064" t="s">
        <v>101</v>
      </c>
      <c r="C1064" t="s">
        <v>1519</v>
      </c>
    </row>
    <row r="1065" spans="1:3" x14ac:dyDescent="0.15">
      <c r="A1065" t="s">
        <v>454</v>
      </c>
      <c r="B1065" t="s">
        <v>101</v>
      </c>
      <c r="C1065" t="s">
        <v>1520</v>
      </c>
    </row>
    <row r="1066" spans="1:3" x14ac:dyDescent="0.15">
      <c r="A1066" t="s">
        <v>454</v>
      </c>
      <c r="B1066" t="s">
        <v>101</v>
      </c>
      <c r="C1066" t="s">
        <v>1521</v>
      </c>
    </row>
    <row r="1067" spans="1:3" x14ac:dyDescent="0.15">
      <c r="A1067" t="s">
        <v>454</v>
      </c>
      <c r="B1067" t="s">
        <v>101</v>
      </c>
      <c r="C1067" t="s">
        <v>1522</v>
      </c>
    </row>
    <row r="1068" spans="1:3" x14ac:dyDescent="0.15">
      <c r="A1068" t="s">
        <v>454</v>
      </c>
      <c r="B1068" t="s">
        <v>101</v>
      </c>
      <c r="C1068" t="s">
        <v>1523</v>
      </c>
    </row>
    <row r="1069" spans="1:3" x14ac:dyDescent="0.15">
      <c r="A1069" t="s">
        <v>454</v>
      </c>
      <c r="B1069" t="s">
        <v>101</v>
      </c>
      <c r="C1069" t="s">
        <v>1524</v>
      </c>
    </row>
    <row r="1070" spans="1:3" x14ac:dyDescent="0.15">
      <c r="A1070" t="s">
        <v>454</v>
      </c>
      <c r="B1070" t="s">
        <v>101</v>
      </c>
      <c r="C1070" t="s">
        <v>1525</v>
      </c>
    </row>
    <row r="1071" spans="1:3" x14ac:dyDescent="0.15">
      <c r="A1071" t="s">
        <v>454</v>
      </c>
      <c r="B1071" t="s">
        <v>101</v>
      </c>
      <c r="C1071" t="s">
        <v>1526</v>
      </c>
    </row>
    <row r="1072" spans="1:3" x14ac:dyDescent="0.15">
      <c r="A1072" t="s">
        <v>454</v>
      </c>
      <c r="B1072" t="s">
        <v>101</v>
      </c>
      <c r="C1072" t="s">
        <v>1527</v>
      </c>
    </row>
    <row r="1073" spans="1:3" x14ac:dyDescent="0.15">
      <c r="A1073" t="s">
        <v>454</v>
      </c>
      <c r="B1073" t="s">
        <v>101</v>
      </c>
      <c r="C1073" t="s">
        <v>1528</v>
      </c>
    </row>
    <row r="1074" spans="1:3" x14ac:dyDescent="0.15">
      <c r="A1074" t="s">
        <v>454</v>
      </c>
      <c r="B1074" t="s">
        <v>101</v>
      </c>
      <c r="C1074" t="s">
        <v>1529</v>
      </c>
    </row>
    <row r="1075" spans="1:3" x14ac:dyDescent="0.15">
      <c r="A1075" t="s">
        <v>454</v>
      </c>
      <c r="B1075" t="s">
        <v>101</v>
      </c>
      <c r="C1075" t="s">
        <v>1530</v>
      </c>
    </row>
    <row r="1076" spans="1:3" x14ac:dyDescent="0.15">
      <c r="A1076" t="s">
        <v>454</v>
      </c>
      <c r="B1076" t="s">
        <v>101</v>
      </c>
      <c r="C1076" t="s">
        <v>1531</v>
      </c>
    </row>
    <row r="1077" spans="1:3" x14ac:dyDescent="0.15">
      <c r="A1077" t="s">
        <v>454</v>
      </c>
      <c r="B1077" t="s">
        <v>101</v>
      </c>
      <c r="C1077" t="s">
        <v>1532</v>
      </c>
    </row>
    <row r="1078" spans="1:3" x14ac:dyDescent="0.15">
      <c r="A1078" t="s">
        <v>454</v>
      </c>
      <c r="B1078" t="s">
        <v>101</v>
      </c>
      <c r="C1078" t="s">
        <v>1533</v>
      </c>
    </row>
    <row r="1079" spans="1:3" x14ac:dyDescent="0.15">
      <c r="A1079" t="s">
        <v>454</v>
      </c>
      <c r="B1079" t="s">
        <v>101</v>
      </c>
      <c r="C1079" t="s">
        <v>1534</v>
      </c>
    </row>
    <row r="1080" spans="1:3" x14ac:dyDescent="0.15">
      <c r="A1080" t="s">
        <v>454</v>
      </c>
      <c r="B1080" t="s">
        <v>101</v>
      </c>
      <c r="C1080" t="s">
        <v>1535</v>
      </c>
    </row>
    <row r="1081" spans="1:3" x14ac:dyDescent="0.15">
      <c r="A1081" t="s">
        <v>454</v>
      </c>
      <c r="B1081" t="s">
        <v>101</v>
      </c>
      <c r="C1081" t="s">
        <v>1536</v>
      </c>
    </row>
    <row r="1082" spans="1:3" x14ac:dyDescent="0.15">
      <c r="A1082" t="s">
        <v>454</v>
      </c>
      <c r="B1082" t="s">
        <v>101</v>
      </c>
      <c r="C1082" t="s">
        <v>1537</v>
      </c>
    </row>
    <row r="1083" spans="1:3" x14ac:dyDescent="0.15">
      <c r="A1083" t="s">
        <v>454</v>
      </c>
      <c r="B1083" t="s">
        <v>101</v>
      </c>
      <c r="C1083" t="s">
        <v>1538</v>
      </c>
    </row>
    <row r="1084" spans="1:3" x14ac:dyDescent="0.15">
      <c r="A1084" t="s">
        <v>454</v>
      </c>
      <c r="B1084" t="s">
        <v>101</v>
      </c>
      <c r="C1084" t="s">
        <v>1539</v>
      </c>
    </row>
    <row r="1085" spans="1:3" x14ac:dyDescent="0.15">
      <c r="A1085" t="s">
        <v>454</v>
      </c>
      <c r="B1085" t="s">
        <v>101</v>
      </c>
      <c r="C1085" t="s">
        <v>1540</v>
      </c>
    </row>
    <row r="1086" spans="1:3" x14ac:dyDescent="0.15">
      <c r="A1086" t="s">
        <v>454</v>
      </c>
      <c r="B1086" t="s">
        <v>101</v>
      </c>
      <c r="C1086" t="s">
        <v>1541</v>
      </c>
    </row>
    <row r="1087" spans="1:3" x14ac:dyDescent="0.15">
      <c r="A1087" t="s">
        <v>454</v>
      </c>
      <c r="B1087" t="s">
        <v>101</v>
      </c>
      <c r="C1087" t="s">
        <v>1542</v>
      </c>
    </row>
    <row r="1088" spans="1:3" x14ac:dyDescent="0.15">
      <c r="A1088" t="s">
        <v>454</v>
      </c>
      <c r="B1088" t="s">
        <v>101</v>
      </c>
      <c r="C1088" t="s">
        <v>1543</v>
      </c>
    </row>
    <row r="1089" spans="1:3" x14ac:dyDescent="0.15">
      <c r="A1089" t="s">
        <v>454</v>
      </c>
      <c r="B1089" t="s">
        <v>101</v>
      </c>
      <c r="C1089" t="s">
        <v>1544</v>
      </c>
    </row>
    <row r="1090" spans="1:3" x14ac:dyDescent="0.15">
      <c r="A1090" t="s">
        <v>454</v>
      </c>
      <c r="B1090" t="s">
        <v>101</v>
      </c>
      <c r="C1090" t="s">
        <v>1545</v>
      </c>
    </row>
    <row r="1091" spans="1:3" x14ac:dyDescent="0.15">
      <c r="A1091" t="s">
        <v>454</v>
      </c>
      <c r="B1091" t="s">
        <v>101</v>
      </c>
      <c r="C1091" t="s">
        <v>1546</v>
      </c>
    </row>
    <row r="1092" spans="1:3" x14ac:dyDescent="0.15">
      <c r="A1092" t="s">
        <v>454</v>
      </c>
      <c r="B1092" t="s">
        <v>101</v>
      </c>
      <c r="C1092" t="s">
        <v>1547</v>
      </c>
    </row>
    <row r="1093" spans="1:3" x14ac:dyDescent="0.15">
      <c r="A1093" t="s">
        <v>454</v>
      </c>
      <c r="B1093" t="s">
        <v>101</v>
      </c>
      <c r="C1093" t="s">
        <v>1548</v>
      </c>
    </row>
    <row r="1094" spans="1:3" x14ac:dyDescent="0.15">
      <c r="A1094" t="s">
        <v>454</v>
      </c>
      <c r="B1094" t="s">
        <v>101</v>
      </c>
      <c r="C1094" t="s">
        <v>1549</v>
      </c>
    </row>
    <row r="1095" spans="1:3" x14ac:dyDescent="0.15">
      <c r="A1095" t="s">
        <v>454</v>
      </c>
      <c r="B1095" t="s">
        <v>101</v>
      </c>
      <c r="C1095" t="s">
        <v>1550</v>
      </c>
    </row>
    <row r="1096" spans="1:3" x14ac:dyDescent="0.15">
      <c r="A1096" t="s">
        <v>454</v>
      </c>
      <c r="B1096" t="s">
        <v>101</v>
      </c>
      <c r="C1096" t="s">
        <v>1551</v>
      </c>
    </row>
    <row r="1097" spans="1:3" x14ac:dyDescent="0.15">
      <c r="A1097" t="s">
        <v>454</v>
      </c>
      <c r="B1097" t="s">
        <v>101</v>
      </c>
      <c r="C1097" t="s">
        <v>1552</v>
      </c>
    </row>
    <row r="1098" spans="1:3" x14ac:dyDescent="0.15">
      <c r="A1098" t="s">
        <v>454</v>
      </c>
      <c r="B1098" t="s">
        <v>101</v>
      </c>
      <c r="C1098" t="s">
        <v>1553</v>
      </c>
    </row>
    <row r="1099" spans="1:3" x14ac:dyDescent="0.15">
      <c r="A1099" t="s">
        <v>454</v>
      </c>
      <c r="B1099" t="s">
        <v>101</v>
      </c>
      <c r="C1099" t="s">
        <v>1554</v>
      </c>
    </row>
    <row r="1100" spans="1:3" x14ac:dyDescent="0.15">
      <c r="A1100" t="s">
        <v>454</v>
      </c>
      <c r="B1100" t="s">
        <v>101</v>
      </c>
      <c r="C1100" t="s">
        <v>1555</v>
      </c>
    </row>
    <row r="1101" spans="1:3" x14ac:dyDescent="0.15">
      <c r="A1101" t="s">
        <v>454</v>
      </c>
      <c r="B1101" t="s">
        <v>101</v>
      </c>
      <c r="C1101" t="s">
        <v>1556</v>
      </c>
    </row>
    <row r="1102" spans="1:3" x14ac:dyDescent="0.15">
      <c r="A1102" t="s">
        <v>454</v>
      </c>
      <c r="B1102" t="s">
        <v>101</v>
      </c>
      <c r="C1102" t="s">
        <v>1557</v>
      </c>
    </row>
    <row r="1103" spans="1:3" x14ac:dyDescent="0.15">
      <c r="A1103" t="s">
        <v>454</v>
      </c>
      <c r="B1103" t="s">
        <v>101</v>
      </c>
      <c r="C1103" t="s">
        <v>1558</v>
      </c>
    </row>
    <row r="1104" spans="1:3" x14ac:dyDescent="0.15">
      <c r="A1104" t="s">
        <v>454</v>
      </c>
      <c r="B1104" t="s">
        <v>101</v>
      </c>
      <c r="C1104" t="s">
        <v>1559</v>
      </c>
    </row>
    <row r="1105" spans="1:3" x14ac:dyDescent="0.15">
      <c r="A1105" t="s">
        <v>454</v>
      </c>
      <c r="B1105" t="s">
        <v>101</v>
      </c>
      <c r="C1105" t="s">
        <v>1560</v>
      </c>
    </row>
    <row r="1106" spans="1:3" x14ac:dyDescent="0.15">
      <c r="A1106" t="s">
        <v>454</v>
      </c>
      <c r="B1106" t="s">
        <v>101</v>
      </c>
      <c r="C1106" t="s">
        <v>1561</v>
      </c>
    </row>
    <row r="1107" spans="1:3" x14ac:dyDescent="0.15">
      <c r="A1107" t="s">
        <v>454</v>
      </c>
      <c r="B1107" t="s">
        <v>101</v>
      </c>
      <c r="C1107" t="s">
        <v>1562</v>
      </c>
    </row>
    <row r="1108" spans="1:3" x14ac:dyDescent="0.15">
      <c r="A1108" t="s">
        <v>454</v>
      </c>
      <c r="B1108" t="s">
        <v>101</v>
      </c>
      <c r="C1108" t="s">
        <v>1563</v>
      </c>
    </row>
    <row r="1109" spans="1:3" x14ac:dyDescent="0.15">
      <c r="A1109" t="s">
        <v>454</v>
      </c>
      <c r="B1109" t="s">
        <v>101</v>
      </c>
      <c r="C1109" t="s">
        <v>1564</v>
      </c>
    </row>
    <row r="1110" spans="1:3" x14ac:dyDescent="0.15">
      <c r="A1110" t="s">
        <v>454</v>
      </c>
      <c r="B1110" t="s">
        <v>101</v>
      </c>
      <c r="C1110" t="s">
        <v>1565</v>
      </c>
    </row>
    <row r="1111" spans="1:3" x14ac:dyDescent="0.15">
      <c r="A1111" t="s">
        <v>454</v>
      </c>
      <c r="B1111" t="s">
        <v>101</v>
      </c>
      <c r="C1111" t="s">
        <v>1566</v>
      </c>
    </row>
    <row r="1112" spans="1:3" x14ac:dyDescent="0.15">
      <c r="A1112" t="s">
        <v>454</v>
      </c>
      <c r="B1112" t="s">
        <v>101</v>
      </c>
      <c r="C1112" t="s">
        <v>1567</v>
      </c>
    </row>
    <row r="1113" spans="1:3" x14ac:dyDescent="0.15">
      <c r="A1113" t="s">
        <v>454</v>
      </c>
      <c r="B1113" t="s">
        <v>101</v>
      </c>
      <c r="C1113" t="s">
        <v>1568</v>
      </c>
    </row>
    <row r="1114" spans="1:3" x14ac:dyDescent="0.15">
      <c r="A1114" t="s">
        <v>454</v>
      </c>
      <c r="B1114" t="s">
        <v>101</v>
      </c>
      <c r="C1114" t="s">
        <v>1569</v>
      </c>
    </row>
    <row r="1115" spans="1:3" x14ac:dyDescent="0.15">
      <c r="A1115" t="s">
        <v>454</v>
      </c>
      <c r="B1115" t="s">
        <v>101</v>
      </c>
      <c r="C1115" t="s">
        <v>1570</v>
      </c>
    </row>
    <row r="1116" spans="1:3" x14ac:dyDescent="0.15">
      <c r="A1116" t="s">
        <v>454</v>
      </c>
      <c r="B1116" t="s">
        <v>101</v>
      </c>
      <c r="C1116" t="s">
        <v>1571</v>
      </c>
    </row>
    <row r="1117" spans="1:3" x14ac:dyDescent="0.15">
      <c r="A1117" t="s">
        <v>454</v>
      </c>
      <c r="B1117" t="s">
        <v>101</v>
      </c>
      <c r="C1117" t="s">
        <v>1572</v>
      </c>
    </row>
    <row r="1118" spans="1:3" x14ac:dyDescent="0.15">
      <c r="A1118" t="s">
        <v>454</v>
      </c>
      <c r="B1118" t="s">
        <v>101</v>
      </c>
      <c r="C1118" t="s">
        <v>1573</v>
      </c>
    </row>
    <row r="1119" spans="1:3" x14ac:dyDescent="0.15">
      <c r="A1119" t="s">
        <v>454</v>
      </c>
      <c r="B1119" t="s">
        <v>101</v>
      </c>
      <c r="C1119" t="s">
        <v>1574</v>
      </c>
    </row>
    <row r="1120" spans="1:3" x14ac:dyDescent="0.15">
      <c r="A1120" t="s">
        <v>454</v>
      </c>
      <c r="B1120" t="s">
        <v>101</v>
      </c>
      <c r="C1120" t="s">
        <v>1575</v>
      </c>
    </row>
    <row r="1121" spans="1:3" x14ac:dyDescent="0.15">
      <c r="A1121" t="s">
        <v>454</v>
      </c>
      <c r="B1121" t="s">
        <v>101</v>
      </c>
      <c r="C1121" t="s">
        <v>1576</v>
      </c>
    </row>
    <row r="1122" spans="1:3" x14ac:dyDescent="0.15">
      <c r="A1122" t="s">
        <v>454</v>
      </c>
      <c r="B1122" t="s">
        <v>101</v>
      </c>
      <c r="C1122" t="s">
        <v>1577</v>
      </c>
    </row>
    <row r="1123" spans="1:3" x14ac:dyDescent="0.15">
      <c r="A1123" t="s">
        <v>454</v>
      </c>
      <c r="B1123" t="s">
        <v>101</v>
      </c>
      <c r="C1123" t="s">
        <v>1578</v>
      </c>
    </row>
    <row r="1124" spans="1:3" x14ac:dyDescent="0.15">
      <c r="A1124" t="s">
        <v>454</v>
      </c>
      <c r="B1124" t="s">
        <v>101</v>
      </c>
      <c r="C1124" t="s">
        <v>1579</v>
      </c>
    </row>
    <row r="1125" spans="1:3" x14ac:dyDescent="0.15">
      <c r="A1125" t="s">
        <v>454</v>
      </c>
      <c r="B1125" t="s">
        <v>101</v>
      </c>
      <c r="C1125" t="s">
        <v>1580</v>
      </c>
    </row>
    <row r="1126" spans="1:3" x14ac:dyDescent="0.15">
      <c r="A1126" t="s">
        <v>454</v>
      </c>
      <c r="B1126" t="s">
        <v>101</v>
      </c>
      <c r="C1126" t="s">
        <v>1581</v>
      </c>
    </row>
    <row r="1127" spans="1:3" x14ac:dyDescent="0.15">
      <c r="A1127" t="s">
        <v>454</v>
      </c>
      <c r="B1127" t="s">
        <v>101</v>
      </c>
      <c r="C1127" t="s">
        <v>1582</v>
      </c>
    </row>
    <row r="1128" spans="1:3" x14ac:dyDescent="0.15">
      <c r="A1128" t="s">
        <v>454</v>
      </c>
      <c r="B1128" t="s">
        <v>101</v>
      </c>
      <c r="C1128" t="s">
        <v>1583</v>
      </c>
    </row>
    <row r="1129" spans="1:3" x14ac:dyDescent="0.15">
      <c r="A1129" t="s">
        <v>454</v>
      </c>
      <c r="B1129" t="s">
        <v>101</v>
      </c>
      <c r="C1129" t="s">
        <v>1584</v>
      </c>
    </row>
    <row r="1130" spans="1:3" x14ac:dyDescent="0.15">
      <c r="A1130" t="s">
        <v>454</v>
      </c>
      <c r="B1130" t="s">
        <v>101</v>
      </c>
      <c r="C1130" t="s">
        <v>1585</v>
      </c>
    </row>
    <row r="1131" spans="1:3" x14ac:dyDescent="0.15">
      <c r="A1131" t="s">
        <v>454</v>
      </c>
      <c r="B1131" t="s">
        <v>101</v>
      </c>
      <c r="C1131" t="s">
        <v>1586</v>
      </c>
    </row>
    <row r="1132" spans="1:3" x14ac:dyDescent="0.15">
      <c r="A1132" t="s">
        <v>454</v>
      </c>
      <c r="B1132" t="s">
        <v>101</v>
      </c>
      <c r="C1132" t="s">
        <v>1587</v>
      </c>
    </row>
    <row r="1133" spans="1:3" x14ac:dyDescent="0.15">
      <c r="A1133" t="s">
        <v>454</v>
      </c>
      <c r="B1133" t="s">
        <v>101</v>
      </c>
      <c r="C1133" t="s">
        <v>1588</v>
      </c>
    </row>
    <row r="1134" spans="1:3" x14ac:dyDescent="0.15">
      <c r="A1134" t="s">
        <v>454</v>
      </c>
      <c r="B1134" t="s">
        <v>101</v>
      </c>
      <c r="C1134" t="s">
        <v>1589</v>
      </c>
    </row>
    <row r="1135" spans="1:3" x14ac:dyDescent="0.15">
      <c r="A1135" t="s">
        <v>454</v>
      </c>
      <c r="B1135" t="s">
        <v>101</v>
      </c>
      <c r="C1135" t="s">
        <v>1590</v>
      </c>
    </row>
    <row r="1136" spans="1:3" x14ac:dyDescent="0.15">
      <c r="A1136" t="s">
        <v>454</v>
      </c>
      <c r="B1136" t="s">
        <v>101</v>
      </c>
      <c r="C1136" t="s">
        <v>1591</v>
      </c>
    </row>
    <row r="1137" spans="1:3" x14ac:dyDescent="0.15">
      <c r="A1137" t="s">
        <v>454</v>
      </c>
      <c r="B1137" t="s">
        <v>101</v>
      </c>
      <c r="C1137" t="s">
        <v>1592</v>
      </c>
    </row>
    <row r="1138" spans="1:3" x14ac:dyDescent="0.15">
      <c r="A1138" t="s">
        <v>454</v>
      </c>
      <c r="B1138" t="s">
        <v>101</v>
      </c>
      <c r="C1138" t="s">
        <v>1593</v>
      </c>
    </row>
    <row r="1139" spans="1:3" x14ac:dyDescent="0.15">
      <c r="A1139" t="s">
        <v>454</v>
      </c>
      <c r="B1139" t="s">
        <v>101</v>
      </c>
      <c r="C1139" t="s">
        <v>1594</v>
      </c>
    </row>
    <row r="1140" spans="1:3" x14ac:dyDescent="0.15">
      <c r="A1140" t="s">
        <v>454</v>
      </c>
      <c r="B1140" t="s">
        <v>101</v>
      </c>
      <c r="C1140" t="s">
        <v>1595</v>
      </c>
    </row>
    <row r="1141" spans="1:3" x14ac:dyDescent="0.15">
      <c r="A1141" t="s">
        <v>454</v>
      </c>
      <c r="B1141" t="s">
        <v>101</v>
      </c>
      <c r="C1141" t="s">
        <v>1596</v>
      </c>
    </row>
    <row r="1142" spans="1:3" x14ac:dyDescent="0.15">
      <c r="A1142" t="s">
        <v>454</v>
      </c>
      <c r="B1142" t="s">
        <v>101</v>
      </c>
      <c r="C1142" t="s">
        <v>1597</v>
      </c>
    </row>
    <row r="1143" spans="1:3" x14ac:dyDescent="0.15">
      <c r="A1143" t="s">
        <v>454</v>
      </c>
      <c r="B1143" t="s">
        <v>101</v>
      </c>
      <c r="C1143" t="s">
        <v>1598</v>
      </c>
    </row>
    <row r="1144" spans="1:3" x14ac:dyDescent="0.15">
      <c r="A1144" t="s">
        <v>454</v>
      </c>
      <c r="B1144" t="s">
        <v>101</v>
      </c>
      <c r="C1144" t="s">
        <v>1599</v>
      </c>
    </row>
    <row r="1145" spans="1:3" x14ac:dyDescent="0.15">
      <c r="A1145" t="s">
        <v>454</v>
      </c>
      <c r="B1145" t="s">
        <v>101</v>
      </c>
      <c r="C1145" t="s">
        <v>1600</v>
      </c>
    </row>
    <row r="1146" spans="1:3" x14ac:dyDescent="0.15">
      <c r="A1146" t="s">
        <v>454</v>
      </c>
      <c r="B1146" t="s">
        <v>101</v>
      </c>
      <c r="C1146" t="s">
        <v>1601</v>
      </c>
    </row>
    <row r="1147" spans="1:3" x14ac:dyDescent="0.15">
      <c r="A1147" t="s">
        <v>454</v>
      </c>
      <c r="B1147" t="s">
        <v>101</v>
      </c>
      <c r="C1147" t="s">
        <v>1602</v>
      </c>
    </row>
    <row r="1148" spans="1:3" x14ac:dyDescent="0.15">
      <c r="A1148" t="s">
        <v>454</v>
      </c>
      <c r="B1148" t="s">
        <v>101</v>
      </c>
      <c r="C1148" t="s">
        <v>1603</v>
      </c>
    </row>
    <row r="1149" spans="1:3" x14ac:dyDescent="0.15">
      <c r="A1149" t="s">
        <v>454</v>
      </c>
      <c r="B1149" t="s">
        <v>101</v>
      </c>
      <c r="C1149" t="s">
        <v>1604</v>
      </c>
    </row>
    <row r="1150" spans="1:3" x14ac:dyDescent="0.15">
      <c r="A1150" t="s">
        <v>454</v>
      </c>
      <c r="B1150" t="s">
        <v>101</v>
      </c>
      <c r="C1150" t="s">
        <v>1605</v>
      </c>
    </row>
    <row r="1151" spans="1:3" x14ac:dyDescent="0.15">
      <c r="A1151" t="s">
        <v>454</v>
      </c>
      <c r="B1151" t="s">
        <v>101</v>
      </c>
      <c r="C1151" t="s">
        <v>1606</v>
      </c>
    </row>
    <row r="1152" spans="1:3" x14ac:dyDescent="0.15">
      <c r="A1152" t="s">
        <v>454</v>
      </c>
      <c r="B1152" t="s">
        <v>101</v>
      </c>
      <c r="C1152" t="s">
        <v>1607</v>
      </c>
    </row>
    <row r="1153" spans="1:3" x14ac:dyDescent="0.15">
      <c r="A1153" t="s">
        <v>454</v>
      </c>
      <c r="B1153" t="s">
        <v>101</v>
      </c>
      <c r="C1153" t="s">
        <v>1608</v>
      </c>
    </row>
    <row r="1154" spans="1:3" x14ac:dyDescent="0.15">
      <c r="A1154" t="s">
        <v>454</v>
      </c>
      <c r="B1154" t="s">
        <v>101</v>
      </c>
      <c r="C1154" t="s">
        <v>1609</v>
      </c>
    </row>
    <row r="1155" spans="1:3" x14ac:dyDescent="0.15">
      <c r="A1155" t="s">
        <v>454</v>
      </c>
      <c r="B1155" t="s">
        <v>101</v>
      </c>
      <c r="C1155" t="s">
        <v>1610</v>
      </c>
    </row>
    <row r="1156" spans="1:3" x14ac:dyDescent="0.15">
      <c r="A1156" t="s">
        <v>454</v>
      </c>
      <c r="B1156" t="s">
        <v>101</v>
      </c>
      <c r="C1156" t="s">
        <v>1611</v>
      </c>
    </row>
    <row r="1157" spans="1:3" x14ac:dyDescent="0.15">
      <c r="A1157" t="s">
        <v>454</v>
      </c>
      <c r="B1157" t="s">
        <v>101</v>
      </c>
      <c r="C1157" t="s">
        <v>1612</v>
      </c>
    </row>
    <row r="1158" spans="1:3" x14ac:dyDescent="0.15">
      <c r="A1158" t="s">
        <v>454</v>
      </c>
      <c r="B1158" t="s">
        <v>101</v>
      </c>
      <c r="C1158" t="s">
        <v>1613</v>
      </c>
    </row>
    <row r="1159" spans="1:3" x14ac:dyDescent="0.15">
      <c r="A1159" t="s">
        <v>454</v>
      </c>
      <c r="B1159" t="s">
        <v>101</v>
      </c>
      <c r="C1159" t="s">
        <v>1614</v>
      </c>
    </row>
    <row r="1160" spans="1:3" x14ac:dyDescent="0.15">
      <c r="A1160" t="s">
        <v>454</v>
      </c>
      <c r="B1160" t="s">
        <v>101</v>
      </c>
      <c r="C1160" t="s">
        <v>1615</v>
      </c>
    </row>
    <row r="1161" spans="1:3" x14ac:dyDescent="0.15">
      <c r="A1161" t="s">
        <v>454</v>
      </c>
      <c r="B1161" t="s">
        <v>101</v>
      </c>
      <c r="C1161" t="s">
        <v>1616</v>
      </c>
    </row>
    <row r="1162" spans="1:3" x14ac:dyDescent="0.15">
      <c r="A1162" t="s">
        <v>454</v>
      </c>
      <c r="B1162" t="s">
        <v>101</v>
      </c>
      <c r="C1162" t="s">
        <v>1617</v>
      </c>
    </row>
    <row r="1163" spans="1:3" x14ac:dyDescent="0.15">
      <c r="A1163" t="s">
        <v>454</v>
      </c>
      <c r="B1163" t="s">
        <v>101</v>
      </c>
      <c r="C1163" t="s">
        <v>1618</v>
      </c>
    </row>
    <row r="1164" spans="1:3" x14ac:dyDescent="0.15">
      <c r="A1164" t="s">
        <v>454</v>
      </c>
      <c r="B1164" t="s">
        <v>101</v>
      </c>
      <c r="C1164" t="s">
        <v>1619</v>
      </c>
    </row>
    <row r="1165" spans="1:3" x14ac:dyDescent="0.15">
      <c r="A1165" t="s">
        <v>454</v>
      </c>
      <c r="B1165" t="s">
        <v>101</v>
      </c>
      <c r="C1165" t="s">
        <v>1620</v>
      </c>
    </row>
    <row r="1166" spans="1:3" x14ac:dyDescent="0.15">
      <c r="A1166" t="s">
        <v>454</v>
      </c>
      <c r="B1166" t="s">
        <v>101</v>
      </c>
      <c r="C1166" t="s">
        <v>1621</v>
      </c>
    </row>
    <row r="1167" spans="1:3" x14ac:dyDescent="0.15">
      <c r="A1167" t="s">
        <v>454</v>
      </c>
      <c r="B1167" t="s">
        <v>101</v>
      </c>
      <c r="C1167" t="s">
        <v>1622</v>
      </c>
    </row>
    <row r="1168" spans="1:3" x14ac:dyDescent="0.15">
      <c r="A1168" t="s">
        <v>454</v>
      </c>
      <c r="B1168" t="s">
        <v>101</v>
      </c>
      <c r="C1168" t="s">
        <v>1623</v>
      </c>
    </row>
    <row r="1169" spans="1:3" x14ac:dyDescent="0.15">
      <c r="A1169" t="s">
        <v>454</v>
      </c>
      <c r="B1169" t="s">
        <v>101</v>
      </c>
      <c r="C1169" t="s">
        <v>1624</v>
      </c>
    </row>
    <row r="1170" spans="1:3" x14ac:dyDescent="0.15">
      <c r="A1170" t="s">
        <v>454</v>
      </c>
      <c r="B1170" t="s">
        <v>101</v>
      </c>
      <c r="C1170" t="s">
        <v>1625</v>
      </c>
    </row>
    <row r="1171" spans="1:3" x14ac:dyDescent="0.15">
      <c r="A1171" t="s">
        <v>454</v>
      </c>
      <c r="B1171" t="s">
        <v>101</v>
      </c>
      <c r="C1171" t="s">
        <v>1626</v>
      </c>
    </row>
    <row r="1172" spans="1:3" x14ac:dyDescent="0.15">
      <c r="A1172" t="s">
        <v>454</v>
      </c>
      <c r="B1172" t="s">
        <v>101</v>
      </c>
      <c r="C1172" t="s">
        <v>1627</v>
      </c>
    </row>
    <row r="1173" spans="1:3" x14ac:dyDescent="0.15">
      <c r="A1173" t="s">
        <v>454</v>
      </c>
      <c r="B1173" t="s">
        <v>101</v>
      </c>
      <c r="C1173" t="s">
        <v>1628</v>
      </c>
    </row>
    <row r="1174" spans="1:3" x14ac:dyDescent="0.15">
      <c r="A1174" t="s">
        <v>454</v>
      </c>
      <c r="B1174" t="s">
        <v>101</v>
      </c>
      <c r="C1174" t="s">
        <v>1629</v>
      </c>
    </row>
    <row r="1175" spans="1:3" x14ac:dyDescent="0.15">
      <c r="A1175" t="s">
        <v>454</v>
      </c>
      <c r="B1175" t="s">
        <v>101</v>
      </c>
      <c r="C1175" t="s">
        <v>1630</v>
      </c>
    </row>
    <row r="1176" spans="1:3" x14ac:dyDescent="0.15">
      <c r="A1176" t="s">
        <v>454</v>
      </c>
      <c r="B1176" t="s">
        <v>101</v>
      </c>
      <c r="C1176" t="s">
        <v>1631</v>
      </c>
    </row>
    <row r="1177" spans="1:3" x14ac:dyDescent="0.15">
      <c r="A1177" t="s">
        <v>454</v>
      </c>
      <c r="B1177" t="s">
        <v>101</v>
      </c>
      <c r="C1177" t="s">
        <v>1632</v>
      </c>
    </row>
    <row r="1178" spans="1:3" x14ac:dyDescent="0.15">
      <c r="A1178" t="s">
        <v>454</v>
      </c>
      <c r="B1178" t="s">
        <v>101</v>
      </c>
      <c r="C1178" t="s">
        <v>1633</v>
      </c>
    </row>
    <row r="1179" spans="1:3" x14ac:dyDescent="0.15">
      <c r="A1179" t="s">
        <v>454</v>
      </c>
      <c r="B1179" t="s">
        <v>101</v>
      </c>
      <c r="C1179" t="s">
        <v>1634</v>
      </c>
    </row>
    <row r="1180" spans="1:3" x14ac:dyDescent="0.15">
      <c r="A1180" t="s">
        <v>454</v>
      </c>
      <c r="B1180" t="s">
        <v>101</v>
      </c>
      <c r="C1180" t="s">
        <v>1635</v>
      </c>
    </row>
    <row r="1181" spans="1:3" x14ac:dyDescent="0.15">
      <c r="A1181" t="s">
        <v>454</v>
      </c>
      <c r="B1181" t="s">
        <v>101</v>
      </c>
      <c r="C1181" t="s">
        <v>1636</v>
      </c>
    </row>
    <row r="1182" spans="1:3" x14ac:dyDescent="0.15">
      <c r="A1182" t="s">
        <v>454</v>
      </c>
      <c r="B1182" t="s">
        <v>101</v>
      </c>
      <c r="C1182" t="s">
        <v>1637</v>
      </c>
    </row>
    <row r="1183" spans="1:3" x14ac:dyDescent="0.15">
      <c r="A1183" t="s">
        <v>454</v>
      </c>
      <c r="B1183" t="s">
        <v>101</v>
      </c>
      <c r="C1183" t="s">
        <v>1638</v>
      </c>
    </row>
    <row r="1184" spans="1:3" x14ac:dyDescent="0.15">
      <c r="A1184" t="s">
        <v>454</v>
      </c>
      <c r="B1184" t="s">
        <v>101</v>
      </c>
      <c r="C1184" t="s">
        <v>1639</v>
      </c>
    </row>
    <row r="1185" spans="1:3" x14ac:dyDescent="0.15">
      <c r="A1185" t="s">
        <v>454</v>
      </c>
      <c r="B1185" t="s">
        <v>101</v>
      </c>
      <c r="C1185" t="s">
        <v>1640</v>
      </c>
    </row>
    <row r="1186" spans="1:3" x14ac:dyDescent="0.15">
      <c r="A1186" t="s">
        <v>454</v>
      </c>
      <c r="B1186" t="s">
        <v>101</v>
      </c>
      <c r="C1186" t="s">
        <v>1641</v>
      </c>
    </row>
    <row r="1187" spans="1:3" x14ac:dyDescent="0.15">
      <c r="A1187" t="s">
        <v>454</v>
      </c>
      <c r="B1187" t="s">
        <v>101</v>
      </c>
      <c r="C1187" t="s">
        <v>1642</v>
      </c>
    </row>
    <row r="1188" spans="1:3" x14ac:dyDescent="0.15">
      <c r="A1188" t="s">
        <v>454</v>
      </c>
      <c r="B1188" t="s">
        <v>101</v>
      </c>
      <c r="C1188" t="s">
        <v>1643</v>
      </c>
    </row>
    <row r="1189" spans="1:3" x14ac:dyDescent="0.15">
      <c r="A1189" t="s">
        <v>454</v>
      </c>
      <c r="B1189" t="s">
        <v>101</v>
      </c>
      <c r="C1189" t="s">
        <v>1644</v>
      </c>
    </row>
    <row r="1190" spans="1:3" x14ac:dyDescent="0.15">
      <c r="A1190" t="s">
        <v>454</v>
      </c>
      <c r="B1190" t="s">
        <v>101</v>
      </c>
      <c r="C1190" t="s">
        <v>1645</v>
      </c>
    </row>
    <row r="1191" spans="1:3" x14ac:dyDescent="0.15">
      <c r="A1191" t="s">
        <v>454</v>
      </c>
      <c r="B1191" t="s">
        <v>101</v>
      </c>
      <c r="C1191" t="s">
        <v>1646</v>
      </c>
    </row>
    <row r="1192" spans="1:3" x14ac:dyDescent="0.15">
      <c r="A1192" t="s">
        <v>454</v>
      </c>
      <c r="B1192" t="s">
        <v>101</v>
      </c>
      <c r="C1192" t="s">
        <v>1647</v>
      </c>
    </row>
    <row r="1193" spans="1:3" x14ac:dyDescent="0.15">
      <c r="A1193" t="s">
        <v>454</v>
      </c>
      <c r="B1193" t="s">
        <v>101</v>
      </c>
      <c r="C1193" t="s">
        <v>1648</v>
      </c>
    </row>
    <row r="1194" spans="1:3" x14ac:dyDescent="0.15">
      <c r="A1194" t="s">
        <v>454</v>
      </c>
      <c r="B1194" t="s">
        <v>101</v>
      </c>
      <c r="C1194" t="s">
        <v>1649</v>
      </c>
    </row>
    <row r="1195" spans="1:3" x14ac:dyDescent="0.15">
      <c r="A1195" t="s">
        <v>454</v>
      </c>
      <c r="B1195" t="s">
        <v>101</v>
      </c>
      <c r="C1195" t="s">
        <v>1650</v>
      </c>
    </row>
    <row r="1196" spans="1:3" x14ac:dyDescent="0.15">
      <c r="A1196" t="s">
        <v>454</v>
      </c>
      <c r="B1196" t="s">
        <v>101</v>
      </c>
      <c r="C1196" t="s">
        <v>1651</v>
      </c>
    </row>
    <row r="1197" spans="1:3" x14ac:dyDescent="0.15">
      <c r="A1197" t="s">
        <v>454</v>
      </c>
      <c r="B1197" t="s">
        <v>101</v>
      </c>
      <c r="C1197" t="s">
        <v>1652</v>
      </c>
    </row>
    <row r="1198" spans="1:3" x14ac:dyDescent="0.15">
      <c r="A1198" t="s">
        <v>454</v>
      </c>
      <c r="B1198" t="s">
        <v>101</v>
      </c>
      <c r="C1198" t="s">
        <v>1653</v>
      </c>
    </row>
    <row r="1199" spans="1:3" x14ac:dyDescent="0.15">
      <c r="A1199" t="s">
        <v>454</v>
      </c>
      <c r="B1199" t="s">
        <v>101</v>
      </c>
      <c r="C1199" t="s">
        <v>1654</v>
      </c>
    </row>
    <row r="1200" spans="1:3" x14ac:dyDescent="0.15">
      <c r="A1200" t="s">
        <v>454</v>
      </c>
      <c r="B1200" t="s">
        <v>101</v>
      </c>
      <c r="C1200" t="s">
        <v>1655</v>
      </c>
    </row>
    <row r="1201" spans="1:3" x14ac:dyDescent="0.15">
      <c r="A1201" t="s">
        <v>454</v>
      </c>
      <c r="B1201" t="s">
        <v>101</v>
      </c>
      <c r="C1201" t="s">
        <v>1656</v>
      </c>
    </row>
    <row r="1202" spans="1:3" x14ac:dyDescent="0.15">
      <c r="A1202" t="s">
        <v>454</v>
      </c>
      <c r="B1202" t="s">
        <v>101</v>
      </c>
      <c r="C1202" t="s">
        <v>1657</v>
      </c>
    </row>
    <row r="1203" spans="1:3" x14ac:dyDescent="0.15">
      <c r="A1203" t="s">
        <v>454</v>
      </c>
      <c r="B1203" t="s">
        <v>101</v>
      </c>
      <c r="C1203" t="s">
        <v>1658</v>
      </c>
    </row>
    <row r="1204" spans="1:3" x14ac:dyDescent="0.15">
      <c r="A1204" t="s">
        <v>454</v>
      </c>
      <c r="B1204" t="s">
        <v>101</v>
      </c>
      <c r="C1204" t="s">
        <v>1659</v>
      </c>
    </row>
    <row r="1205" spans="1:3" x14ac:dyDescent="0.15">
      <c r="A1205" t="s">
        <v>454</v>
      </c>
      <c r="B1205" t="s">
        <v>101</v>
      </c>
      <c r="C1205" t="s">
        <v>1660</v>
      </c>
    </row>
    <row r="1206" spans="1:3" x14ac:dyDescent="0.15">
      <c r="A1206" t="s">
        <v>454</v>
      </c>
      <c r="B1206" t="s">
        <v>101</v>
      </c>
      <c r="C1206" t="s">
        <v>1661</v>
      </c>
    </row>
    <row r="1207" spans="1:3" x14ac:dyDescent="0.15">
      <c r="A1207" t="s">
        <v>454</v>
      </c>
      <c r="B1207" t="s">
        <v>101</v>
      </c>
      <c r="C1207" t="s">
        <v>1662</v>
      </c>
    </row>
    <row r="1208" spans="1:3" x14ac:dyDescent="0.15">
      <c r="A1208" t="s">
        <v>454</v>
      </c>
      <c r="B1208" t="s">
        <v>101</v>
      </c>
      <c r="C1208" t="s">
        <v>1663</v>
      </c>
    </row>
    <row r="1209" spans="1:3" x14ac:dyDescent="0.15">
      <c r="A1209" t="s">
        <v>454</v>
      </c>
      <c r="B1209" t="s">
        <v>101</v>
      </c>
      <c r="C1209" t="s">
        <v>1664</v>
      </c>
    </row>
    <row r="1210" spans="1:3" x14ac:dyDescent="0.15">
      <c r="A1210" t="s">
        <v>454</v>
      </c>
      <c r="B1210" t="s">
        <v>101</v>
      </c>
      <c r="C1210" t="s">
        <v>1665</v>
      </c>
    </row>
    <row r="1211" spans="1:3" x14ac:dyDescent="0.15">
      <c r="A1211" t="s">
        <v>454</v>
      </c>
      <c r="B1211" t="s">
        <v>101</v>
      </c>
      <c r="C1211" t="s">
        <v>1666</v>
      </c>
    </row>
    <row r="1212" spans="1:3" x14ac:dyDescent="0.15">
      <c r="A1212" t="s">
        <v>454</v>
      </c>
      <c r="B1212" t="s">
        <v>101</v>
      </c>
      <c r="C1212" t="s">
        <v>1667</v>
      </c>
    </row>
    <row r="1213" spans="1:3" x14ac:dyDescent="0.15">
      <c r="A1213" t="s">
        <v>454</v>
      </c>
      <c r="B1213" t="s">
        <v>101</v>
      </c>
      <c r="C1213" t="s">
        <v>1668</v>
      </c>
    </row>
    <row r="1214" spans="1:3" x14ac:dyDescent="0.15">
      <c r="A1214" t="s">
        <v>454</v>
      </c>
      <c r="B1214" t="s">
        <v>101</v>
      </c>
      <c r="C1214" t="s">
        <v>1669</v>
      </c>
    </row>
    <row r="1215" spans="1:3" x14ac:dyDescent="0.15">
      <c r="A1215" t="s">
        <v>454</v>
      </c>
      <c r="B1215" t="s">
        <v>101</v>
      </c>
      <c r="C1215" t="s">
        <v>1670</v>
      </c>
    </row>
    <row r="1216" spans="1:3" x14ac:dyDescent="0.15">
      <c r="A1216" t="s">
        <v>454</v>
      </c>
      <c r="B1216" t="s">
        <v>101</v>
      </c>
      <c r="C1216" t="s">
        <v>1671</v>
      </c>
    </row>
    <row r="1217" spans="1:3" x14ac:dyDescent="0.15">
      <c r="A1217" t="s">
        <v>454</v>
      </c>
      <c r="B1217" t="s">
        <v>101</v>
      </c>
      <c r="C1217" t="s">
        <v>1672</v>
      </c>
    </row>
    <row r="1218" spans="1:3" x14ac:dyDescent="0.15">
      <c r="A1218" t="s">
        <v>454</v>
      </c>
      <c r="B1218" t="s">
        <v>101</v>
      </c>
      <c r="C1218" t="s">
        <v>1673</v>
      </c>
    </row>
    <row r="1219" spans="1:3" x14ac:dyDescent="0.15">
      <c r="A1219" t="s">
        <v>454</v>
      </c>
      <c r="B1219" t="s">
        <v>101</v>
      </c>
      <c r="C1219" t="s">
        <v>1674</v>
      </c>
    </row>
    <row r="1220" spans="1:3" x14ac:dyDescent="0.15">
      <c r="A1220" t="s">
        <v>454</v>
      </c>
      <c r="B1220" t="s">
        <v>101</v>
      </c>
      <c r="C1220" t="s">
        <v>1675</v>
      </c>
    </row>
    <row r="1221" spans="1:3" x14ac:dyDescent="0.15">
      <c r="A1221" t="s">
        <v>454</v>
      </c>
      <c r="B1221" t="s">
        <v>101</v>
      </c>
      <c r="C1221" t="s">
        <v>1676</v>
      </c>
    </row>
    <row r="1222" spans="1:3" x14ac:dyDescent="0.15">
      <c r="A1222" t="s">
        <v>454</v>
      </c>
      <c r="B1222" t="s">
        <v>101</v>
      </c>
      <c r="C1222" t="s">
        <v>1677</v>
      </c>
    </row>
    <row r="1223" spans="1:3" x14ac:dyDescent="0.15">
      <c r="A1223" t="s">
        <v>454</v>
      </c>
      <c r="B1223" t="s">
        <v>101</v>
      </c>
      <c r="C1223" t="s">
        <v>1678</v>
      </c>
    </row>
    <row r="1224" spans="1:3" x14ac:dyDescent="0.15">
      <c r="A1224" t="s">
        <v>454</v>
      </c>
      <c r="B1224" t="s">
        <v>101</v>
      </c>
      <c r="C1224" t="s">
        <v>1679</v>
      </c>
    </row>
    <row r="1225" spans="1:3" x14ac:dyDescent="0.15">
      <c r="A1225" t="s">
        <v>454</v>
      </c>
      <c r="B1225" t="s">
        <v>101</v>
      </c>
      <c r="C1225" t="s">
        <v>1680</v>
      </c>
    </row>
    <row r="1226" spans="1:3" x14ac:dyDescent="0.15">
      <c r="A1226" t="s">
        <v>454</v>
      </c>
      <c r="B1226" t="s">
        <v>101</v>
      </c>
      <c r="C1226" t="s">
        <v>1681</v>
      </c>
    </row>
    <row r="1227" spans="1:3" x14ac:dyDescent="0.15">
      <c r="A1227" t="s">
        <v>454</v>
      </c>
      <c r="B1227" t="s">
        <v>101</v>
      </c>
      <c r="C1227" t="s">
        <v>1682</v>
      </c>
    </row>
    <row r="1228" spans="1:3" x14ac:dyDescent="0.15">
      <c r="A1228" t="s">
        <v>454</v>
      </c>
      <c r="B1228" t="s">
        <v>101</v>
      </c>
      <c r="C1228" t="s">
        <v>1683</v>
      </c>
    </row>
    <row r="1229" spans="1:3" x14ac:dyDescent="0.15">
      <c r="A1229" t="s">
        <v>454</v>
      </c>
      <c r="B1229" t="s">
        <v>101</v>
      </c>
      <c r="C1229" t="s">
        <v>1684</v>
      </c>
    </row>
    <row r="1230" spans="1:3" x14ac:dyDescent="0.15">
      <c r="A1230" t="s">
        <v>454</v>
      </c>
      <c r="B1230" t="s">
        <v>101</v>
      </c>
      <c r="C1230" t="s">
        <v>1685</v>
      </c>
    </row>
    <row r="1231" spans="1:3" x14ac:dyDescent="0.15">
      <c r="A1231" t="s">
        <v>454</v>
      </c>
      <c r="B1231" t="s">
        <v>101</v>
      </c>
      <c r="C1231" t="s">
        <v>1686</v>
      </c>
    </row>
    <row r="1232" spans="1:3" x14ac:dyDescent="0.15">
      <c r="A1232" t="s">
        <v>454</v>
      </c>
      <c r="B1232" t="s">
        <v>101</v>
      </c>
      <c r="C1232" t="s">
        <v>1687</v>
      </c>
    </row>
    <row r="1233" spans="1:3" x14ac:dyDescent="0.15">
      <c r="A1233" t="s">
        <v>454</v>
      </c>
      <c r="B1233" t="s">
        <v>101</v>
      </c>
      <c r="C1233" t="s">
        <v>1688</v>
      </c>
    </row>
    <row r="1234" spans="1:3" x14ac:dyDescent="0.15">
      <c r="A1234" t="s">
        <v>454</v>
      </c>
      <c r="B1234" t="s">
        <v>101</v>
      </c>
      <c r="C1234" t="s">
        <v>1689</v>
      </c>
    </row>
    <row r="1235" spans="1:3" x14ac:dyDescent="0.15">
      <c r="A1235" t="s">
        <v>454</v>
      </c>
      <c r="B1235" t="s">
        <v>101</v>
      </c>
      <c r="C1235" t="s">
        <v>1690</v>
      </c>
    </row>
    <row r="1236" spans="1:3" x14ac:dyDescent="0.15">
      <c r="A1236" t="s">
        <v>454</v>
      </c>
      <c r="B1236" t="s">
        <v>101</v>
      </c>
      <c r="C1236" t="s">
        <v>1691</v>
      </c>
    </row>
    <row r="1237" spans="1:3" x14ac:dyDescent="0.15">
      <c r="A1237" t="s">
        <v>454</v>
      </c>
      <c r="B1237" t="s">
        <v>101</v>
      </c>
      <c r="C1237" t="s">
        <v>1692</v>
      </c>
    </row>
    <row r="1238" spans="1:3" x14ac:dyDescent="0.15">
      <c r="A1238" t="s">
        <v>454</v>
      </c>
      <c r="B1238" t="s">
        <v>101</v>
      </c>
      <c r="C1238" t="s">
        <v>1693</v>
      </c>
    </row>
    <row r="1239" spans="1:3" x14ac:dyDescent="0.15">
      <c r="A1239" t="s">
        <v>454</v>
      </c>
      <c r="B1239" t="s">
        <v>101</v>
      </c>
      <c r="C1239" t="s">
        <v>1694</v>
      </c>
    </row>
    <row r="1240" spans="1:3" x14ac:dyDescent="0.15">
      <c r="A1240" t="s">
        <v>454</v>
      </c>
      <c r="B1240" t="s">
        <v>101</v>
      </c>
      <c r="C1240" t="s">
        <v>1695</v>
      </c>
    </row>
    <row r="1241" spans="1:3" x14ac:dyDescent="0.15">
      <c r="A1241" t="s">
        <v>454</v>
      </c>
      <c r="B1241" t="s">
        <v>102</v>
      </c>
      <c r="C1241" t="s">
        <v>1696</v>
      </c>
    </row>
    <row r="1242" spans="1:3" x14ac:dyDescent="0.15">
      <c r="A1242" t="s">
        <v>454</v>
      </c>
      <c r="B1242" t="s">
        <v>102</v>
      </c>
      <c r="C1242" t="s">
        <v>1697</v>
      </c>
    </row>
    <row r="1243" spans="1:3" x14ac:dyDescent="0.15">
      <c r="A1243" t="s">
        <v>454</v>
      </c>
      <c r="B1243" t="s">
        <v>102</v>
      </c>
      <c r="C1243" t="s">
        <v>1698</v>
      </c>
    </row>
    <row r="1244" spans="1:3" x14ac:dyDescent="0.15">
      <c r="A1244" t="s">
        <v>454</v>
      </c>
      <c r="B1244" t="s">
        <v>102</v>
      </c>
      <c r="C1244" t="s">
        <v>1699</v>
      </c>
    </row>
    <row r="1245" spans="1:3" x14ac:dyDescent="0.15">
      <c r="A1245" t="s">
        <v>454</v>
      </c>
      <c r="B1245" t="s">
        <v>102</v>
      </c>
      <c r="C1245" t="s">
        <v>1700</v>
      </c>
    </row>
    <row r="1246" spans="1:3" x14ac:dyDescent="0.15">
      <c r="A1246" t="s">
        <v>454</v>
      </c>
      <c r="B1246" t="s">
        <v>102</v>
      </c>
      <c r="C1246" t="s">
        <v>1701</v>
      </c>
    </row>
    <row r="1247" spans="1:3" x14ac:dyDescent="0.15">
      <c r="A1247" t="s">
        <v>454</v>
      </c>
      <c r="B1247" t="s">
        <v>102</v>
      </c>
      <c r="C1247" t="s">
        <v>1702</v>
      </c>
    </row>
    <row r="1248" spans="1:3" x14ac:dyDescent="0.15">
      <c r="A1248" t="s">
        <v>454</v>
      </c>
      <c r="B1248" t="s">
        <v>102</v>
      </c>
      <c r="C1248" t="s">
        <v>1703</v>
      </c>
    </row>
    <row r="1249" spans="1:3" x14ac:dyDescent="0.15">
      <c r="A1249" t="s">
        <v>454</v>
      </c>
      <c r="B1249" t="s">
        <v>102</v>
      </c>
      <c r="C1249" t="s">
        <v>1704</v>
      </c>
    </row>
    <row r="1250" spans="1:3" x14ac:dyDescent="0.15">
      <c r="A1250" t="s">
        <v>454</v>
      </c>
      <c r="B1250" t="s">
        <v>102</v>
      </c>
      <c r="C1250" t="s">
        <v>1705</v>
      </c>
    </row>
    <row r="1251" spans="1:3" x14ac:dyDescent="0.15">
      <c r="A1251" t="s">
        <v>454</v>
      </c>
      <c r="B1251" t="s">
        <v>102</v>
      </c>
      <c r="C1251" t="s">
        <v>1706</v>
      </c>
    </row>
    <row r="1252" spans="1:3" x14ac:dyDescent="0.15">
      <c r="A1252" t="s">
        <v>454</v>
      </c>
      <c r="B1252" t="s">
        <v>102</v>
      </c>
      <c r="C1252" t="s">
        <v>1707</v>
      </c>
    </row>
    <row r="1253" spans="1:3" x14ac:dyDescent="0.15">
      <c r="A1253" t="s">
        <v>454</v>
      </c>
      <c r="B1253" t="s">
        <v>102</v>
      </c>
      <c r="C1253" t="s">
        <v>1708</v>
      </c>
    </row>
    <row r="1254" spans="1:3" x14ac:dyDescent="0.15">
      <c r="A1254" t="s">
        <v>454</v>
      </c>
      <c r="B1254" t="s">
        <v>102</v>
      </c>
      <c r="C1254" t="s">
        <v>1709</v>
      </c>
    </row>
    <row r="1255" spans="1:3" x14ac:dyDescent="0.15">
      <c r="A1255" t="s">
        <v>454</v>
      </c>
      <c r="B1255" t="s">
        <v>102</v>
      </c>
      <c r="C1255" t="s">
        <v>1710</v>
      </c>
    </row>
    <row r="1256" spans="1:3" x14ac:dyDescent="0.15">
      <c r="A1256" t="s">
        <v>454</v>
      </c>
      <c r="B1256" t="s">
        <v>102</v>
      </c>
      <c r="C1256" t="s">
        <v>1711</v>
      </c>
    </row>
    <row r="1257" spans="1:3" x14ac:dyDescent="0.15">
      <c r="A1257" t="s">
        <v>454</v>
      </c>
      <c r="B1257" t="s">
        <v>102</v>
      </c>
      <c r="C1257" t="s">
        <v>1712</v>
      </c>
    </row>
    <row r="1258" spans="1:3" x14ac:dyDescent="0.15">
      <c r="A1258" t="s">
        <v>454</v>
      </c>
      <c r="B1258" t="s">
        <v>102</v>
      </c>
      <c r="C1258" t="s">
        <v>1713</v>
      </c>
    </row>
    <row r="1259" spans="1:3" x14ac:dyDescent="0.15">
      <c r="A1259" t="s">
        <v>454</v>
      </c>
      <c r="B1259" t="s">
        <v>102</v>
      </c>
      <c r="C1259" t="s">
        <v>1714</v>
      </c>
    </row>
    <row r="1260" spans="1:3" x14ac:dyDescent="0.15">
      <c r="A1260" t="s">
        <v>454</v>
      </c>
      <c r="B1260" t="s">
        <v>102</v>
      </c>
      <c r="C1260" t="s">
        <v>1715</v>
      </c>
    </row>
    <row r="1261" spans="1:3" x14ac:dyDescent="0.15">
      <c r="A1261" t="s">
        <v>454</v>
      </c>
      <c r="B1261" t="s">
        <v>102</v>
      </c>
      <c r="C1261" t="s">
        <v>1716</v>
      </c>
    </row>
    <row r="1262" spans="1:3" x14ac:dyDescent="0.15">
      <c r="A1262" t="s">
        <v>454</v>
      </c>
      <c r="B1262" t="s">
        <v>102</v>
      </c>
      <c r="C1262" t="s">
        <v>1717</v>
      </c>
    </row>
    <row r="1263" spans="1:3" x14ac:dyDescent="0.15">
      <c r="A1263" t="s">
        <v>454</v>
      </c>
      <c r="B1263" t="s">
        <v>102</v>
      </c>
      <c r="C1263" t="s">
        <v>1718</v>
      </c>
    </row>
    <row r="1264" spans="1:3" x14ac:dyDescent="0.15">
      <c r="A1264" t="s">
        <v>454</v>
      </c>
      <c r="B1264" t="s">
        <v>102</v>
      </c>
      <c r="C1264" t="s">
        <v>1719</v>
      </c>
    </row>
    <row r="1265" spans="1:3" x14ac:dyDescent="0.15">
      <c r="A1265" t="s">
        <v>454</v>
      </c>
      <c r="B1265" t="s">
        <v>102</v>
      </c>
      <c r="C1265" t="s">
        <v>1720</v>
      </c>
    </row>
    <row r="1266" spans="1:3" x14ac:dyDescent="0.15">
      <c r="A1266" t="s">
        <v>454</v>
      </c>
      <c r="B1266" t="s">
        <v>102</v>
      </c>
      <c r="C1266" t="s">
        <v>1721</v>
      </c>
    </row>
    <row r="1267" spans="1:3" x14ac:dyDescent="0.15">
      <c r="A1267" t="s">
        <v>454</v>
      </c>
      <c r="B1267" t="s">
        <v>102</v>
      </c>
      <c r="C1267" t="s">
        <v>1722</v>
      </c>
    </row>
    <row r="1268" spans="1:3" x14ac:dyDescent="0.15">
      <c r="A1268" t="s">
        <v>454</v>
      </c>
      <c r="B1268" t="s">
        <v>102</v>
      </c>
      <c r="C1268" t="s">
        <v>1723</v>
      </c>
    </row>
    <row r="1269" spans="1:3" x14ac:dyDescent="0.15">
      <c r="A1269" t="s">
        <v>454</v>
      </c>
      <c r="B1269" t="s">
        <v>102</v>
      </c>
      <c r="C1269" t="s">
        <v>1724</v>
      </c>
    </row>
    <row r="1270" spans="1:3" x14ac:dyDescent="0.15">
      <c r="A1270" t="s">
        <v>454</v>
      </c>
      <c r="B1270" t="s">
        <v>102</v>
      </c>
      <c r="C1270" t="s">
        <v>1725</v>
      </c>
    </row>
    <row r="1271" spans="1:3" x14ac:dyDescent="0.15">
      <c r="A1271" t="s">
        <v>454</v>
      </c>
      <c r="B1271" t="s">
        <v>103</v>
      </c>
      <c r="C1271" t="s">
        <v>1726</v>
      </c>
    </row>
    <row r="1272" spans="1:3" x14ac:dyDescent="0.15">
      <c r="A1272" t="s">
        <v>454</v>
      </c>
      <c r="B1272" t="s">
        <v>103</v>
      </c>
      <c r="C1272" t="s">
        <v>1727</v>
      </c>
    </row>
    <row r="1273" spans="1:3" x14ac:dyDescent="0.15">
      <c r="A1273" t="s">
        <v>454</v>
      </c>
      <c r="B1273" t="s">
        <v>103</v>
      </c>
      <c r="C1273" t="s">
        <v>1728</v>
      </c>
    </row>
    <row r="1274" spans="1:3" x14ac:dyDescent="0.15">
      <c r="A1274" t="s">
        <v>454</v>
      </c>
      <c r="B1274" t="s">
        <v>103</v>
      </c>
      <c r="C1274" t="s">
        <v>1729</v>
      </c>
    </row>
    <row r="1275" spans="1:3" x14ac:dyDescent="0.15">
      <c r="A1275" t="s">
        <v>454</v>
      </c>
      <c r="B1275" t="s">
        <v>103</v>
      </c>
      <c r="C1275" t="s">
        <v>1730</v>
      </c>
    </row>
    <row r="1276" spans="1:3" x14ac:dyDescent="0.15">
      <c r="A1276" t="s">
        <v>454</v>
      </c>
      <c r="B1276" t="s">
        <v>103</v>
      </c>
      <c r="C1276" t="s">
        <v>1731</v>
      </c>
    </row>
    <row r="1277" spans="1:3" x14ac:dyDescent="0.15">
      <c r="A1277" t="s">
        <v>454</v>
      </c>
      <c r="B1277" t="s">
        <v>103</v>
      </c>
      <c r="C1277" t="s">
        <v>1732</v>
      </c>
    </row>
    <row r="1278" spans="1:3" x14ac:dyDescent="0.15">
      <c r="A1278" t="s">
        <v>454</v>
      </c>
      <c r="B1278" t="s">
        <v>103</v>
      </c>
      <c r="C1278" t="s">
        <v>1733</v>
      </c>
    </row>
    <row r="1279" spans="1:3" x14ac:dyDescent="0.15">
      <c r="A1279" t="s">
        <v>454</v>
      </c>
      <c r="B1279" t="s">
        <v>103</v>
      </c>
      <c r="C1279" t="s">
        <v>1734</v>
      </c>
    </row>
    <row r="1280" spans="1:3" x14ac:dyDescent="0.15">
      <c r="A1280" t="s">
        <v>454</v>
      </c>
      <c r="B1280" t="s">
        <v>103</v>
      </c>
      <c r="C1280" t="s">
        <v>1735</v>
      </c>
    </row>
    <row r="1281" spans="1:3" x14ac:dyDescent="0.15">
      <c r="A1281" t="s">
        <v>454</v>
      </c>
      <c r="B1281" t="s">
        <v>103</v>
      </c>
      <c r="C1281" t="s">
        <v>1736</v>
      </c>
    </row>
    <row r="1282" spans="1:3" x14ac:dyDescent="0.15">
      <c r="A1282" t="s">
        <v>454</v>
      </c>
      <c r="B1282" t="s">
        <v>103</v>
      </c>
      <c r="C1282" t="s">
        <v>1737</v>
      </c>
    </row>
    <row r="1283" spans="1:3" x14ac:dyDescent="0.15">
      <c r="A1283" t="s">
        <v>454</v>
      </c>
      <c r="B1283" t="s">
        <v>103</v>
      </c>
      <c r="C1283" t="s">
        <v>1738</v>
      </c>
    </row>
    <row r="1284" spans="1:3" x14ac:dyDescent="0.15">
      <c r="A1284" t="s">
        <v>454</v>
      </c>
      <c r="B1284" t="s">
        <v>103</v>
      </c>
      <c r="C1284" t="s">
        <v>1739</v>
      </c>
    </row>
    <row r="1285" spans="1:3" x14ac:dyDescent="0.15">
      <c r="A1285" t="s">
        <v>454</v>
      </c>
      <c r="B1285" t="s">
        <v>103</v>
      </c>
      <c r="C1285" t="s">
        <v>1740</v>
      </c>
    </row>
    <row r="1286" spans="1:3" x14ac:dyDescent="0.15">
      <c r="A1286" t="s">
        <v>454</v>
      </c>
      <c r="B1286" t="s">
        <v>103</v>
      </c>
      <c r="C1286" t="s">
        <v>1741</v>
      </c>
    </row>
    <row r="1287" spans="1:3" x14ac:dyDescent="0.15">
      <c r="A1287" t="s">
        <v>454</v>
      </c>
      <c r="B1287" t="s">
        <v>103</v>
      </c>
      <c r="C1287" t="s">
        <v>1742</v>
      </c>
    </row>
    <row r="1288" spans="1:3" x14ac:dyDescent="0.15">
      <c r="A1288" t="s">
        <v>454</v>
      </c>
      <c r="B1288" t="s">
        <v>103</v>
      </c>
      <c r="C1288" t="s">
        <v>1743</v>
      </c>
    </row>
    <row r="1289" spans="1:3" x14ac:dyDescent="0.15">
      <c r="A1289" t="s">
        <v>454</v>
      </c>
      <c r="B1289" t="s">
        <v>103</v>
      </c>
      <c r="C1289" t="s">
        <v>1744</v>
      </c>
    </row>
    <row r="1290" spans="1:3" x14ac:dyDescent="0.15">
      <c r="A1290" t="s">
        <v>454</v>
      </c>
      <c r="B1290" t="s">
        <v>103</v>
      </c>
      <c r="C1290" t="s">
        <v>1745</v>
      </c>
    </row>
    <row r="1291" spans="1:3" x14ac:dyDescent="0.15">
      <c r="A1291" t="s">
        <v>454</v>
      </c>
      <c r="B1291" t="s">
        <v>103</v>
      </c>
      <c r="C1291" t="s">
        <v>1746</v>
      </c>
    </row>
    <row r="1292" spans="1:3" x14ac:dyDescent="0.15">
      <c r="A1292" t="s">
        <v>454</v>
      </c>
      <c r="B1292" t="s">
        <v>103</v>
      </c>
      <c r="C1292" t="s">
        <v>1747</v>
      </c>
    </row>
    <row r="1293" spans="1:3" x14ac:dyDescent="0.15">
      <c r="A1293" t="s">
        <v>454</v>
      </c>
      <c r="B1293" t="s">
        <v>103</v>
      </c>
      <c r="C1293" t="s">
        <v>1748</v>
      </c>
    </row>
    <row r="1294" spans="1:3" x14ac:dyDescent="0.15">
      <c r="A1294" t="s">
        <v>454</v>
      </c>
      <c r="B1294" t="s">
        <v>103</v>
      </c>
      <c r="C1294" t="s">
        <v>1749</v>
      </c>
    </row>
    <row r="1295" spans="1:3" x14ac:dyDescent="0.15">
      <c r="A1295" t="s">
        <v>454</v>
      </c>
      <c r="B1295" t="s">
        <v>103</v>
      </c>
      <c r="C1295" t="s">
        <v>1750</v>
      </c>
    </row>
    <row r="1296" spans="1:3" x14ac:dyDescent="0.15">
      <c r="A1296" t="s">
        <v>454</v>
      </c>
      <c r="B1296" t="s">
        <v>103</v>
      </c>
      <c r="C1296" t="s">
        <v>1751</v>
      </c>
    </row>
    <row r="1297" spans="1:3" x14ac:dyDescent="0.15">
      <c r="A1297" t="s">
        <v>454</v>
      </c>
      <c r="B1297" t="s">
        <v>103</v>
      </c>
      <c r="C1297" t="s">
        <v>1752</v>
      </c>
    </row>
    <row r="1298" spans="1:3" x14ac:dyDescent="0.15">
      <c r="A1298" t="s">
        <v>454</v>
      </c>
      <c r="B1298" t="s">
        <v>103</v>
      </c>
      <c r="C1298" t="s">
        <v>1753</v>
      </c>
    </row>
    <row r="1299" spans="1:3" x14ac:dyDescent="0.15">
      <c r="A1299" t="s">
        <v>454</v>
      </c>
      <c r="B1299" t="s">
        <v>103</v>
      </c>
      <c r="C1299" t="s">
        <v>1754</v>
      </c>
    </row>
    <row r="1300" spans="1:3" x14ac:dyDescent="0.15">
      <c r="A1300" t="s">
        <v>454</v>
      </c>
      <c r="B1300" t="s">
        <v>103</v>
      </c>
      <c r="C1300" t="s">
        <v>1755</v>
      </c>
    </row>
    <row r="1301" spans="1:3" x14ac:dyDescent="0.15">
      <c r="A1301" t="s">
        <v>454</v>
      </c>
      <c r="B1301" t="s">
        <v>103</v>
      </c>
      <c r="C1301" t="s">
        <v>1756</v>
      </c>
    </row>
    <row r="1302" spans="1:3" x14ac:dyDescent="0.15">
      <c r="A1302" t="s">
        <v>454</v>
      </c>
      <c r="B1302" t="s">
        <v>103</v>
      </c>
      <c r="C1302" t="s">
        <v>1757</v>
      </c>
    </row>
    <row r="1303" spans="1:3" x14ac:dyDescent="0.15">
      <c r="A1303" t="s">
        <v>454</v>
      </c>
      <c r="B1303" t="s">
        <v>103</v>
      </c>
      <c r="C1303" t="s">
        <v>1758</v>
      </c>
    </row>
    <row r="1304" spans="1:3" x14ac:dyDescent="0.15">
      <c r="A1304" t="s">
        <v>454</v>
      </c>
      <c r="B1304" t="s">
        <v>103</v>
      </c>
      <c r="C1304" t="s">
        <v>1759</v>
      </c>
    </row>
    <row r="1305" spans="1:3" x14ac:dyDescent="0.15">
      <c r="A1305" t="s">
        <v>454</v>
      </c>
      <c r="B1305" t="s">
        <v>103</v>
      </c>
      <c r="C1305" t="s">
        <v>1760</v>
      </c>
    </row>
    <row r="1306" spans="1:3" x14ac:dyDescent="0.15">
      <c r="A1306" t="s">
        <v>454</v>
      </c>
      <c r="B1306" t="s">
        <v>103</v>
      </c>
      <c r="C1306" t="s">
        <v>1761</v>
      </c>
    </row>
    <row r="1307" spans="1:3" x14ac:dyDescent="0.15">
      <c r="A1307" t="s">
        <v>454</v>
      </c>
      <c r="B1307" t="s">
        <v>103</v>
      </c>
      <c r="C1307" t="s">
        <v>1762</v>
      </c>
    </row>
    <row r="1308" spans="1:3" x14ac:dyDescent="0.15">
      <c r="A1308" t="s">
        <v>454</v>
      </c>
      <c r="B1308" t="s">
        <v>103</v>
      </c>
      <c r="C1308" t="s">
        <v>1763</v>
      </c>
    </row>
    <row r="1309" spans="1:3" x14ac:dyDescent="0.15">
      <c r="A1309" t="s">
        <v>454</v>
      </c>
      <c r="B1309" t="s">
        <v>103</v>
      </c>
      <c r="C1309" t="s">
        <v>1764</v>
      </c>
    </row>
    <row r="1310" spans="1:3" x14ac:dyDescent="0.15">
      <c r="A1310" t="s">
        <v>454</v>
      </c>
      <c r="B1310" t="s">
        <v>103</v>
      </c>
      <c r="C1310" t="s">
        <v>1765</v>
      </c>
    </row>
    <row r="1311" spans="1:3" x14ac:dyDescent="0.15">
      <c r="A1311" t="s">
        <v>454</v>
      </c>
      <c r="B1311" t="s">
        <v>103</v>
      </c>
      <c r="C1311" t="s">
        <v>1766</v>
      </c>
    </row>
    <row r="1312" spans="1:3" x14ac:dyDescent="0.15">
      <c r="A1312" t="s">
        <v>454</v>
      </c>
      <c r="B1312" t="s">
        <v>103</v>
      </c>
      <c r="C1312" t="s">
        <v>1767</v>
      </c>
    </row>
    <row r="1313" spans="1:3" x14ac:dyDescent="0.15">
      <c r="A1313" t="s">
        <v>454</v>
      </c>
      <c r="B1313" t="s">
        <v>103</v>
      </c>
      <c r="C1313" t="s">
        <v>1768</v>
      </c>
    </row>
    <row r="1314" spans="1:3" x14ac:dyDescent="0.15">
      <c r="A1314" t="s">
        <v>454</v>
      </c>
      <c r="B1314" t="s">
        <v>103</v>
      </c>
      <c r="C1314" t="s">
        <v>1769</v>
      </c>
    </row>
    <row r="1315" spans="1:3" x14ac:dyDescent="0.15">
      <c r="A1315" t="s">
        <v>454</v>
      </c>
      <c r="B1315" t="s">
        <v>103</v>
      </c>
      <c r="C1315" t="s">
        <v>1770</v>
      </c>
    </row>
    <row r="1316" spans="1:3" x14ac:dyDescent="0.15">
      <c r="A1316" t="s">
        <v>454</v>
      </c>
      <c r="B1316" t="s">
        <v>103</v>
      </c>
      <c r="C1316" t="s">
        <v>1771</v>
      </c>
    </row>
    <row r="1317" spans="1:3" x14ac:dyDescent="0.15">
      <c r="A1317" t="s">
        <v>454</v>
      </c>
      <c r="B1317" t="s">
        <v>103</v>
      </c>
      <c r="C1317" t="s">
        <v>1772</v>
      </c>
    </row>
    <row r="1318" spans="1:3" x14ac:dyDescent="0.15">
      <c r="A1318" t="s">
        <v>454</v>
      </c>
      <c r="B1318" t="s">
        <v>103</v>
      </c>
      <c r="C1318" t="s">
        <v>1773</v>
      </c>
    </row>
    <row r="1319" spans="1:3" x14ac:dyDescent="0.15">
      <c r="A1319" t="s">
        <v>454</v>
      </c>
      <c r="B1319" t="s">
        <v>103</v>
      </c>
      <c r="C1319" t="s">
        <v>1774</v>
      </c>
    </row>
    <row r="1320" spans="1:3" x14ac:dyDescent="0.15">
      <c r="A1320" t="s">
        <v>454</v>
      </c>
      <c r="B1320" t="s">
        <v>103</v>
      </c>
      <c r="C1320" t="s">
        <v>1775</v>
      </c>
    </row>
    <row r="1321" spans="1:3" x14ac:dyDescent="0.15">
      <c r="A1321" t="s">
        <v>454</v>
      </c>
      <c r="B1321" t="s">
        <v>103</v>
      </c>
      <c r="C1321" t="s">
        <v>1776</v>
      </c>
    </row>
    <row r="1322" spans="1:3" x14ac:dyDescent="0.15">
      <c r="A1322" t="s">
        <v>454</v>
      </c>
      <c r="B1322" t="s">
        <v>103</v>
      </c>
      <c r="C1322" t="s">
        <v>1777</v>
      </c>
    </row>
    <row r="1323" spans="1:3" x14ac:dyDescent="0.15">
      <c r="A1323" t="s">
        <v>454</v>
      </c>
      <c r="B1323" t="s">
        <v>103</v>
      </c>
      <c r="C1323" t="s">
        <v>1778</v>
      </c>
    </row>
    <row r="1324" spans="1:3" x14ac:dyDescent="0.15">
      <c r="A1324" t="s">
        <v>454</v>
      </c>
      <c r="B1324" t="s">
        <v>103</v>
      </c>
      <c r="C1324" t="s">
        <v>1779</v>
      </c>
    </row>
    <row r="1325" spans="1:3" x14ac:dyDescent="0.15">
      <c r="A1325" t="s">
        <v>454</v>
      </c>
      <c r="B1325" t="s">
        <v>103</v>
      </c>
      <c r="C1325" t="s">
        <v>1780</v>
      </c>
    </row>
    <row r="1326" spans="1:3" x14ac:dyDescent="0.15">
      <c r="A1326" t="s">
        <v>454</v>
      </c>
      <c r="B1326" t="s">
        <v>103</v>
      </c>
      <c r="C1326" t="s">
        <v>1781</v>
      </c>
    </row>
    <row r="1327" spans="1:3" x14ac:dyDescent="0.15">
      <c r="A1327" t="s">
        <v>454</v>
      </c>
      <c r="B1327" t="s">
        <v>103</v>
      </c>
      <c r="C1327" t="s">
        <v>1782</v>
      </c>
    </row>
    <row r="1328" spans="1:3" x14ac:dyDescent="0.15">
      <c r="A1328" t="s">
        <v>454</v>
      </c>
      <c r="B1328" t="s">
        <v>103</v>
      </c>
      <c r="C1328" t="s">
        <v>1783</v>
      </c>
    </row>
    <row r="1329" spans="1:3" x14ac:dyDescent="0.15">
      <c r="A1329" t="s">
        <v>454</v>
      </c>
      <c r="B1329" t="s">
        <v>103</v>
      </c>
      <c r="C1329" t="s">
        <v>1784</v>
      </c>
    </row>
    <row r="1330" spans="1:3" x14ac:dyDescent="0.15">
      <c r="A1330" t="s">
        <v>454</v>
      </c>
      <c r="B1330" t="s">
        <v>103</v>
      </c>
      <c r="C1330" t="s">
        <v>1785</v>
      </c>
    </row>
    <row r="1331" spans="1:3" x14ac:dyDescent="0.15">
      <c r="A1331" t="s">
        <v>454</v>
      </c>
      <c r="B1331" t="s">
        <v>103</v>
      </c>
      <c r="C1331" t="s">
        <v>1786</v>
      </c>
    </row>
    <row r="1332" spans="1:3" x14ac:dyDescent="0.15">
      <c r="A1332" t="s">
        <v>454</v>
      </c>
      <c r="B1332" t="s">
        <v>103</v>
      </c>
      <c r="C1332" t="s">
        <v>1787</v>
      </c>
    </row>
    <row r="1333" spans="1:3" x14ac:dyDescent="0.15">
      <c r="A1333" t="s">
        <v>454</v>
      </c>
      <c r="B1333" t="s">
        <v>103</v>
      </c>
      <c r="C1333" t="s">
        <v>1788</v>
      </c>
    </row>
    <row r="1334" spans="1:3" x14ac:dyDescent="0.15">
      <c r="A1334" t="s">
        <v>454</v>
      </c>
      <c r="B1334" t="s">
        <v>103</v>
      </c>
      <c r="C1334" t="s">
        <v>1789</v>
      </c>
    </row>
    <row r="1335" spans="1:3" x14ac:dyDescent="0.15">
      <c r="A1335" t="s">
        <v>454</v>
      </c>
      <c r="B1335" t="s">
        <v>103</v>
      </c>
      <c r="C1335" t="s">
        <v>1790</v>
      </c>
    </row>
    <row r="1336" spans="1:3" x14ac:dyDescent="0.15">
      <c r="A1336" t="s">
        <v>454</v>
      </c>
      <c r="B1336" t="s">
        <v>103</v>
      </c>
      <c r="C1336" t="s">
        <v>1791</v>
      </c>
    </row>
    <row r="1337" spans="1:3" x14ac:dyDescent="0.15">
      <c r="A1337" t="s">
        <v>454</v>
      </c>
      <c r="B1337" t="s">
        <v>103</v>
      </c>
      <c r="C1337" t="s">
        <v>1792</v>
      </c>
    </row>
    <row r="1338" spans="1:3" x14ac:dyDescent="0.15">
      <c r="A1338" t="s">
        <v>454</v>
      </c>
      <c r="B1338" t="s">
        <v>103</v>
      </c>
      <c r="C1338" t="s">
        <v>1793</v>
      </c>
    </row>
    <row r="1339" spans="1:3" x14ac:dyDescent="0.15">
      <c r="A1339" t="s">
        <v>454</v>
      </c>
      <c r="B1339" t="s">
        <v>103</v>
      </c>
      <c r="C1339" t="s">
        <v>1794</v>
      </c>
    </row>
    <row r="1340" spans="1:3" x14ac:dyDescent="0.15">
      <c r="A1340" t="s">
        <v>454</v>
      </c>
      <c r="B1340" t="s">
        <v>103</v>
      </c>
      <c r="C1340" t="s">
        <v>1795</v>
      </c>
    </row>
    <row r="1341" spans="1:3" x14ac:dyDescent="0.15">
      <c r="A1341" t="s">
        <v>454</v>
      </c>
      <c r="B1341" t="s">
        <v>103</v>
      </c>
      <c r="C1341" t="s">
        <v>1796</v>
      </c>
    </row>
    <row r="1342" spans="1:3" x14ac:dyDescent="0.15">
      <c r="A1342" t="s">
        <v>454</v>
      </c>
      <c r="B1342" t="s">
        <v>103</v>
      </c>
      <c r="C1342" t="s">
        <v>1797</v>
      </c>
    </row>
    <row r="1343" spans="1:3" x14ac:dyDescent="0.15">
      <c r="A1343" t="s">
        <v>454</v>
      </c>
      <c r="B1343" t="s">
        <v>103</v>
      </c>
      <c r="C1343" t="s">
        <v>1798</v>
      </c>
    </row>
    <row r="1344" spans="1:3" x14ac:dyDescent="0.15">
      <c r="A1344" t="s">
        <v>454</v>
      </c>
      <c r="B1344" t="s">
        <v>103</v>
      </c>
      <c r="C1344" t="s">
        <v>1799</v>
      </c>
    </row>
    <row r="1345" spans="1:3" x14ac:dyDescent="0.15">
      <c r="A1345" t="s">
        <v>454</v>
      </c>
      <c r="B1345" t="s">
        <v>103</v>
      </c>
      <c r="C1345" t="s">
        <v>1800</v>
      </c>
    </row>
    <row r="1346" spans="1:3" x14ac:dyDescent="0.15">
      <c r="A1346" t="s">
        <v>454</v>
      </c>
      <c r="B1346" t="s">
        <v>103</v>
      </c>
      <c r="C1346" t="s">
        <v>1801</v>
      </c>
    </row>
    <row r="1347" spans="1:3" x14ac:dyDescent="0.15">
      <c r="A1347" t="s">
        <v>454</v>
      </c>
      <c r="B1347" t="s">
        <v>103</v>
      </c>
      <c r="C1347" t="s">
        <v>1802</v>
      </c>
    </row>
    <row r="1348" spans="1:3" x14ac:dyDescent="0.15">
      <c r="A1348" t="s">
        <v>454</v>
      </c>
      <c r="B1348" t="s">
        <v>103</v>
      </c>
      <c r="C1348" t="s">
        <v>1803</v>
      </c>
    </row>
    <row r="1349" spans="1:3" x14ac:dyDescent="0.15">
      <c r="A1349" t="s">
        <v>454</v>
      </c>
      <c r="B1349" t="s">
        <v>103</v>
      </c>
      <c r="C1349" t="s">
        <v>1804</v>
      </c>
    </row>
    <row r="1350" spans="1:3" x14ac:dyDescent="0.15">
      <c r="A1350" t="s">
        <v>454</v>
      </c>
      <c r="B1350" t="s">
        <v>103</v>
      </c>
      <c r="C1350" t="s">
        <v>1805</v>
      </c>
    </row>
    <row r="1351" spans="1:3" x14ac:dyDescent="0.15">
      <c r="A1351" t="s">
        <v>454</v>
      </c>
      <c r="B1351" t="s">
        <v>103</v>
      </c>
      <c r="C1351" t="s">
        <v>1806</v>
      </c>
    </row>
    <row r="1352" spans="1:3" x14ac:dyDescent="0.15">
      <c r="A1352" t="s">
        <v>454</v>
      </c>
      <c r="B1352" t="s">
        <v>103</v>
      </c>
      <c r="C1352" t="s">
        <v>1807</v>
      </c>
    </row>
    <row r="1353" spans="1:3" x14ac:dyDescent="0.15">
      <c r="A1353" t="s">
        <v>454</v>
      </c>
      <c r="B1353" t="s">
        <v>103</v>
      </c>
      <c r="C1353" t="s">
        <v>1808</v>
      </c>
    </row>
    <row r="1354" spans="1:3" x14ac:dyDescent="0.15">
      <c r="A1354" t="s">
        <v>454</v>
      </c>
      <c r="B1354" t="s">
        <v>103</v>
      </c>
      <c r="C1354" t="s">
        <v>1809</v>
      </c>
    </row>
    <row r="1355" spans="1:3" x14ac:dyDescent="0.15">
      <c r="A1355" t="s">
        <v>454</v>
      </c>
      <c r="B1355" t="s">
        <v>103</v>
      </c>
      <c r="C1355" t="s">
        <v>1810</v>
      </c>
    </row>
    <row r="1356" spans="1:3" x14ac:dyDescent="0.15">
      <c r="A1356" t="s">
        <v>454</v>
      </c>
      <c r="B1356" t="s">
        <v>103</v>
      </c>
      <c r="C1356" t="s">
        <v>1811</v>
      </c>
    </row>
    <row r="1357" spans="1:3" x14ac:dyDescent="0.15">
      <c r="A1357" t="s">
        <v>454</v>
      </c>
      <c r="B1357" t="s">
        <v>103</v>
      </c>
      <c r="C1357" t="s">
        <v>1812</v>
      </c>
    </row>
    <row r="1358" spans="1:3" x14ac:dyDescent="0.15">
      <c r="A1358" t="s">
        <v>454</v>
      </c>
      <c r="B1358" t="s">
        <v>103</v>
      </c>
      <c r="C1358" t="s">
        <v>1813</v>
      </c>
    </row>
    <row r="1359" spans="1:3" x14ac:dyDescent="0.15">
      <c r="A1359" t="s">
        <v>454</v>
      </c>
      <c r="B1359" t="s">
        <v>103</v>
      </c>
      <c r="C1359" t="s">
        <v>1814</v>
      </c>
    </row>
    <row r="1360" spans="1:3" x14ac:dyDescent="0.15">
      <c r="A1360" t="s">
        <v>454</v>
      </c>
      <c r="B1360" t="s">
        <v>103</v>
      </c>
      <c r="C1360" t="s">
        <v>1815</v>
      </c>
    </row>
    <row r="1361" spans="1:3" x14ac:dyDescent="0.15">
      <c r="A1361" t="s">
        <v>273</v>
      </c>
      <c r="B1361" t="s">
        <v>268</v>
      </c>
      <c r="C1361" t="s">
        <v>1816</v>
      </c>
    </row>
    <row r="1362" spans="1:3" x14ac:dyDescent="0.15">
      <c r="A1362" t="s">
        <v>273</v>
      </c>
      <c r="B1362" t="s">
        <v>268</v>
      </c>
      <c r="C1362" t="s">
        <v>1817</v>
      </c>
    </row>
    <row r="1363" spans="1:3" x14ac:dyDescent="0.15">
      <c r="A1363" t="s">
        <v>273</v>
      </c>
      <c r="B1363" t="s">
        <v>268</v>
      </c>
      <c r="C1363" t="s">
        <v>1818</v>
      </c>
    </row>
    <row r="1364" spans="1:3" x14ac:dyDescent="0.15">
      <c r="A1364" t="s">
        <v>273</v>
      </c>
      <c r="B1364" t="s">
        <v>268</v>
      </c>
      <c r="C1364" t="s">
        <v>1819</v>
      </c>
    </row>
    <row r="1365" spans="1:3" x14ac:dyDescent="0.15">
      <c r="A1365" t="s">
        <v>273</v>
      </c>
      <c r="B1365" t="s">
        <v>268</v>
      </c>
      <c r="C1365" t="s">
        <v>1820</v>
      </c>
    </row>
    <row r="1366" spans="1:3" x14ac:dyDescent="0.15">
      <c r="A1366" t="s">
        <v>273</v>
      </c>
      <c r="B1366" t="s">
        <v>268</v>
      </c>
      <c r="C1366" t="s">
        <v>1821</v>
      </c>
    </row>
    <row r="1367" spans="1:3" x14ac:dyDescent="0.15">
      <c r="A1367" t="s">
        <v>273</v>
      </c>
      <c r="B1367" t="s">
        <v>268</v>
      </c>
      <c r="C1367" t="s">
        <v>1822</v>
      </c>
    </row>
    <row r="1368" spans="1:3" x14ac:dyDescent="0.15">
      <c r="A1368" t="s">
        <v>273</v>
      </c>
      <c r="B1368" t="s">
        <v>268</v>
      </c>
      <c r="C1368" t="s">
        <v>1823</v>
      </c>
    </row>
    <row r="1369" spans="1:3" x14ac:dyDescent="0.15">
      <c r="A1369" t="s">
        <v>273</v>
      </c>
      <c r="B1369" t="s">
        <v>270</v>
      </c>
      <c r="C1369" t="s">
        <v>1816</v>
      </c>
    </row>
    <row r="1370" spans="1:3" x14ac:dyDescent="0.15">
      <c r="A1370" t="s">
        <v>273</v>
      </c>
      <c r="B1370" t="s">
        <v>270</v>
      </c>
      <c r="C1370" t="s">
        <v>1817</v>
      </c>
    </row>
    <row r="1371" spans="1:3" x14ac:dyDescent="0.15">
      <c r="A1371" t="s">
        <v>273</v>
      </c>
      <c r="B1371" t="s">
        <v>270</v>
      </c>
      <c r="C1371" t="s">
        <v>1818</v>
      </c>
    </row>
    <row r="1372" spans="1:3" x14ac:dyDescent="0.15">
      <c r="A1372" t="s">
        <v>273</v>
      </c>
      <c r="B1372" t="s">
        <v>270</v>
      </c>
      <c r="C1372" t="s">
        <v>1819</v>
      </c>
    </row>
    <row r="1373" spans="1:3" x14ac:dyDescent="0.15">
      <c r="A1373" t="s">
        <v>273</v>
      </c>
      <c r="B1373" t="s">
        <v>270</v>
      </c>
      <c r="C1373" t="s">
        <v>1820</v>
      </c>
    </row>
    <row r="1374" spans="1:3" x14ac:dyDescent="0.15">
      <c r="A1374" t="s">
        <v>273</v>
      </c>
      <c r="B1374" t="s">
        <v>270</v>
      </c>
      <c r="C1374" t="s">
        <v>1821</v>
      </c>
    </row>
    <row r="1375" spans="1:3" x14ac:dyDescent="0.15">
      <c r="A1375" t="s">
        <v>273</v>
      </c>
      <c r="B1375" t="s">
        <v>270</v>
      </c>
      <c r="C1375" t="s">
        <v>1822</v>
      </c>
    </row>
    <row r="1376" spans="1:3" x14ac:dyDescent="0.15">
      <c r="A1376" t="s">
        <v>273</v>
      </c>
      <c r="B1376" t="s">
        <v>270</v>
      </c>
      <c r="C1376" t="s">
        <v>1823</v>
      </c>
    </row>
    <row r="1377" spans="1:3" x14ac:dyDescent="0.15">
      <c r="A1377" t="s">
        <v>273</v>
      </c>
      <c r="B1377" t="s">
        <v>271</v>
      </c>
      <c r="C1377" t="s">
        <v>1816</v>
      </c>
    </row>
    <row r="1378" spans="1:3" x14ac:dyDescent="0.15">
      <c r="A1378" t="s">
        <v>273</v>
      </c>
      <c r="B1378" t="s">
        <v>271</v>
      </c>
      <c r="C1378" t="s">
        <v>1817</v>
      </c>
    </row>
    <row r="1379" spans="1:3" x14ac:dyDescent="0.15">
      <c r="A1379" t="s">
        <v>273</v>
      </c>
      <c r="B1379" t="s">
        <v>271</v>
      </c>
      <c r="C1379" t="s">
        <v>1818</v>
      </c>
    </row>
    <row r="1380" spans="1:3" x14ac:dyDescent="0.15">
      <c r="A1380" t="s">
        <v>273</v>
      </c>
      <c r="B1380" t="s">
        <v>271</v>
      </c>
      <c r="C1380" t="s">
        <v>1819</v>
      </c>
    </row>
    <row r="1381" spans="1:3" x14ac:dyDescent="0.15">
      <c r="A1381" t="s">
        <v>273</v>
      </c>
      <c r="B1381" t="s">
        <v>271</v>
      </c>
      <c r="C1381" t="s">
        <v>1820</v>
      </c>
    </row>
    <row r="1382" spans="1:3" x14ac:dyDescent="0.15">
      <c r="A1382" t="s">
        <v>273</v>
      </c>
      <c r="B1382" t="s">
        <v>271</v>
      </c>
      <c r="C1382" t="s">
        <v>1821</v>
      </c>
    </row>
    <row r="1383" spans="1:3" x14ac:dyDescent="0.15">
      <c r="A1383" t="s">
        <v>273</v>
      </c>
      <c r="B1383" t="s">
        <v>271</v>
      </c>
      <c r="C1383" t="s">
        <v>1822</v>
      </c>
    </row>
    <row r="1384" spans="1:3" x14ac:dyDescent="0.15">
      <c r="A1384" t="s">
        <v>273</v>
      </c>
      <c r="B1384" t="s">
        <v>271</v>
      </c>
      <c r="C1384" t="s">
        <v>1823</v>
      </c>
    </row>
    <row r="1385" spans="1:3" x14ac:dyDescent="0.15">
      <c r="A1385" t="s">
        <v>273</v>
      </c>
      <c r="B1385" t="s">
        <v>272</v>
      </c>
      <c r="C1385" t="s">
        <v>1824</v>
      </c>
    </row>
    <row r="1386" spans="1:3" x14ac:dyDescent="0.15">
      <c r="A1386" t="s">
        <v>273</v>
      </c>
      <c r="B1386" t="s">
        <v>272</v>
      </c>
      <c r="C1386" t="s">
        <v>1825</v>
      </c>
    </row>
    <row r="1387" spans="1:3" x14ac:dyDescent="0.15">
      <c r="A1387" t="s">
        <v>273</v>
      </c>
      <c r="B1387" t="s">
        <v>272</v>
      </c>
      <c r="C1387" t="s">
        <v>1826</v>
      </c>
    </row>
    <row r="1388" spans="1:3" x14ac:dyDescent="0.15">
      <c r="A1388" t="s">
        <v>273</v>
      </c>
      <c r="B1388" t="s">
        <v>272</v>
      </c>
      <c r="C1388" t="s">
        <v>1827</v>
      </c>
    </row>
    <row r="1389" spans="1:3" x14ac:dyDescent="0.15">
      <c r="A1389" t="s">
        <v>273</v>
      </c>
      <c r="B1389" t="s">
        <v>272</v>
      </c>
      <c r="C1389" t="s">
        <v>1828</v>
      </c>
    </row>
    <row r="1390" spans="1:3" x14ac:dyDescent="0.15">
      <c r="A1390" t="s">
        <v>273</v>
      </c>
      <c r="B1390" t="s">
        <v>272</v>
      </c>
      <c r="C1390" t="s">
        <v>1829</v>
      </c>
    </row>
    <row r="1391" spans="1:3" x14ac:dyDescent="0.15">
      <c r="A1391" t="s">
        <v>273</v>
      </c>
      <c r="B1391" t="s">
        <v>272</v>
      </c>
      <c r="C1391" t="s">
        <v>1830</v>
      </c>
    </row>
    <row r="1392" spans="1:3" x14ac:dyDescent="0.15">
      <c r="A1392" t="s">
        <v>273</v>
      </c>
      <c r="B1392" t="s">
        <v>269</v>
      </c>
      <c r="C1392" t="s">
        <v>1831</v>
      </c>
    </row>
    <row r="1393" spans="1:3" x14ac:dyDescent="0.15">
      <c r="A1393" t="s">
        <v>273</v>
      </c>
      <c r="B1393" t="s">
        <v>269</v>
      </c>
      <c r="C1393" t="s">
        <v>1832</v>
      </c>
    </row>
    <row r="1394" spans="1:3" x14ac:dyDescent="0.15">
      <c r="A1394" t="s">
        <v>273</v>
      </c>
      <c r="B1394" t="s">
        <v>269</v>
      </c>
      <c r="C1394" t="s">
        <v>1833</v>
      </c>
    </row>
    <row r="1395" spans="1:3" x14ac:dyDescent="0.15">
      <c r="A1395" t="s">
        <v>273</v>
      </c>
      <c r="B1395" t="s">
        <v>269</v>
      </c>
      <c r="C1395" t="s">
        <v>1834</v>
      </c>
    </row>
    <row r="1396" spans="1:3" x14ac:dyDescent="0.15">
      <c r="A1396" t="s">
        <v>273</v>
      </c>
      <c r="B1396" t="s">
        <v>269</v>
      </c>
      <c r="C1396" t="s">
        <v>1835</v>
      </c>
    </row>
    <row r="1397" spans="1:3" x14ac:dyDescent="0.15">
      <c r="A1397" t="s">
        <v>292</v>
      </c>
      <c r="B1397" t="s">
        <v>105</v>
      </c>
      <c r="C1397" t="s">
        <v>1836</v>
      </c>
    </row>
    <row r="1398" spans="1:3" x14ac:dyDescent="0.15">
      <c r="A1398" t="s">
        <v>292</v>
      </c>
      <c r="B1398" t="s">
        <v>105</v>
      </c>
      <c r="C1398" t="s">
        <v>1837</v>
      </c>
    </row>
    <row r="1399" spans="1:3" x14ac:dyDescent="0.15">
      <c r="A1399" t="s">
        <v>292</v>
      </c>
      <c r="B1399" t="s">
        <v>105</v>
      </c>
      <c r="C1399" t="s">
        <v>1838</v>
      </c>
    </row>
    <row r="1400" spans="1:3" x14ac:dyDescent="0.15">
      <c r="A1400" t="s">
        <v>292</v>
      </c>
      <c r="B1400" t="s">
        <v>105</v>
      </c>
      <c r="C1400" t="s">
        <v>1839</v>
      </c>
    </row>
    <row r="1401" spans="1:3" x14ac:dyDescent="0.15">
      <c r="A1401" t="s">
        <v>292</v>
      </c>
      <c r="B1401" t="s">
        <v>105</v>
      </c>
      <c r="C1401" t="s">
        <v>1840</v>
      </c>
    </row>
    <row r="1402" spans="1:3" x14ac:dyDescent="0.15">
      <c r="A1402" t="s">
        <v>292</v>
      </c>
      <c r="B1402" t="s">
        <v>105</v>
      </c>
      <c r="C1402" t="s">
        <v>1841</v>
      </c>
    </row>
    <row r="1403" spans="1:3" x14ac:dyDescent="0.15">
      <c r="A1403" t="s">
        <v>292</v>
      </c>
      <c r="B1403" t="s">
        <v>105</v>
      </c>
      <c r="C1403" t="s">
        <v>1842</v>
      </c>
    </row>
    <row r="1404" spans="1:3" x14ac:dyDescent="0.15">
      <c r="A1404" t="s">
        <v>292</v>
      </c>
      <c r="B1404" t="s">
        <v>105</v>
      </c>
      <c r="C1404" t="s">
        <v>1843</v>
      </c>
    </row>
    <row r="1405" spans="1:3" x14ac:dyDescent="0.15">
      <c r="A1405" t="s">
        <v>292</v>
      </c>
      <c r="B1405" t="s">
        <v>105</v>
      </c>
      <c r="C1405" t="s">
        <v>1844</v>
      </c>
    </row>
    <row r="1406" spans="1:3" x14ac:dyDescent="0.15">
      <c r="A1406" t="s">
        <v>292</v>
      </c>
      <c r="B1406" t="s">
        <v>106</v>
      </c>
      <c r="C1406" t="s">
        <v>1845</v>
      </c>
    </row>
    <row r="1407" spans="1:3" x14ac:dyDescent="0.15">
      <c r="A1407" t="s">
        <v>292</v>
      </c>
      <c r="B1407" t="s">
        <v>106</v>
      </c>
      <c r="C1407" t="s">
        <v>1846</v>
      </c>
    </row>
    <row r="1408" spans="1:3" x14ac:dyDescent="0.15">
      <c r="A1408" t="s">
        <v>292</v>
      </c>
      <c r="B1408" t="s">
        <v>106</v>
      </c>
      <c r="C1408" t="s">
        <v>1847</v>
      </c>
    </row>
    <row r="1409" spans="1:3" x14ac:dyDescent="0.15">
      <c r="A1409" t="s">
        <v>292</v>
      </c>
      <c r="B1409" t="s">
        <v>106</v>
      </c>
      <c r="C1409" t="s">
        <v>1848</v>
      </c>
    </row>
    <row r="1410" spans="1:3" x14ac:dyDescent="0.15">
      <c r="A1410" t="s">
        <v>292</v>
      </c>
      <c r="B1410" t="s">
        <v>106</v>
      </c>
      <c r="C1410" t="s">
        <v>1849</v>
      </c>
    </row>
    <row r="1411" spans="1:3" x14ac:dyDescent="0.15">
      <c r="A1411" t="s">
        <v>292</v>
      </c>
      <c r="B1411" t="s">
        <v>106</v>
      </c>
      <c r="C1411" t="s">
        <v>1850</v>
      </c>
    </row>
    <row r="1412" spans="1:3" x14ac:dyDescent="0.15">
      <c r="A1412" t="s">
        <v>292</v>
      </c>
      <c r="B1412" t="s">
        <v>106</v>
      </c>
      <c r="C1412" t="s">
        <v>1851</v>
      </c>
    </row>
    <row r="1413" spans="1:3" x14ac:dyDescent="0.15">
      <c r="A1413" t="s">
        <v>292</v>
      </c>
      <c r="B1413" t="s">
        <v>106</v>
      </c>
      <c r="C1413" t="s">
        <v>1852</v>
      </c>
    </row>
    <row r="1414" spans="1:3" x14ac:dyDescent="0.15">
      <c r="A1414" t="s">
        <v>292</v>
      </c>
      <c r="B1414" t="s">
        <v>106</v>
      </c>
      <c r="C1414" t="s">
        <v>1853</v>
      </c>
    </row>
    <row r="1415" spans="1:3" x14ac:dyDescent="0.15">
      <c r="A1415" t="s">
        <v>292</v>
      </c>
      <c r="B1415" t="s">
        <v>106</v>
      </c>
      <c r="C1415" t="s">
        <v>1854</v>
      </c>
    </row>
    <row r="1416" spans="1:3" x14ac:dyDescent="0.15">
      <c r="A1416" t="s">
        <v>292</v>
      </c>
      <c r="B1416" t="s">
        <v>123</v>
      </c>
      <c r="C1416" t="s">
        <v>1855</v>
      </c>
    </row>
    <row r="1417" spans="1:3" x14ac:dyDescent="0.15">
      <c r="A1417" t="s">
        <v>292</v>
      </c>
      <c r="B1417" t="s">
        <v>1858</v>
      </c>
      <c r="C1417" t="s">
        <v>1856</v>
      </c>
    </row>
    <row r="1418" spans="1:3" x14ac:dyDescent="0.15">
      <c r="A1418" t="s">
        <v>292</v>
      </c>
      <c r="B1418" t="s">
        <v>1859</v>
      </c>
      <c r="C1418" t="s">
        <v>1857</v>
      </c>
    </row>
    <row r="1419" spans="1:3" x14ac:dyDescent="0.15">
      <c r="A1419" t="s">
        <v>297</v>
      </c>
      <c r="B1419" t="s">
        <v>1878</v>
      </c>
      <c r="C1419" t="s">
        <v>1860</v>
      </c>
    </row>
    <row r="1420" spans="1:3" x14ac:dyDescent="0.15">
      <c r="A1420" t="s">
        <v>297</v>
      </c>
      <c r="B1420" t="s">
        <v>1878</v>
      </c>
      <c r="C1420" t="s">
        <v>1861</v>
      </c>
    </row>
    <row r="1421" spans="1:3" x14ac:dyDescent="0.15">
      <c r="A1421" t="s">
        <v>297</v>
      </c>
      <c r="B1421" t="s">
        <v>1878</v>
      </c>
      <c r="C1421" t="s">
        <v>1862</v>
      </c>
    </row>
    <row r="1422" spans="1:3" x14ac:dyDescent="0.15">
      <c r="A1422" t="s">
        <v>297</v>
      </c>
      <c r="B1422" t="s">
        <v>1878</v>
      </c>
      <c r="C1422" t="s">
        <v>1863</v>
      </c>
    </row>
    <row r="1423" spans="1:3" x14ac:dyDescent="0.15">
      <c r="A1423" t="s">
        <v>297</v>
      </c>
      <c r="B1423" t="s">
        <v>1878</v>
      </c>
      <c r="C1423" t="s">
        <v>1873</v>
      </c>
    </row>
    <row r="1424" spans="1:3" x14ac:dyDescent="0.15">
      <c r="A1424" t="s">
        <v>297</v>
      </c>
      <c r="B1424" t="s">
        <v>1878</v>
      </c>
      <c r="C1424" t="s">
        <v>1876</v>
      </c>
    </row>
    <row r="1425" spans="1:3" x14ac:dyDescent="0.15">
      <c r="A1425" t="s">
        <v>297</v>
      </c>
      <c r="B1425" t="s">
        <v>1878</v>
      </c>
      <c r="C1425" t="s">
        <v>1877</v>
      </c>
    </row>
    <row r="1426" spans="1:3" x14ac:dyDescent="0.15">
      <c r="A1426" t="s">
        <v>297</v>
      </c>
      <c r="B1426" t="s">
        <v>1879</v>
      </c>
      <c r="C1426" t="s">
        <v>1860</v>
      </c>
    </row>
    <row r="1427" spans="1:3" x14ac:dyDescent="0.15">
      <c r="A1427" t="s">
        <v>297</v>
      </c>
      <c r="B1427" t="s">
        <v>1879</v>
      </c>
      <c r="C1427" t="s">
        <v>1861</v>
      </c>
    </row>
    <row r="1428" spans="1:3" x14ac:dyDescent="0.15">
      <c r="A1428" t="s">
        <v>297</v>
      </c>
      <c r="B1428" t="s">
        <v>1879</v>
      </c>
      <c r="C1428" t="s">
        <v>1862</v>
      </c>
    </row>
    <row r="1429" spans="1:3" x14ac:dyDescent="0.15">
      <c r="A1429" t="s">
        <v>297</v>
      </c>
      <c r="B1429" t="s">
        <v>1879</v>
      </c>
      <c r="C1429" t="s">
        <v>1863</v>
      </c>
    </row>
    <row r="1430" spans="1:3" x14ac:dyDescent="0.15">
      <c r="A1430" t="s">
        <v>297</v>
      </c>
      <c r="B1430" t="s">
        <v>1879</v>
      </c>
      <c r="C1430" t="s">
        <v>1873</v>
      </c>
    </row>
    <row r="1431" spans="1:3" x14ac:dyDescent="0.15">
      <c r="A1431" t="s">
        <v>297</v>
      </c>
      <c r="B1431" t="s">
        <v>1879</v>
      </c>
      <c r="C1431" t="s">
        <v>1876</v>
      </c>
    </row>
    <row r="1432" spans="1:3" x14ac:dyDescent="0.15">
      <c r="A1432" t="s">
        <v>297</v>
      </c>
      <c r="B1432" t="s">
        <v>1879</v>
      </c>
      <c r="C1432" t="s">
        <v>1877</v>
      </c>
    </row>
    <row r="1433" spans="1:3" x14ac:dyDescent="0.15">
      <c r="A1433" t="s">
        <v>297</v>
      </c>
      <c r="B1433" t="s">
        <v>126</v>
      </c>
      <c r="C1433" t="s">
        <v>1860</v>
      </c>
    </row>
    <row r="1434" spans="1:3" x14ac:dyDescent="0.15">
      <c r="A1434" t="s">
        <v>297</v>
      </c>
      <c r="B1434" t="s">
        <v>127</v>
      </c>
      <c r="C1434" t="s">
        <v>1861</v>
      </c>
    </row>
    <row r="1435" spans="1:3" x14ac:dyDescent="0.15">
      <c r="A1435" t="s">
        <v>297</v>
      </c>
      <c r="B1435" t="s">
        <v>128</v>
      </c>
      <c r="C1435" t="s">
        <v>1862</v>
      </c>
    </row>
    <row r="1436" spans="1:3" x14ac:dyDescent="0.15">
      <c r="A1436" t="s">
        <v>297</v>
      </c>
      <c r="B1436" t="s">
        <v>129</v>
      </c>
      <c r="C1436" t="s">
        <v>1863</v>
      </c>
    </row>
    <row r="1437" spans="1:3" x14ac:dyDescent="0.15">
      <c r="A1437" t="s">
        <v>297</v>
      </c>
      <c r="B1437" t="s">
        <v>130</v>
      </c>
      <c r="C1437" t="s">
        <v>1873</v>
      </c>
    </row>
    <row r="1438" spans="1:3" x14ac:dyDescent="0.15">
      <c r="A1438" t="s">
        <v>297</v>
      </c>
      <c r="B1438" t="s">
        <v>131</v>
      </c>
      <c r="C1438" t="s">
        <v>1876</v>
      </c>
    </row>
    <row r="1439" spans="1:3" x14ac:dyDescent="0.15">
      <c r="A1439" t="s">
        <v>297</v>
      </c>
      <c r="B1439" t="s">
        <v>132</v>
      </c>
      <c r="C1439" t="s">
        <v>1877</v>
      </c>
    </row>
    <row r="1440" spans="1:3" x14ac:dyDescent="0.15">
      <c r="A1440" t="s">
        <v>297</v>
      </c>
      <c r="B1440" t="s">
        <v>127</v>
      </c>
      <c r="C1440" t="s">
        <v>1860</v>
      </c>
    </row>
    <row r="1441" spans="1:3" x14ac:dyDescent="0.15">
      <c r="A1441" t="s">
        <v>297</v>
      </c>
      <c r="B1441" t="s">
        <v>128</v>
      </c>
      <c r="C1441" t="s">
        <v>1861</v>
      </c>
    </row>
    <row r="1442" spans="1:3" x14ac:dyDescent="0.15">
      <c r="A1442" t="s">
        <v>297</v>
      </c>
      <c r="B1442" t="s">
        <v>129</v>
      </c>
      <c r="C1442" t="s">
        <v>1862</v>
      </c>
    </row>
    <row r="1443" spans="1:3" x14ac:dyDescent="0.15">
      <c r="A1443" t="s">
        <v>297</v>
      </c>
      <c r="B1443" t="s">
        <v>130</v>
      </c>
      <c r="C1443" t="s">
        <v>1863</v>
      </c>
    </row>
    <row r="1444" spans="1:3" x14ac:dyDescent="0.15">
      <c r="A1444" t="s">
        <v>297</v>
      </c>
      <c r="B1444" t="s">
        <v>131</v>
      </c>
      <c r="C1444" t="s">
        <v>1873</v>
      </c>
    </row>
    <row r="1445" spans="1:3" x14ac:dyDescent="0.15">
      <c r="A1445" t="s">
        <v>297</v>
      </c>
      <c r="B1445" t="s">
        <v>132</v>
      </c>
      <c r="C1445" t="s">
        <v>1876</v>
      </c>
    </row>
    <row r="1446" spans="1:3" x14ac:dyDescent="0.15">
      <c r="A1446" t="s">
        <v>297</v>
      </c>
      <c r="B1446" t="s">
        <v>133</v>
      </c>
      <c r="C1446" t="s">
        <v>1877</v>
      </c>
    </row>
    <row r="1447" spans="1:3" x14ac:dyDescent="0.15">
      <c r="A1447" t="s">
        <v>297</v>
      </c>
      <c r="B1447" t="s">
        <v>128</v>
      </c>
      <c r="C1447" t="s">
        <v>1860</v>
      </c>
    </row>
    <row r="1448" spans="1:3" x14ac:dyDescent="0.15">
      <c r="A1448" t="s">
        <v>297</v>
      </c>
      <c r="B1448" t="s">
        <v>128</v>
      </c>
      <c r="C1448" t="s">
        <v>1861</v>
      </c>
    </row>
    <row r="1449" spans="1:3" x14ac:dyDescent="0.15">
      <c r="A1449" t="s">
        <v>297</v>
      </c>
      <c r="B1449" t="s">
        <v>128</v>
      </c>
      <c r="C1449" t="s">
        <v>1862</v>
      </c>
    </row>
    <row r="1450" spans="1:3" x14ac:dyDescent="0.15">
      <c r="A1450" t="s">
        <v>297</v>
      </c>
      <c r="B1450" t="s">
        <v>128</v>
      </c>
      <c r="C1450" t="s">
        <v>1863</v>
      </c>
    </row>
    <row r="1451" spans="1:3" x14ac:dyDescent="0.15">
      <c r="A1451" t="s">
        <v>297</v>
      </c>
      <c r="B1451" t="s">
        <v>128</v>
      </c>
      <c r="C1451" t="s">
        <v>1873</v>
      </c>
    </row>
    <row r="1452" spans="1:3" x14ac:dyDescent="0.15">
      <c r="A1452" t="s">
        <v>297</v>
      </c>
      <c r="B1452" t="s">
        <v>128</v>
      </c>
      <c r="C1452" t="s">
        <v>1876</v>
      </c>
    </row>
    <row r="1453" spans="1:3" x14ac:dyDescent="0.15">
      <c r="A1453" t="s">
        <v>297</v>
      </c>
      <c r="B1453" t="s">
        <v>128</v>
      </c>
      <c r="C1453" t="s">
        <v>1877</v>
      </c>
    </row>
    <row r="1454" spans="1:3" x14ac:dyDescent="0.15">
      <c r="A1454" t="s">
        <v>297</v>
      </c>
      <c r="B1454" t="s">
        <v>129</v>
      </c>
      <c r="C1454" t="s">
        <v>1860</v>
      </c>
    </row>
    <row r="1455" spans="1:3" x14ac:dyDescent="0.15">
      <c r="A1455" t="s">
        <v>297</v>
      </c>
      <c r="B1455" t="s">
        <v>129</v>
      </c>
      <c r="C1455" t="s">
        <v>1861</v>
      </c>
    </row>
    <row r="1456" spans="1:3" x14ac:dyDescent="0.15">
      <c r="A1456" t="s">
        <v>297</v>
      </c>
      <c r="B1456" t="s">
        <v>129</v>
      </c>
      <c r="C1456" t="s">
        <v>1862</v>
      </c>
    </row>
    <row r="1457" spans="1:3" x14ac:dyDescent="0.15">
      <c r="A1457" t="s">
        <v>297</v>
      </c>
      <c r="B1457" t="s">
        <v>129</v>
      </c>
      <c r="C1457" t="s">
        <v>1863</v>
      </c>
    </row>
    <row r="1458" spans="1:3" x14ac:dyDescent="0.15">
      <c r="A1458" t="s">
        <v>297</v>
      </c>
      <c r="B1458" t="s">
        <v>129</v>
      </c>
      <c r="C1458" t="s">
        <v>1873</v>
      </c>
    </row>
    <row r="1459" spans="1:3" x14ac:dyDescent="0.15">
      <c r="A1459" t="s">
        <v>297</v>
      </c>
      <c r="B1459" t="s">
        <v>129</v>
      </c>
      <c r="C1459" t="s">
        <v>1876</v>
      </c>
    </row>
    <row r="1460" spans="1:3" x14ac:dyDescent="0.15">
      <c r="A1460" t="s">
        <v>297</v>
      </c>
      <c r="B1460" t="s">
        <v>129</v>
      </c>
      <c r="C1460" t="s">
        <v>1877</v>
      </c>
    </row>
    <row r="1461" spans="1:3" x14ac:dyDescent="0.15">
      <c r="A1461" t="s">
        <v>297</v>
      </c>
      <c r="B1461" t="s">
        <v>130</v>
      </c>
      <c r="C1461" t="s">
        <v>1860</v>
      </c>
    </row>
    <row r="1462" spans="1:3" x14ac:dyDescent="0.15">
      <c r="A1462" t="s">
        <v>297</v>
      </c>
      <c r="B1462" t="s">
        <v>130</v>
      </c>
      <c r="C1462" t="s">
        <v>1861</v>
      </c>
    </row>
    <row r="1463" spans="1:3" x14ac:dyDescent="0.15">
      <c r="A1463" t="s">
        <v>297</v>
      </c>
      <c r="B1463" t="s">
        <v>130</v>
      </c>
      <c r="C1463" t="s">
        <v>1862</v>
      </c>
    </row>
    <row r="1464" spans="1:3" x14ac:dyDescent="0.15">
      <c r="A1464" t="s">
        <v>297</v>
      </c>
      <c r="B1464" t="s">
        <v>130</v>
      </c>
      <c r="C1464" t="s">
        <v>1863</v>
      </c>
    </row>
    <row r="1465" spans="1:3" x14ac:dyDescent="0.15">
      <c r="A1465" t="s">
        <v>297</v>
      </c>
      <c r="B1465" t="s">
        <v>130</v>
      </c>
      <c r="C1465" t="s">
        <v>1873</v>
      </c>
    </row>
    <row r="1466" spans="1:3" x14ac:dyDescent="0.15">
      <c r="A1466" t="s">
        <v>297</v>
      </c>
      <c r="B1466" t="s">
        <v>130</v>
      </c>
      <c r="C1466" t="s">
        <v>1876</v>
      </c>
    </row>
    <row r="1467" spans="1:3" x14ac:dyDescent="0.15">
      <c r="A1467" t="s">
        <v>297</v>
      </c>
      <c r="B1467" t="s">
        <v>130</v>
      </c>
      <c r="C1467" t="s">
        <v>1877</v>
      </c>
    </row>
    <row r="1468" spans="1:3" x14ac:dyDescent="0.15">
      <c r="A1468" t="s">
        <v>297</v>
      </c>
      <c r="B1468" t="s">
        <v>131</v>
      </c>
      <c r="C1468" t="s">
        <v>1860</v>
      </c>
    </row>
    <row r="1469" spans="1:3" x14ac:dyDescent="0.15">
      <c r="A1469" t="s">
        <v>297</v>
      </c>
      <c r="B1469" t="s">
        <v>131</v>
      </c>
      <c r="C1469" t="s">
        <v>1861</v>
      </c>
    </row>
    <row r="1470" spans="1:3" x14ac:dyDescent="0.15">
      <c r="A1470" t="s">
        <v>297</v>
      </c>
      <c r="B1470" t="s">
        <v>131</v>
      </c>
      <c r="C1470" t="s">
        <v>1862</v>
      </c>
    </row>
    <row r="1471" spans="1:3" x14ac:dyDescent="0.15">
      <c r="A1471" t="s">
        <v>297</v>
      </c>
      <c r="B1471" t="s">
        <v>131</v>
      </c>
      <c r="C1471" t="s">
        <v>1863</v>
      </c>
    </row>
    <row r="1472" spans="1:3" x14ac:dyDescent="0.15">
      <c r="A1472" t="s">
        <v>297</v>
      </c>
      <c r="B1472" t="s">
        <v>131</v>
      </c>
      <c r="C1472" t="s">
        <v>1873</v>
      </c>
    </row>
    <row r="1473" spans="1:3" x14ac:dyDescent="0.15">
      <c r="A1473" t="s">
        <v>297</v>
      </c>
      <c r="B1473" t="s">
        <v>131</v>
      </c>
      <c r="C1473" t="s">
        <v>1876</v>
      </c>
    </row>
    <row r="1474" spans="1:3" x14ac:dyDescent="0.15">
      <c r="A1474" t="s">
        <v>297</v>
      </c>
      <c r="B1474" t="s">
        <v>131</v>
      </c>
      <c r="C1474" t="s">
        <v>1877</v>
      </c>
    </row>
    <row r="1475" spans="1:3" x14ac:dyDescent="0.15">
      <c r="A1475" t="s">
        <v>297</v>
      </c>
      <c r="B1475" t="s">
        <v>132</v>
      </c>
      <c r="C1475" t="s">
        <v>1860</v>
      </c>
    </row>
    <row r="1476" spans="1:3" x14ac:dyDescent="0.15">
      <c r="A1476" t="s">
        <v>297</v>
      </c>
      <c r="B1476" t="s">
        <v>132</v>
      </c>
      <c r="C1476" t="s">
        <v>1861</v>
      </c>
    </row>
    <row r="1477" spans="1:3" x14ac:dyDescent="0.15">
      <c r="A1477" t="s">
        <v>297</v>
      </c>
      <c r="B1477" t="s">
        <v>132</v>
      </c>
      <c r="C1477" t="s">
        <v>1862</v>
      </c>
    </row>
    <row r="1478" spans="1:3" x14ac:dyDescent="0.15">
      <c r="A1478" t="s">
        <v>297</v>
      </c>
      <c r="B1478" t="s">
        <v>132</v>
      </c>
      <c r="C1478" t="s">
        <v>1863</v>
      </c>
    </row>
    <row r="1479" spans="1:3" x14ac:dyDescent="0.15">
      <c r="A1479" t="s">
        <v>297</v>
      </c>
      <c r="B1479" t="s">
        <v>132</v>
      </c>
      <c r="C1479" t="s">
        <v>1873</v>
      </c>
    </row>
    <row r="1480" spans="1:3" x14ac:dyDescent="0.15">
      <c r="A1480" t="s">
        <v>297</v>
      </c>
      <c r="B1480" t="s">
        <v>132</v>
      </c>
      <c r="C1480" t="s">
        <v>1876</v>
      </c>
    </row>
    <row r="1481" spans="1:3" x14ac:dyDescent="0.15">
      <c r="A1481" t="s">
        <v>297</v>
      </c>
      <c r="B1481" t="s">
        <v>132</v>
      </c>
      <c r="C1481" t="s">
        <v>1877</v>
      </c>
    </row>
    <row r="1482" spans="1:3" x14ac:dyDescent="0.15">
      <c r="A1482" t="s">
        <v>297</v>
      </c>
      <c r="B1482" t="s">
        <v>133</v>
      </c>
      <c r="C1482" t="s">
        <v>1860</v>
      </c>
    </row>
    <row r="1483" spans="1:3" x14ac:dyDescent="0.15">
      <c r="A1483" t="s">
        <v>297</v>
      </c>
      <c r="B1483" t="s">
        <v>133</v>
      </c>
      <c r="C1483" t="s">
        <v>1861</v>
      </c>
    </row>
    <row r="1484" spans="1:3" x14ac:dyDescent="0.15">
      <c r="A1484" t="s">
        <v>297</v>
      </c>
      <c r="B1484" t="s">
        <v>133</v>
      </c>
      <c r="C1484" t="s">
        <v>1862</v>
      </c>
    </row>
    <row r="1485" spans="1:3" x14ac:dyDescent="0.15">
      <c r="A1485" t="s">
        <v>297</v>
      </c>
      <c r="B1485" t="s">
        <v>133</v>
      </c>
      <c r="C1485" t="s">
        <v>1863</v>
      </c>
    </row>
    <row r="1486" spans="1:3" x14ac:dyDescent="0.15">
      <c r="A1486" t="s">
        <v>297</v>
      </c>
      <c r="B1486" t="s">
        <v>133</v>
      </c>
      <c r="C1486" t="s">
        <v>1873</v>
      </c>
    </row>
    <row r="1487" spans="1:3" x14ac:dyDescent="0.15">
      <c r="A1487" t="s">
        <v>297</v>
      </c>
      <c r="B1487" t="s">
        <v>133</v>
      </c>
      <c r="C1487" t="s">
        <v>1876</v>
      </c>
    </row>
    <row r="1488" spans="1:3" x14ac:dyDescent="0.15">
      <c r="A1488" t="s">
        <v>297</v>
      </c>
      <c r="B1488" t="s">
        <v>133</v>
      </c>
      <c r="C1488" t="s">
        <v>1877</v>
      </c>
    </row>
    <row r="1489" spans="1:3" x14ac:dyDescent="0.15">
      <c r="A1489" t="s">
        <v>297</v>
      </c>
      <c r="B1489" t="s">
        <v>134</v>
      </c>
      <c r="C1489" t="s">
        <v>1860</v>
      </c>
    </row>
    <row r="1490" spans="1:3" x14ac:dyDescent="0.15">
      <c r="A1490" t="s">
        <v>297</v>
      </c>
      <c r="B1490" t="s">
        <v>134</v>
      </c>
      <c r="C1490" t="s">
        <v>1861</v>
      </c>
    </row>
    <row r="1491" spans="1:3" x14ac:dyDescent="0.15">
      <c r="A1491" t="s">
        <v>297</v>
      </c>
      <c r="B1491" t="s">
        <v>134</v>
      </c>
      <c r="C1491" t="s">
        <v>1862</v>
      </c>
    </row>
    <row r="1492" spans="1:3" x14ac:dyDescent="0.15">
      <c r="A1492" t="s">
        <v>297</v>
      </c>
      <c r="B1492" t="s">
        <v>134</v>
      </c>
      <c r="C1492" t="s">
        <v>1863</v>
      </c>
    </row>
    <row r="1493" spans="1:3" x14ac:dyDescent="0.15">
      <c r="A1493" t="s">
        <v>297</v>
      </c>
      <c r="B1493" t="s">
        <v>134</v>
      </c>
      <c r="C1493" t="s">
        <v>1873</v>
      </c>
    </row>
    <row r="1494" spans="1:3" x14ac:dyDescent="0.15">
      <c r="A1494" t="s">
        <v>297</v>
      </c>
      <c r="B1494" t="s">
        <v>134</v>
      </c>
      <c r="C1494" t="s">
        <v>1876</v>
      </c>
    </row>
    <row r="1495" spans="1:3" x14ac:dyDescent="0.15">
      <c r="A1495" t="s">
        <v>297</v>
      </c>
      <c r="B1495" t="s">
        <v>134</v>
      </c>
      <c r="C1495" t="s">
        <v>1877</v>
      </c>
    </row>
    <row r="1496" spans="1:3" x14ac:dyDescent="0.15">
      <c r="A1496" t="s">
        <v>297</v>
      </c>
      <c r="B1496" t="s">
        <v>135</v>
      </c>
      <c r="C1496" t="s">
        <v>1860</v>
      </c>
    </row>
    <row r="1497" spans="1:3" x14ac:dyDescent="0.15">
      <c r="A1497" t="s">
        <v>297</v>
      </c>
      <c r="B1497" t="s">
        <v>135</v>
      </c>
      <c r="C1497" t="s">
        <v>1861</v>
      </c>
    </row>
    <row r="1498" spans="1:3" x14ac:dyDescent="0.15">
      <c r="A1498" t="s">
        <v>297</v>
      </c>
      <c r="B1498" t="s">
        <v>135</v>
      </c>
      <c r="C1498" t="s">
        <v>1862</v>
      </c>
    </row>
    <row r="1499" spans="1:3" x14ac:dyDescent="0.15">
      <c r="A1499" t="s">
        <v>297</v>
      </c>
      <c r="B1499" t="s">
        <v>135</v>
      </c>
      <c r="C1499" t="s">
        <v>1863</v>
      </c>
    </row>
    <row r="1500" spans="1:3" x14ac:dyDescent="0.15">
      <c r="A1500" t="s">
        <v>297</v>
      </c>
      <c r="B1500" t="s">
        <v>135</v>
      </c>
      <c r="C1500" t="s">
        <v>1873</v>
      </c>
    </row>
    <row r="1501" spans="1:3" x14ac:dyDescent="0.15">
      <c r="A1501" t="s">
        <v>297</v>
      </c>
      <c r="B1501" t="s">
        <v>135</v>
      </c>
      <c r="C1501" t="s">
        <v>1876</v>
      </c>
    </row>
    <row r="1502" spans="1:3" x14ac:dyDescent="0.15">
      <c r="A1502" t="s">
        <v>297</v>
      </c>
      <c r="B1502" t="s">
        <v>135</v>
      </c>
      <c r="C1502" t="s">
        <v>1877</v>
      </c>
    </row>
    <row r="1503" spans="1:3" x14ac:dyDescent="0.15">
      <c r="A1503" t="s">
        <v>297</v>
      </c>
      <c r="B1503" t="s">
        <v>136</v>
      </c>
      <c r="C1503" t="s">
        <v>1860</v>
      </c>
    </row>
    <row r="1504" spans="1:3" x14ac:dyDescent="0.15">
      <c r="A1504" t="s">
        <v>297</v>
      </c>
      <c r="B1504" t="s">
        <v>136</v>
      </c>
      <c r="C1504" t="s">
        <v>1861</v>
      </c>
    </row>
    <row r="1505" spans="1:3" x14ac:dyDescent="0.15">
      <c r="A1505" t="s">
        <v>297</v>
      </c>
      <c r="B1505" t="s">
        <v>136</v>
      </c>
      <c r="C1505" t="s">
        <v>1862</v>
      </c>
    </row>
    <row r="1506" spans="1:3" x14ac:dyDescent="0.15">
      <c r="A1506" t="s">
        <v>297</v>
      </c>
      <c r="B1506" t="s">
        <v>136</v>
      </c>
      <c r="C1506" t="s">
        <v>1863</v>
      </c>
    </row>
    <row r="1507" spans="1:3" x14ac:dyDescent="0.15">
      <c r="A1507" t="s">
        <v>297</v>
      </c>
      <c r="B1507" t="s">
        <v>136</v>
      </c>
      <c r="C1507" t="s">
        <v>1873</v>
      </c>
    </row>
    <row r="1508" spans="1:3" x14ac:dyDescent="0.15">
      <c r="A1508" t="s">
        <v>297</v>
      </c>
      <c r="B1508" t="s">
        <v>136</v>
      </c>
      <c r="C1508" t="s">
        <v>1876</v>
      </c>
    </row>
    <row r="1509" spans="1:3" x14ac:dyDescent="0.15">
      <c r="A1509" t="s">
        <v>297</v>
      </c>
      <c r="B1509" t="s">
        <v>136</v>
      </c>
      <c r="C1509" t="s">
        <v>1877</v>
      </c>
    </row>
    <row r="1510" spans="1:3" x14ac:dyDescent="0.15">
      <c r="A1510" t="s">
        <v>297</v>
      </c>
      <c r="B1510" t="s">
        <v>137</v>
      </c>
      <c r="C1510" t="s">
        <v>1860</v>
      </c>
    </row>
    <row r="1511" spans="1:3" x14ac:dyDescent="0.15">
      <c r="A1511" t="s">
        <v>297</v>
      </c>
      <c r="B1511" t="s">
        <v>137</v>
      </c>
      <c r="C1511" t="s">
        <v>1861</v>
      </c>
    </row>
    <row r="1512" spans="1:3" x14ac:dyDescent="0.15">
      <c r="A1512" t="s">
        <v>297</v>
      </c>
      <c r="B1512" t="s">
        <v>137</v>
      </c>
      <c r="C1512" t="s">
        <v>1862</v>
      </c>
    </row>
    <row r="1513" spans="1:3" x14ac:dyDescent="0.15">
      <c r="A1513" t="s">
        <v>297</v>
      </c>
      <c r="B1513" t="s">
        <v>137</v>
      </c>
      <c r="C1513" t="s">
        <v>1863</v>
      </c>
    </row>
    <row r="1514" spans="1:3" x14ac:dyDescent="0.15">
      <c r="A1514" t="s">
        <v>297</v>
      </c>
      <c r="B1514" t="s">
        <v>137</v>
      </c>
      <c r="C1514" t="s">
        <v>1873</v>
      </c>
    </row>
    <row r="1515" spans="1:3" x14ac:dyDescent="0.15">
      <c r="A1515" t="s">
        <v>297</v>
      </c>
      <c r="B1515" t="s">
        <v>137</v>
      </c>
      <c r="C1515" t="s">
        <v>1876</v>
      </c>
    </row>
    <row r="1516" spans="1:3" x14ac:dyDescent="0.15">
      <c r="A1516" t="s">
        <v>297</v>
      </c>
      <c r="B1516" t="s">
        <v>137</v>
      </c>
      <c r="C1516" t="s">
        <v>1877</v>
      </c>
    </row>
    <row r="1517" spans="1:3" x14ac:dyDescent="0.15">
      <c r="A1517" t="s">
        <v>297</v>
      </c>
      <c r="B1517" t="s">
        <v>138</v>
      </c>
      <c r="C1517" t="s">
        <v>1860</v>
      </c>
    </row>
    <row r="1518" spans="1:3" x14ac:dyDescent="0.15">
      <c r="A1518" t="s">
        <v>297</v>
      </c>
      <c r="B1518" t="s">
        <v>138</v>
      </c>
      <c r="C1518" t="s">
        <v>1861</v>
      </c>
    </row>
    <row r="1519" spans="1:3" x14ac:dyDescent="0.15">
      <c r="A1519" t="s">
        <v>297</v>
      </c>
      <c r="B1519" t="s">
        <v>138</v>
      </c>
      <c r="C1519" t="s">
        <v>1862</v>
      </c>
    </row>
    <row r="1520" spans="1:3" x14ac:dyDescent="0.15">
      <c r="A1520" t="s">
        <v>297</v>
      </c>
      <c r="B1520" t="s">
        <v>138</v>
      </c>
      <c r="C1520" t="s">
        <v>1863</v>
      </c>
    </row>
    <row r="1521" spans="1:3" x14ac:dyDescent="0.15">
      <c r="A1521" t="s">
        <v>297</v>
      </c>
      <c r="B1521" t="s">
        <v>138</v>
      </c>
      <c r="C1521" t="s">
        <v>1873</v>
      </c>
    </row>
    <row r="1522" spans="1:3" x14ac:dyDescent="0.15">
      <c r="A1522" t="s">
        <v>297</v>
      </c>
      <c r="B1522" t="s">
        <v>138</v>
      </c>
      <c r="C1522" t="s">
        <v>1876</v>
      </c>
    </row>
    <row r="1523" spans="1:3" x14ac:dyDescent="0.15">
      <c r="A1523" t="s">
        <v>297</v>
      </c>
      <c r="B1523" t="s">
        <v>138</v>
      </c>
      <c r="C1523" t="s">
        <v>1877</v>
      </c>
    </row>
    <row r="1524" spans="1:3" x14ac:dyDescent="0.15">
      <c r="A1524" t="s">
        <v>297</v>
      </c>
      <c r="B1524" t="s">
        <v>139</v>
      </c>
      <c r="C1524" t="s">
        <v>1860</v>
      </c>
    </row>
    <row r="1525" spans="1:3" x14ac:dyDescent="0.15">
      <c r="A1525" t="s">
        <v>297</v>
      </c>
      <c r="B1525" t="s">
        <v>139</v>
      </c>
      <c r="C1525" t="s">
        <v>1861</v>
      </c>
    </row>
    <row r="1526" spans="1:3" x14ac:dyDescent="0.15">
      <c r="A1526" t="s">
        <v>297</v>
      </c>
      <c r="B1526" t="s">
        <v>139</v>
      </c>
      <c r="C1526" t="s">
        <v>1862</v>
      </c>
    </row>
    <row r="1527" spans="1:3" x14ac:dyDescent="0.15">
      <c r="A1527" t="s">
        <v>297</v>
      </c>
      <c r="B1527" t="s">
        <v>139</v>
      </c>
      <c r="C1527" t="s">
        <v>1863</v>
      </c>
    </row>
    <row r="1528" spans="1:3" x14ac:dyDescent="0.15">
      <c r="A1528" t="s">
        <v>297</v>
      </c>
      <c r="B1528" t="s">
        <v>139</v>
      </c>
      <c r="C1528" t="s">
        <v>1873</v>
      </c>
    </row>
    <row r="1529" spans="1:3" x14ac:dyDescent="0.15">
      <c r="A1529" t="s">
        <v>297</v>
      </c>
      <c r="B1529" t="s">
        <v>139</v>
      </c>
      <c r="C1529" t="s">
        <v>1876</v>
      </c>
    </row>
    <row r="1530" spans="1:3" x14ac:dyDescent="0.15">
      <c r="A1530" t="s">
        <v>297</v>
      </c>
      <c r="B1530" t="s">
        <v>139</v>
      </c>
      <c r="C1530" t="s">
        <v>1877</v>
      </c>
    </row>
    <row r="1531" spans="1:3" x14ac:dyDescent="0.15">
      <c r="A1531" t="s">
        <v>297</v>
      </c>
      <c r="B1531" t="s">
        <v>140</v>
      </c>
      <c r="C1531" t="s">
        <v>1860</v>
      </c>
    </row>
    <row r="1532" spans="1:3" x14ac:dyDescent="0.15">
      <c r="A1532" t="s">
        <v>297</v>
      </c>
      <c r="B1532" t="s">
        <v>140</v>
      </c>
      <c r="C1532" t="s">
        <v>1861</v>
      </c>
    </row>
    <row r="1533" spans="1:3" x14ac:dyDescent="0.15">
      <c r="A1533" t="s">
        <v>297</v>
      </c>
      <c r="B1533" t="s">
        <v>140</v>
      </c>
      <c r="C1533" t="s">
        <v>1862</v>
      </c>
    </row>
    <row r="1534" spans="1:3" x14ac:dyDescent="0.15">
      <c r="A1534" t="s">
        <v>297</v>
      </c>
      <c r="B1534" t="s">
        <v>140</v>
      </c>
      <c r="C1534" t="s">
        <v>1863</v>
      </c>
    </row>
    <row r="1535" spans="1:3" x14ac:dyDescent="0.15">
      <c r="A1535" t="s">
        <v>297</v>
      </c>
      <c r="B1535" t="s">
        <v>140</v>
      </c>
      <c r="C1535" t="s">
        <v>1873</v>
      </c>
    </row>
    <row r="1536" spans="1:3" x14ac:dyDescent="0.15">
      <c r="A1536" t="s">
        <v>297</v>
      </c>
      <c r="B1536" t="s">
        <v>140</v>
      </c>
      <c r="C1536" t="s">
        <v>1876</v>
      </c>
    </row>
    <row r="1537" spans="1:3" x14ac:dyDescent="0.15">
      <c r="A1537" t="s">
        <v>297</v>
      </c>
      <c r="B1537" t="s">
        <v>140</v>
      </c>
      <c r="C1537" t="s">
        <v>1877</v>
      </c>
    </row>
    <row r="1538" spans="1:3" x14ac:dyDescent="0.15">
      <c r="A1538" t="s">
        <v>297</v>
      </c>
      <c r="B1538" t="s">
        <v>140</v>
      </c>
      <c r="C1538" t="s">
        <v>1864</v>
      </c>
    </row>
    <row r="1539" spans="1:3" x14ac:dyDescent="0.15">
      <c r="A1539" t="s">
        <v>297</v>
      </c>
      <c r="B1539" t="s">
        <v>140</v>
      </c>
      <c r="C1539" t="s">
        <v>1874</v>
      </c>
    </row>
    <row r="1540" spans="1:3" x14ac:dyDescent="0.15">
      <c r="A1540" t="s">
        <v>297</v>
      </c>
      <c r="B1540" t="s">
        <v>141</v>
      </c>
      <c r="C1540" t="s">
        <v>1865</v>
      </c>
    </row>
    <row r="1541" spans="1:3" x14ac:dyDescent="0.15">
      <c r="A1541" t="s">
        <v>297</v>
      </c>
      <c r="B1541" t="s">
        <v>141</v>
      </c>
      <c r="C1541" t="s">
        <v>1866</v>
      </c>
    </row>
    <row r="1542" spans="1:3" x14ac:dyDescent="0.15">
      <c r="A1542" t="s">
        <v>297</v>
      </c>
      <c r="B1542" t="s">
        <v>141</v>
      </c>
      <c r="C1542" t="s">
        <v>1867</v>
      </c>
    </row>
    <row r="1543" spans="1:3" x14ac:dyDescent="0.15">
      <c r="A1543" t="s">
        <v>297</v>
      </c>
      <c r="B1543" t="s">
        <v>141</v>
      </c>
      <c r="C1543" t="s">
        <v>1868</v>
      </c>
    </row>
    <row r="1544" spans="1:3" x14ac:dyDescent="0.15">
      <c r="A1544" t="s">
        <v>297</v>
      </c>
      <c r="B1544" t="s">
        <v>141</v>
      </c>
      <c r="C1544" t="s">
        <v>1869</v>
      </c>
    </row>
    <row r="1545" spans="1:3" x14ac:dyDescent="0.15">
      <c r="A1545" t="s">
        <v>297</v>
      </c>
      <c r="B1545" t="s">
        <v>141</v>
      </c>
      <c r="C1545" t="s">
        <v>1870</v>
      </c>
    </row>
    <row r="1546" spans="1:3" x14ac:dyDescent="0.15">
      <c r="A1546" t="s">
        <v>297</v>
      </c>
      <c r="B1546" t="s">
        <v>141</v>
      </c>
      <c r="C1546" t="s">
        <v>1871</v>
      </c>
    </row>
    <row r="1547" spans="1:3" x14ac:dyDescent="0.15">
      <c r="A1547" t="s">
        <v>297</v>
      </c>
      <c r="B1547" t="s">
        <v>141</v>
      </c>
      <c r="C1547" t="s">
        <v>1872</v>
      </c>
    </row>
    <row r="1548" spans="1:3" x14ac:dyDescent="0.15">
      <c r="A1548" t="s">
        <v>297</v>
      </c>
      <c r="B1548" t="s">
        <v>142</v>
      </c>
      <c r="C1548" t="s">
        <v>1860</v>
      </c>
    </row>
    <row r="1549" spans="1:3" x14ac:dyDescent="0.15">
      <c r="A1549" t="s">
        <v>297</v>
      </c>
      <c r="B1549" t="s">
        <v>142</v>
      </c>
      <c r="C1549" t="s">
        <v>1861</v>
      </c>
    </row>
    <row r="1550" spans="1:3" x14ac:dyDescent="0.15">
      <c r="A1550" t="s">
        <v>297</v>
      </c>
      <c r="B1550" t="s">
        <v>142</v>
      </c>
      <c r="C1550" t="s">
        <v>1862</v>
      </c>
    </row>
    <row r="1551" spans="1:3" x14ac:dyDescent="0.15">
      <c r="A1551" t="s">
        <v>297</v>
      </c>
      <c r="B1551" t="s">
        <v>142</v>
      </c>
      <c r="C1551" t="s">
        <v>1863</v>
      </c>
    </row>
    <row r="1552" spans="1:3" x14ac:dyDescent="0.15">
      <c r="A1552" t="s">
        <v>297</v>
      </c>
      <c r="B1552" t="s">
        <v>142</v>
      </c>
      <c r="C1552" t="s">
        <v>1873</v>
      </c>
    </row>
    <row r="1553" spans="1:3" x14ac:dyDescent="0.15">
      <c r="A1553" t="s">
        <v>297</v>
      </c>
      <c r="B1553" t="s">
        <v>142</v>
      </c>
      <c r="C1553" t="s">
        <v>1876</v>
      </c>
    </row>
    <row r="1554" spans="1:3" x14ac:dyDescent="0.15">
      <c r="A1554" t="s">
        <v>297</v>
      </c>
      <c r="B1554" t="s">
        <v>142</v>
      </c>
      <c r="C1554" t="s">
        <v>1877</v>
      </c>
    </row>
    <row r="1555" spans="1:3" x14ac:dyDescent="0.15">
      <c r="A1555" t="s">
        <v>297</v>
      </c>
      <c r="B1555" t="s">
        <v>143</v>
      </c>
      <c r="C1555" t="s">
        <v>1860</v>
      </c>
    </row>
    <row r="1556" spans="1:3" x14ac:dyDescent="0.15">
      <c r="A1556" t="s">
        <v>297</v>
      </c>
      <c r="B1556" t="s">
        <v>143</v>
      </c>
      <c r="C1556" t="s">
        <v>1861</v>
      </c>
    </row>
    <row r="1557" spans="1:3" x14ac:dyDescent="0.15">
      <c r="A1557" t="s">
        <v>297</v>
      </c>
      <c r="B1557" t="s">
        <v>143</v>
      </c>
      <c r="C1557" t="s">
        <v>1862</v>
      </c>
    </row>
    <row r="1558" spans="1:3" x14ac:dyDescent="0.15">
      <c r="A1558" t="s">
        <v>297</v>
      </c>
      <c r="B1558" t="s">
        <v>143</v>
      </c>
      <c r="C1558" t="s">
        <v>1863</v>
      </c>
    </row>
    <row r="1559" spans="1:3" x14ac:dyDescent="0.15">
      <c r="A1559" t="s">
        <v>297</v>
      </c>
      <c r="B1559" t="s">
        <v>143</v>
      </c>
      <c r="C1559" t="s">
        <v>1873</v>
      </c>
    </row>
    <row r="1560" spans="1:3" x14ac:dyDescent="0.15">
      <c r="A1560" t="s">
        <v>297</v>
      </c>
      <c r="B1560" t="s">
        <v>143</v>
      </c>
      <c r="C1560" t="s">
        <v>1876</v>
      </c>
    </row>
    <row r="1561" spans="1:3" x14ac:dyDescent="0.15">
      <c r="A1561" t="s">
        <v>297</v>
      </c>
      <c r="B1561" t="s">
        <v>143</v>
      </c>
      <c r="C1561" t="s">
        <v>1877</v>
      </c>
    </row>
    <row r="1562" spans="1:3" x14ac:dyDescent="0.15">
      <c r="A1562" t="s">
        <v>297</v>
      </c>
      <c r="B1562" t="s">
        <v>144</v>
      </c>
      <c r="C1562" t="s">
        <v>1860</v>
      </c>
    </row>
    <row r="1563" spans="1:3" x14ac:dyDescent="0.15">
      <c r="A1563" t="s">
        <v>297</v>
      </c>
      <c r="B1563" t="s">
        <v>144</v>
      </c>
      <c r="C1563" t="s">
        <v>1861</v>
      </c>
    </row>
    <row r="1564" spans="1:3" x14ac:dyDescent="0.15">
      <c r="A1564" t="s">
        <v>297</v>
      </c>
      <c r="B1564" t="s">
        <v>144</v>
      </c>
      <c r="C1564" t="s">
        <v>1862</v>
      </c>
    </row>
    <row r="1565" spans="1:3" x14ac:dyDescent="0.15">
      <c r="A1565" t="s">
        <v>297</v>
      </c>
      <c r="B1565" t="s">
        <v>144</v>
      </c>
      <c r="C1565" t="s">
        <v>1863</v>
      </c>
    </row>
    <row r="1566" spans="1:3" x14ac:dyDescent="0.15">
      <c r="A1566" t="s">
        <v>297</v>
      </c>
      <c r="B1566" t="s">
        <v>144</v>
      </c>
      <c r="C1566" t="s">
        <v>1873</v>
      </c>
    </row>
    <row r="1567" spans="1:3" x14ac:dyDescent="0.15">
      <c r="A1567" t="s">
        <v>297</v>
      </c>
      <c r="B1567" t="s">
        <v>144</v>
      </c>
      <c r="C1567" t="s">
        <v>1876</v>
      </c>
    </row>
    <row r="1568" spans="1:3" x14ac:dyDescent="0.15">
      <c r="A1568" t="s">
        <v>297</v>
      </c>
      <c r="B1568" t="s">
        <v>144</v>
      </c>
      <c r="C1568" t="s">
        <v>1877</v>
      </c>
    </row>
    <row r="1569" spans="1:3" x14ac:dyDescent="0.15">
      <c r="A1569" t="s">
        <v>297</v>
      </c>
      <c r="B1569" t="s">
        <v>145</v>
      </c>
      <c r="C1569" t="s">
        <v>1860</v>
      </c>
    </row>
    <row r="1570" spans="1:3" x14ac:dyDescent="0.15">
      <c r="A1570" t="s">
        <v>297</v>
      </c>
      <c r="B1570" t="s">
        <v>145</v>
      </c>
      <c r="C1570" t="s">
        <v>1861</v>
      </c>
    </row>
    <row r="1571" spans="1:3" x14ac:dyDescent="0.15">
      <c r="A1571" t="s">
        <v>297</v>
      </c>
      <c r="B1571" t="s">
        <v>145</v>
      </c>
      <c r="C1571" t="s">
        <v>1862</v>
      </c>
    </row>
    <row r="1572" spans="1:3" x14ac:dyDescent="0.15">
      <c r="A1572" t="s">
        <v>297</v>
      </c>
      <c r="B1572" t="s">
        <v>145</v>
      </c>
      <c r="C1572" t="s">
        <v>1863</v>
      </c>
    </row>
    <row r="1573" spans="1:3" x14ac:dyDescent="0.15">
      <c r="A1573" t="s">
        <v>297</v>
      </c>
      <c r="B1573" t="s">
        <v>145</v>
      </c>
      <c r="C1573" t="s">
        <v>1873</v>
      </c>
    </row>
    <row r="1574" spans="1:3" x14ac:dyDescent="0.15">
      <c r="A1574" t="s">
        <v>297</v>
      </c>
      <c r="B1574" t="s">
        <v>145</v>
      </c>
      <c r="C1574" t="s">
        <v>1876</v>
      </c>
    </row>
    <row r="1575" spans="1:3" x14ac:dyDescent="0.15">
      <c r="A1575" t="s">
        <v>297</v>
      </c>
      <c r="B1575" t="s">
        <v>145</v>
      </c>
      <c r="C1575" t="s">
        <v>1877</v>
      </c>
    </row>
    <row r="1576" spans="1:3" x14ac:dyDescent="0.15">
      <c r="A1576" t="s">
        <v>297</v>
      </c>
      <c r="B1576" t="s">
        <v>146</v>
      </c>
      <c r="C1576" t="s">
        <v>1860</v>
      </c>
    </row>
    <row r="1577" spans="1:3" x14ac:dyDescent="0.15">
      <c r="A1577" t="s">
        <v>297</v>
      </c>
      <c r="B1577" t="s">
        <v>146</v>
      </c>
      <c r="C1577" t="s">
        <v>1861</v>
      </c>
    </row>
    <row r="1578" spans="1:3" x14ac:dyDescent="0.15">
      <c r="A1578" t="s">
        <v>297</v>
      </c>
      <c r="B1578" t="s">
        <v>146</v>
      </c>
      <c r="C1578" t="s">
        <v>1862</v>
      </c>
    </row>
    <row r="1579" spans="1:3" x14ac:dyDescent="0.15">
      <c r="A1579" t="s">
        <v>297</v>
      </c>
      <c r="B1579" t="s">
        <v>146</v>
      </c>
      <c r="C1579" t="s">
        <v>1863</v>
      </c>
    </row>
    <row r="1580" spans="1:3" x14ac:dyDescent="0.15">
      <c r="A1580" t="s">
        <v>297</v>
      </c>
      <c r="B1580" t="s">
        <v>146</v>
      </c>
      <c r="C1580" t="s">
        <v>1873</v>
      </c>
    </row>
    <row r="1581" spans="1:3" x14ac:dyDescent="0.15">
      <c r="A1581" t="s">
        <v>297</v>
      </c>
      <c r="B1581" t="s">
        <v>146</v>
      </c>
      <c r="C1581" t="s">
        <v>1876</v>
      </c>
    </row>
    <row r="1582" spans="1:3" x14ac:dyDescent="0.15">
      <c r="A1582" t="s">
        <v>297</v>
      </c>
      <c r="B1582" t="s">
        <v>146</v>
      </c>
      <c r="C1582" t="s">
        <v>1877</v>
      </c>
    </row>
    <row r="1583" spans="1:3" x14ac:dyDescent="0.15">
      <c r="A1583" t="s">
        <v>297</v>
      </c>
      <c r="B1583" t="s">
        <v>147</v>
      </c>
      <c r="C1583" t="s">
        <v>1860</v>
      </c>
    </row>
    <row r="1584" spans="1:3" x14ac:dyDescent="0.15">
      <c r="A1584" t="s">
        <v>297</v>
      </c>
      <c r="B1584" t="s">
        <v>147</v>
      </c>
      <c r="C1584" t="s">
        <v>1861</v>
      </c>
    </row>
    <row r="1585" spans="1:3" x14ac:dyDescent="0.15">
      <c r="A1585" t="s">
        <v>297</v>
      </c>
      <c r="B1585" t="s">
        <v>147</v>
      </c>
      <c r="C1585" t="s">
        <v>1862</v>
      </c>
    </row>
    <row r="1586" spans="1:3" x14ac:dyDescent="0.15">
      <c r="A1586" t="s">
        <v>297</v>
      </c>
      <c r="B1586" t="s">
        <v>147</v>
      </c>
      <c r="C1586" t="s">
        <v>1863</v>
      </c>
    </row>
    <row r="1587" spans="1:3" x14ac:dyDescent="0.15">
      <c r="A1587" t="s">
        <v>297</v>
      </c>
      <c r="B1587" t="s">
        <v>147</v>
      </c>
      <c r="C1587" t="s">
        <v>1873</v>
      </c>
    </row>
    <row r="1588" spans="1:3" x14ac:dyDescent="0.15">
      <c r="A1588" t="s">
        <v>297</v>
      </c>
      <c r="B1588" t="s">
        <v>147</v>
      </c>
      <c r="C1588" t="s">
        <v>1876</v>
      </c>
    </row>
    <row r="1589" spans="1:3" x14ac:dyDescent="0.15">
      <c r="A1589" t="s">
        <v>297</v>
      </c>
      <c r="B1589" t="s">
        <v>147</v>
      </c>
      <c r="C1589" t="s">
        <v>1877</v>
      </c>
    </row>
    <row r="1590" spans="1:3" x14ac:dyDescent="0.15">
      <c r="A1590" t="s">
        <v>297</v>
      </c>
      <c r="B1590" t="s">
        <v>148</v>
      </c>
      <c r="C1590" t="s">
        <v>1860</v>
      </c>
    </row>
    <row r="1591" spans="1:3" x14ac:dyDescent="0.15">
      <c r="A1591" t="s">
        <v>297</v>
      </c>
      <c r="B1591" t="s">
        <v>148</v>
      </c>
      <c r="C1591" t="s">
        <v>1861</v>
      </c>
    </row>
    <row r="1592" spans="1:3" x14ac:dyDescent="0.15">
      <c r="A1592" t="s">
        <v>297</v>
      </c>
      <c r="B1592" t="s">
        <v>148</v>
      </c>
      <c r="C1592" t="s">
        <v>1862</v>
      </c>
    </row>
    <row r="1593" spans="1:3" x14ac:dyDescent="0.15">
      <c r="A1593" t="s">
        <v>297</v>
      </c>
      <c r="B1593" t="s">
        <v>148</v>
      </c>
      <c r="C1593" t="s">
        <v>1863</v>
      </c>
    </row>
    <row r="1594" spans="1:3" x14ac:dyDescent="0.15">
      <c r="A1594" t="s">
        <v>297</v>
      </c>
      <c r="B1594" t="s">
        <v>148</v>
      </c>
      <c r="C1594" t="s">
        <v>1873</v>
      </c>
    </row>
    <row r="1595" spans="1:3" x14ac:dyDescent="0.15">
      <c r="A1595" t="s">
        <v>297</v>
      </c>
      <c r="B1595" t="s">
        <v>148</v>
      </c>
      <c r="C1595" t="s">
        <v>1876</v>
      </c>
    </row>
    <row r="1596" spans="1:3" x14ac:dyDescent="0.15">
      <c r="A1596" t="s">
        <v>297</v>
      </c>
      <c r="B1596" t="s">
        <v>148</v>
      </c>
      <c r="C1596" t="s">
        <v>1877</v>
      </c>
    </row>
    <row r="1597" spans="1:3" x14ac:dyDescent="0.15">
      <c r="A1597" t="s">
        <v>297</v>
      </c>
      <c r="B1597" t="s">
        <v>149</v>
      </c>
      <c r="C1597" t="s">
        <v>1860</v>
      </c>
    </row>
    <row r="1598" spans="1:3" x14ac:dyDescent="0.15">
      <c r="A1598" t="s">
        <v>297</v>
      </c>
      <c r="B1598" t="s">
        <v>149</v>
      </c>
      <c r="C1598" t="s">
        <v>1861</v>
      </c>
    </row>
    <row r="1599" spans="1:3" x14ac:dyDescent="0.15">
      <c r="A1599" t="s">
        <v>297</v>
      </c>
      <c r="B1599" t="s">
        <v>149</v>
      </c>
      <c r="C1599" t="s">
        <v>1862</v>
      </c>
    </row>
    <row r="1600" spans="1:3" x14ac:dyDescent="0.15">
      <c r="A1600" t="s">
        <v>297</v>
      </c>
      <c r="B1600" t="s">
        <v>149</v>
      </c>
      <c r="C1600" t="s">
        <v>1863</v>
      </c>
    </row>
    <row r="1601" spans="1:3" x14ac:dyDescent="0.15">
      <c r="A1601" t="s">
        <v>297</v>
      </c>
      <c r="B1601" t="s">
        <v>149</v>
      </c>
      <c r="C1601" t="s">
        <v>1873</v>
      </c>
    </row>
    <row r="1602" spans="1:3" x14ac:dyDescent="0.15">
      <c r="A1602" t="s">
        <v>297</v>
      </c>
      <c r="B1602" t="s">
        <v>149</v>
      </c>
      <c r="C1602" t="s">
        <v>1876</v>
      </c>
    </row>
    <row r="1603" spans="1:3" x14ac:dyDescent="0.15">
      <c r="A1603" t="s">
        <v>297</v>
      </c>
      <c r="B1603" t="s">
        <v>149</v>
      </c>
      <c r="C1603" t="s">
        <v>1877</v>
      </c>
    </row>
    <row r="1604" spans="1:3" x14ac:dyDescent="0.15">
      <c r="A1604" t="s">
        <v>297</v>
      </c>
      <c r="B1604" t="s">
        <v>150</v>
      </c>
      <c r="C1604" t="s">
        <v>1860</v>
      </c>
    </row>
    <row r="1605" spans="1:3" x14ac:dyDescent="0.15">
      <c r="A1605" t="s">
        <v>297</v>
      </c>
      <c r="B1605" t="s">
        <v>150</v>
      </c>
      <c r="C1605" t="s">
        <v>1861</v>
      </c>
    </row>
    <row r="1606" spans="1:3" x14ac:dyDescent="0.15">
      <c r="A1606" t="s">
        <v>297</v>
      </c>
      <c r="B1606" t="s">
        <v>150</v>
      </c>
      <c r="C1606" t="s">
        <v>1862</v>
      </c>
    </row>
    <row r="1607" spans="1:3" x14ac:dyDescent="0.15">
      <c r="A1607" t="s">
        <v>297</v>
      </c>
      <c r="B1607" t="s">
        <v>150</v>
      </c>
      <c r="C1607" t="s">
        <v>1863</v>
      </c>
    </row>
    <row r="1608" spans="1:3" x14ac:dyDescent="0.15">
      <c r="A1608" t="s">
        <v>297</v>
      </c>
      <c r="B1608" t="s">
        <v>150</v>
      </c>
      <c r="C1608" t="s">
        <v>1873</v>
      </c>
    </row>
    <row r="1609" spans="1:3" x14ac:dyDescent="0.15">
      <c r="A1609" t="s">
        <v>297</v>
      </c>
      <c r="B1609" t="s">
        <v>150</v>
      </c>
      <c r="C1609" t="s">
        <v>1876</v>
      </c>
    </row>
    <row r="1610" spans="1:3" x14ac:dyDescent="0.15">
      <c r="A1610" t="s">
        <v>297</v>
      </c>
      <c r="B1610" t="s">
        <v>150</v>
      </c>
      <c r="C1610" t="s">
        <v>1877</v>
      </c>
    </row>
    <row r="1611" spans="1:3" x14ac:dyDescent="0.15">
      <c r="A1611" t="s">
        <v>297</v>
      </c>
      <c r="B1611" t="s">
        <v>151</v>
      </c>
      <c r="C1611" t="s">
        <v>1860</v>
      </c>
    </row>
    <row r="1612" spans="1:3" x14ac:dyDescent="0.15">
      <c r="A1612" t="s">
        <v>297</v>
      </c>
      <c r="B1612" t="s">
        <v>151</v>
      </c>
      <c r="C1612" t="s">
        <v>1861</v>
      </c>
    </row>
    <row r="1613" spans="1:3" x14ac:dyDescent="0.15">
      <c r="A1613" t="s">
        <v>297</v>
      </c>
      <c r="B1613" t="s">
        <v>151</v>
      </c>
      <c r="C1613" t="s">
        <v>1862</v>
      </c>
    </row>
    <row r="1614" spans="1:3" x14ac:dyDescent="0.15">
      <c r="A1614" t="s">
        <v>297</v>
      </c>
      <c r="B1614" t="s">
        <v>151</v>
      </c>
      <c r="C1614" t="s">
        <v>1863</v>
      </c>
    </row>
    <row r="1615" spans="1:3" x14ac:dyDescent="0.15">
      <c r="A1615" t="s">
        <v>297</v>
      </c>
      <c r="B1615" t="s">
        <v>151</v>
      </c>
      <c r="C1615" t="s">
        <v>1873</v>
      </c>
    </row>
    <row r="1616" spans="1:3" x14ac:dyDescent="0.15">
      <c r="A1616" t="s">
        <v>297</v>
      </c>
      <c r="B1616" t="s">
        <v>151</v>
      </c>
      <c r="C1616" t="s">
        <v>1876</v>
      </c>
    </row>
    <row r="1617" spans="1:3" x14ac:dyDescent="0.15">
      <c r="A1617" t="s">
        <v>297</v>
      </c>
      <c r="B1617" t="s">
        <v>151</v>
      </c>
      <c r="C1617" t="s">
        <v>1877</v>
      </c>
    </row>
    <row r="1618" spans="1:3" x14ac:dyDescent="0.15">
      <c r="A1618" t="s">
        <v>297</v>
      </c>
      <c r="B1618" t="s">
        <v>152</v>
      </c>
      <c r="C1618" t="s">
        <v>1860</v>
      </c>
    </row>
    <row r="1619" spans="1:3" x14ac:dyDescent="0.15">
      <c r="A1619" t="s">
        <v>297</v>
      </c>
      <c r="B1619" t="s">
        <v>152</v>
      </c>
      <c r="C1619" t="s">
        <v>1861</v>
      </c>
    </row>
    <row r="1620" spans="1:3" x14ac:dyDescent="0.15">
      <c r="A1620" t="s">
        <v>297</v>
      </c>
      <c r="B1620" t="s">
        <v>152</v>
      </c>
      <c r="C1620" t="s">
        <v>1862</v>
      </c>
    </row>
    <row r="1621" spans="1:3" x14ac:dyDescent="0.15">
      <c r="A1621" t="s">
        <v>297</v>
      </c>
      <c r="B1621" t="s">
        <v>152</v>
      </c>
      <c r="C1621" t="s">
        <v>1863</v>
      </c>
    </row>
    <row r="1622" spans="1:3" x14ac:dyDescent="0.15">
      <c r="A1622" t="s">
        <v>297</v>
      </c>
      <c r="B1622" t="s">
        <v>152</v>
      </c>
      <c r="C1622" t="s">
        <v>1873</v>
      </c>
    </row>
    <row r="1623" spans="1:3" x14ac:dyDescent="0.15">
      <c r="A1623" t="s">
        <v>297</v>
      </c>
      <c r="B1623" t="s">
        <v>152</v>
      </c>
      <c r="C1623" t="s">
        <v>1876</v>
      </c>
    </row>
    <row r="1624" spans="1:3" x14ac:dyDescent="0.15">
      <c r="A1624" t="s">
        <v>297</v>
      </c>
      <c r="B1624" t="s">
        <v>152</v>
      </c>
      <c r="C1624" t="s">
        <v>1877</v>
      </c>
    </row>
    <row r="1625" spans="1:3" x14ac:dyDescent="0.15">
      <c r="A1625" t="s">
        <v>297</v>
      </c>
      <c r="B1625" t="s">
        <v>153</v>
      </c>
      <c r="C1625" t="s">
        <v>1860</v>
      </c>
    </row>
    <row r="1626" spans="1:3" x14ac:dyDescent="0.15">
      <c r="A1626" t="s">
        <v>297</v>
      </c>
      <c r="B1626" t="s">
        <v>153</v>
      </c>
      <c r="C1626" t="s">
        <v>1861</v>
      </c>
    </row>
    <row r="1627" spans="1:3" x14ac:dyDescent="0.15">
      <c r="A1627" t="s">
        <v>297</v>
      </c>
      <c r="B1627" t="s">
        <v>153</v>
      </c>
      <c r="C1627" t="s">
        <v>1862</v>
      </c>
    </row>
    <row r="1628" spans="1:3" x14ac:dyDescent="0.15">
      <c r="A1628" t="s">
        <v>297</v>
      </c>
      <c r="B1628" t="s">
        <v>153</v>
      </c>
      <c r="C1628" t="s">
        <v>1863</v>
      </c>
    </row>
    <row r="1629" spans="1:3" x14ac:dyDescent="0.15">
      <c r="A1629" t="s">
        <v>297</v>
      </c>
      <c r="B1629" t="s">
        <v>153</v>
      </c>
      <c r="C1629" t="s">
        <v>1873</v>
      </c>
    </row>
    <row r="1630" spans="1:3" x14ac:dyDescent="0.15">
      <c r="A1630" t="s">
        <v>297</v>
      </c>
      <c r="B1630" t="s">
        <v>153</v>
      </c>
      <c r="C1630" t="s">
        <v>1876</v>
      </c>
    </row>
    <row r="1631" spans="1:3" x14ac:dyDescent="0.15">
      <c r="A1631" t="s">
        <v>297</v>
      </c>
      <c r="B1631" t="s">
        <v>153</v>
      </c>
      <c r="C1631" t="s">
        <v>1877</v>
      </c>
    </row>
    <row r="1632" spans="1:3" x14ac:dyDescent="0.15">
      <c r="A1632" t="s">
        <v>297</v>
      </c>
      <c r="B1632" t="s">
        <v>154</v>
      </c>
      <c r="C1632" t="s">
        <v>1860</v>
      </c>
    </row>
    <row r="1633" spans="1:3" x14ac:dyDescent="0.15">
      <c r="A1633" t="s">
        <v>297</v>
      </c>
      <c r="B1633" t="s">
        <v>154</v>
      </c>
      <c r="C1633" t="s">
        <v>1861</v>
      </c>
    </row>
    <row r="1634" spans="1:3" x14ac:dyDescent="0.15">
      <c r="A1634" t="s">
        <v>297</v>
      </c>
      <c r="B1634" t="s">
        <v>154</v>
      </c>
      <c r="C1634" t="s">
        <v>1862</v>
      </c>
    </row>
    <row r="1635" spans="1:3" x14ac:dyDescent="0.15">
      <c r="A1635" t="s">
        <v>297</v>
      </c>
      <c r="B1635" t="s">
        <v>154</v>
      </c>
      <c r="C1635" t="s">
        <v>1863</v>
      </c>
    </row>
    <row r="1636" spans="1:3" x14ac:dyDescent="0.15">
      <c r="A1636" t="s">
        <v>297</v>
      </c>
      <c r="B1636" t="s">
        <v>154</v>
      </c>
      <c r="C1636" t="s">
        <v>1873</v>
      </c>
    </row>
    <row r="1637" spans="1:3" x14ac:dyDescent="0.15">
      <c r="A1637" t="s">
        <v>297</v>
      </c>
      <c r="B1637" t="s">
        <v>154</v>
      </c>
      <c r="C1637" t="s">
        <v>1876</v>
      </c>
    </row>
    <row r="1638" spans="1:3" x14ac:dyDescent="0.15">
      <c r="A1638" t="s">
        <v>297</v>
      </c>
      <c r="B1638" t="s">
        <v>154</v>
      </c>
      <c r="C1638" t="s">
        <v>1877</v>
      </c>
    </row>
    <row r="1639" spans="1:3" x14ac:dyDescent="0.15">
      <c r="A1639" t="s">
        <v>297</v>
      </c>
      <c r="B1639" t="s">
        <v>155</v>
      </c>
      <c r="C1639" t="s">
        <v>1860</v>
      </c>
    </row>
    <row r="1640" spans="1:3" x14ac:dyDescent="0.15">
      <c r="A1640" t="s">
        <v>297</v>
      </c>
      <c r="B1640" t="s">
        <v>155</v>
      </c>
      <c r="C1640" t="s">
        <v>1861</v>
      </c>
    </row>
    <row r="1641" spans="1:3" x14ac:dyDescent="0.15">
      <c r="A1641" t="s">
        <v>297</v>
      </c>
      <c r="B1641" t="s">
        <v>155</v>
      </c>
      <c r="C1641" t="s">
        <v>1862</v>
      </c>
    </row>
    <row r="1642" spans="1:3" x14ac:dyDescent="0.15">
      <c r="A1642" t="s">
        <v>297</v>
      </c>
      <c r="B1642" t="s">
        <v>155</v>
      </c>
      <c r="C1642" t="s">
        <v>1863</v>
      </c>
    </row>
    <row r="1643" spans="1:3" x14ac:dyDescent="0.15">
      <c r="A1643" t="s">
        <v>297</v>
      </c>
      <c r="B1643" t="s">
        <v>155</v>
      </c>
      <c r="C1643" t="s">
        <v>1873</v>
      </c>
    </row>
    <row r="1644" spans="1:3" x14ac:dyDescent="0.15">
      <c r="A1644" t="s">
        <v>297</v>
      </c>
      <c r="B1644" t="s">
        <v>155</v>
      </c>
      <c r="C1644" t="s">
        <v>1876</v>
      </c>
    </row>
    <row r="1645" spans="1:3" x14ac:dyDescent="0.15">
      <c r="A1645" t="s">
        <v>297</v>
      </c>
      <c r="B1645" t="s">
        <v>155</v>
      </c>
      <c r="C1645" t="s">
        <v>1877</v>
      </c>
    </row>
    <row r="1646" spans="1:3" x14ac:dyDescent="0.15">
      <c r="A1646" t="s">
        <v>297</v>
      </c>
      <c r="B1646" t="s">
        <v>156</v>
      </c>
      <c r="C1646" t="s">
        <v>1860</v>
      </c>
    </row>
    <row r="1647" spans="1:3" x14ac:dyDescent="0.15">
      <c r="A1647" t="s">
        <v>297</v>
      </c>
      <c r="B1647" t="s">
        <v>156</v>
      </c>
      <c r="C1647" t="s">
        <v>1861</v>
      </c>
    </row>
    <row r="1648" spans="1:3" x14ac:dyDescent="0.15">
      <c r="A1648" t="s">
        <v>297</v>
      </c>
      <c r="B1648" t="s">
        <v>156</v>
      </c>
      <c r="C1648" t="s">
        <v>1862</v>
      </c>
    </row>
    <row r="1649" spans="1:3" x14ac:dyDescent="0.15">
      <c r="A1649" t="s">
        <v>297</v>
      </c>
      <c r="B1649" t="s">
        <v>156</v>
      </c>
      <c r="C1649" t="s">
        <v>1863</v>
      </c>
    </row>
    <row r="1650" spans="1:3" x14ac:dyDescent="0.15">
      <c r="A1650" t="s">
        <v>297</v>
      </c>
      <c r="B1650" t="s">
        <v>156</v>
      </c>
      <c r="C1650" t="s">
        <v>1873</v>
      </c>
    </row>
    <row r="1651" spans="1:3" x14ac:dyDescent="0.15">
      <c r="A1651" t="s">
        <v>297</v>
      </c>
      <c r="B1651" t="s">
        <v>156</v>
      </c>
      <c r="C1651" t="s">
        <v>1876</v>
      </c>
    </row>
    <row r="1652" spans="1:3" x14ac:dyDescent="0.15">
      <c r="A1652" t="s">
        <v>297</v>
      </c>
      <c r="B1652" t="s">
        <v>156</v>
      </c>
      <c r="C1652" t="s">
        <v>1877</v>
      </c>
    </row>
    <row r="1653" spans="1:3" x14ac:dyDescent="0.15">
      <c r="A1653" t="s">
        <v>297</v>
      </c>
      <c r="B1653" t="s">
        <v>157</v>
      </c>
      <c r="C1653" t="s">
        <v>1860</v>
      </c>
    </row>
    <row r="1654" spans="1:3" x14ac:dyDescent="0.15">
      <c r="A1654" t="s">
        <v>297</v>
      </c>
      <c r="B1654" t="s">
        <v>157</v>
      </c>
      <c r="C1654" t="s">
        <v>1861</v>
      </c>
    </row>
    <row r="1655" spans="1:3" x14ac:dyDescent="0.15">
      <c r="A1655" t="s">
        <v>297</v>
      </c>
      <c r="B1655" t="s">
        <v>157</v>
      </c>
      <c r="C1655" t="s">
        <v>1862</v>
      </c>
    </row>
    <row r="1656" spans="1:3" x14ac:dyDescent="0.15">
      <c r="A1656" t="s">
        <v>297</v>
      </c>
      <c r="B1656" t="s">
        <v>157</v>
      </c>
      <c r="C1656" t="s">
        <v>1863</v>
      </c>
    </row>
    <row r="1657" spans="1:3" x14ac:dyDescent="0.15">
      <c r="A1657" t="s">
        <v>297</v>
      </c>
      <c r="B1657" t="s">
        <v>157</v>
      </c>
      <c r="C1657" t="s">
        <v>1873</v>
      </c>
    </row>
    <row r="1658" spans="1:3" x14ac:dyDescent="0.15">
      <c r="A1658" t="s">
        <v>297</v>
      </c>
      <c r="B1658" t="s">
        <v>157</v>
      </c>
      <c r="C1658" t="s">
        <v>1876</v>
      </c>
    </row>
    <row r="1659" spans="1:3" x14ac:dyDescent="0.15">
      <c r="A1659" t="s">
        <v>297</v>
      </c>
      <c r="B1659" t="s">
        <v>157</v>
      </c>
      <c r="C1659" t="s">
        <v>1877</v>
      </c>
    </row>
    <row r="1660" spans="1:3" x14ac:dyDescent="0.15">
      <c r="A1660" t="s">
        <v>297</v>
      </c>
      <c r="B1660" t="s">
        <v>158</v>
      </c>
      <c r="C1660" t="s">
        <v>1860</v>
      </c>
    </row>
    <row r="1661" spans="1:3" x14ac:dyDescent="0.15">
      <c r="A1661" t="s">
        <v>297</v>
      </c>
      <c r="B1661" t="s">
        <v>158</v>
      </c>
      <c r="C1661" t="s">
        <v>1861</v>
      </c>
    </row>
    <row r="1662" spans="1:3" x14ac:dyDescent="0.15">
      <c r="A1662" t="s">
        <v>297</v>
      </c>
      <c r="B1662" t="s">
        <v>158</v>
      </c>
      <c r="C1662" t="s">
        <v>1862</v>
      </c>
    </row>
    <row r="1663" spans="1:3" x14ac:dyDescent="0.15">
      <c r="A1663" t="s">
        <v>297</v>
      </c>
      <c r="B1663" t="s">
        <v>158</v>
      </c>
      <c r="C1663" t="s">
        <v>1863</v>
      </c>
    </row>
    <row r="1664" spans="1:3" x14ac:dyDescent="0.15">
      <c r="A1664" t="s">
        <v>297</v>
      </c>
      <c r="B1664" t="s">
        <v>158</v>
      </c>
      <c r="C1664" t="s">
        <v>1873</v>
      </c>
    </row>
    <row r="1665" spans="1:3" x14ac:dyDescent="0.15">
      <c r="A1665" t="s">
        <v>297</v>
      </c>
      <c r="B1665" t="s">
        <v>158</v>
      </c>
      <c r="C1665" t="s">
        <v>1876</v>
      </c>
    </row>
    <row r="1666" spans="1:3" x14ac:dyDescent="0.15">
      <c r="A1666" t="s">
        <v>297</v>
      </c>
      <c r="B1666" t="s">
        <v>158</v>
      </c>
      <c r="C1666" t="s">
        <v>1877</v>
      </c>
    </row>
    <row r="1667" spans="1:3" x14ac:dyDescent="0.15">
      <c r="A1667" t="s">
        <v>297</v>
      </c>
      <c r="B1667" t="s">
        <v>158</v>
      </c>
      <c r="C1667" t="s">
        <v>1874</v>
      </c>
    </row>
    <row r="1668" spans="1:3" x14ac:dyDescent="0.15">
      <c r="A1668" t="s">
        <v>297</v>
      </c>
      <c r="B1668" t="s">
        <v>158</v>
      </c>
      <c r="C1668" t="s">
        <v>1875</v>
      </c>
    </row>
    <row r="1669" spans="1:3" x14ac:dyDescent="0.15">
      <c r="A1669" t="s">
        <v>297</v>
      </c>
      <c r="B1669" t="s">
        <v>159</v>
      </c>
      <c r="C1669" t="s">
        <v>1860</v>
      </c>
    </row>
    <row r="1670" spans="1:3" x14ac:dyDescent="0.15">
      <c r="A1670" t="s">
        <v>297</v>
      </c>
      <c r="B1670" t="s">
        <v>159</v>
      </c>
      <c r="C1670" t="s">
        <v>1861</v>
      </c>
    </row>
    <row r="1671" spans="1:3" x14ac:dyDescent="0.15">
      <c r="A1671" t="s">
        <v>297</v>
      </c>
      <c r="B1671" t="s">
        <v>159</v>
      </c>
      <c r="C1671" t="s">
        <v>1862</v>
      </c>
    </row>
    <row r="1672" spans="1:3" x14ac:dyDescent="0.15">
      <c r="A1672" t="s">
        <v>297</v>
      </c>
      <c r="B1672" t="s">
        <v>159</v>
      </c>
      <c r="C1672" t="s">
        <v>1863</v>
      </c>
    </row>
    <row r="1673" spans="1:3" x14ac:dyDescent="0.15">
      <c r="A1673" t="s">
        <v>297</v>
      </c>
      <c r="B1673" t="s">
        <v>159</v>
      </c>
      <c r="C1673" t="s">
        <v>1873</v>
      </c>
    </row>
    <row r="1674" spans="1:3" x14ac:dyDescent="0.15">
      <c r="A1674" t="s">
        <v>297</v>
      </c>
      <c r="B1674" t="s">
        <v>159</v>
      </c>
      <c r="C1674" t="s">
        <v>1876</v>
      </c>
    </row>
    <row r="1675" spans="1:3" x14ac:dyDescent="0.15">
      <c r="A1675" t="s">
        <v>297</v>
      </c>
      <c r="B1675" t="s">
        <v>159</v>
      </c>
      <c r="C1675" t="s">
        <v>1877</v>
      </c>
    </row>
    <row r="1676" spans="1:3" x14ac:dyDescent="0.15">
      <c r="A1676" t="s">
        <v>309</v>
      </c>
      <c r="B1676" t="s">
        <v>96</v>
      </c>
      <c r="C1676" t="s">
        <v>1880</v>
      </c>
    </row>
    <row r="1677" spans="1:3" x14ac:dyDescent="0.15">
      <c r="A1677" t="s">
        <v>309</v>
      </c>
      <c r="B1677" t="s">
        <v>96</v>
      </c>
      <c r="C1677" t="s">
        <v>1881</v>
      </c>
    </row>
    <row r="1678" spans="1:3" x14ac:dyDescent="0.15">
      <c r="A1678" t="s">
        <v>309</v>
      </c>
      <c r="B1678" t="s">
        <v>96</v>
      </c>
      <c r="C1678" t="s">
        <v>1882</v>
      </c>
    </row>
    <row r="1679" spans="1:3" x14ac:dyDescent="0.15">
      <c r="A1679" t="s">
        <v>309</v>
      </c>
      <c r="B1679" t="s">
        <v>96</v>
      </c>
      <c r="C1679" t="s">
        <v>1883</v>
      </c>
    </row>
    <row r="1680" spans="1:3" x14ac:dyDescent="0.15">
      <c r="A1680" t="s">
        <v>309</v>
      </c>
      <c r="B1680" t="s">
        <v>96</v>
      </c>
      <c r="C1680" t="s">
        <v>1884</v>
      </c>
    </row>
    <row r="1681" spans="1:3" x14ac:dyDescent="0.15">
      <c r="A1681" t="s">
        <v>309</v>
      </c>
      <c r="B1681" t="s">
        <v>96</v>
      </c>
      <c r="C1681" t="s">
        <v>1885</v>
      </c>
    </row>
    <row r="1682" spans="1:3" x14ac:dyDescent="0.15">
      <c r="A1682" t="s">
        <v>309</v>
      </c>
      <c r="B1682" t="s">
        <v>20</v>
      </c>
      <c r="C1682" t="s">
        <v>1886</v>
      </c>
    </row>
    <row r="1683" spans="1:3" x14ac:dyDescent="0.15">
      <c r="A1683" t="s">
        <v>309</v>
      </c>
      <c r="B1683" t="s">
        <v>20</v>
      </c>
      <c r="C1683" t="s">
        <v>1887</v>
      </c>
    </row>
    <row r="1684" spans="1:3" x14ac:dyDescent="0.15">
      <c r="A1684" t="s">
        <v>309</v>
      </c>
      <c r="B1684" t="s">
        <v>20</v>
      </c>
      <c r="C1684" t="s">
        <v>1888</v>
      </c>
    </row>
    <row r="1685" spans="1:3" x14ac:dyDescent="0.15">
      <c r="A1685" t="s">
        <v>309</v>
      </c>
      <c r="B1685" t="s">
        <v>21</v>
      </c>
      <c r="C1685" t="s">
        <v>1889</v>
      </c>
    </row>
    <row r="1686" spans="1:3" x14ac:dyDescent="0.15">
      <c r="A1686" t="s">
        <v>309</v>
      </c>
      <c r="B1686" t="s">
        <v>1903</v>
      </c>
      <c r="C1686" t="s">
        <v>1890</v>
      </c>
    </row>
    <row r="1687" spans="1:3" x14ac:dyDescent="0.15">
      <c r="A1687" t="s">
        <v>309</v>
      </c>
      <c r="B1687" t="s">
        <v>1904</v>
      </c>
      <c r="C1687" t="s">
        <v>1891</v>
      </c>
    </row>
    <row r="1688" spans="1:3" x14ac:dyDescent="0.15">
      <c r="A1688" t="s">
        <v>309</v>
      </c>
      <c r="B1688" t="s">
        <v>1905</v>
      </c>
      <c r="C1688" t="s">
        <v>1892</v>
      </c>
    </row>
    <row r="1689" spans="1:3" x14ac:dyDescent="0.15">
      <c r="A1689" t="s">
        <v>309</v>
      </c>
      <c r="B1689" t="s">
        <v>1906</v>
      </c>
      <c r="C1689" t="s">
        <v>1893</v>
      </c>
    </row>
    <row r="1690" spans="1:3" x14ac:dyDescent="0.15">
      <c r="A1690" t="s">
        <v>309</v>
      </c>
      <c r="B1690" t="s">
        <v>1907</v>
      </c>
      <c r="C1690" t="s">
        <v>1894</v>
      </c>
    </row>
    <row r="1691" spans="1:3" x14ac:dyDescent="0.15">
      <c r="A1691" t="s">
        <v>309</v>
      </c>
      <c r="B1691" t="s">
        <v>1908</v>
      </c>
      <c r="C1691" t="s">
        <v>1895</v>
      </c>
    </row>
    <row r="1692" spans="1:3" x14ac:dyDescent="0.15">
      <c r="A1692" t="s">
        <v>309</v>
      </c>
      <c r="B1692" t="s">
        <v>1909</v>
      </c>
      <c r="C1692" t="s">
        <v>1896</v>
      </c>
    </row>
    <row r="1693" spans="1:3" x14ac:dyDescent="0.15">
      <c r="A1693" t="s">
        <v>309</v>
      </c>
      <c r="B1693" t="s">
        <v>1910</v>
      </c>
      <c r="C1693" t="s">
        <v>1897</v>
      </c>
    </row>
    <row r="1694" spans="1:3" x14ac:dyDescent="0.15">
      <c r="A1694" t="s">
        <v>309</v>
      </c>
      <c r="B1694" t="s">
        <v>22</v>
      </c>
      <c r="C1694" t="s">
        <v>1898</v>
      </c>
    </row>
    <row r="1695" spans="1:3" x14ac:dyDescent="0.15">
      <c r="A1695" t="s">
        <v>309</v>
      </c>
      <c r="B1695" t="s">
        <v>1911</v>
      </c>
      <c r="C1695" t="s">
        <v>1899</v>
      </c>
    </row>
    <row r="1696" spans="1:3" x14ac:dyDescent="0.15">
      <c r="A1696" t="s">
        <v>309</v>
      </c>
      <c r="B1696" t="s">
        <v>1912</v>
      </c>
      <c r="C1696" t="s">
        <v>1900</v>
      </c>
    </row>
    <row r="1697" spans="1:3" x14ac:dyDescent="0.15">
      <c r="A1697" t="s">
        <v>309</v>
      </c>
      <c r="B1697" t="s">
        <v>1913</v>
      </c>
      <c r="C1697" t="s">
        <v>1901</v>
      </c>
    </row>
    <row r="1698" spans="1:3" x14ac:dyDescent="0.15">
      <c r="A1698" t="s">
        <v>309</v>
      </c>
      <c r="B1698" t="s">
        <v>1914</v>
      </c>
      <c r="C1698" t="s">
        <v>1902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9F397-32E1-4921-9240-A6F8EAF11510}">
  <dimension ref="A1:C1785"/>
  <sheetViews>
    <sheetView tabSelected="1" topLeftCell="A1746" workbookViewId="0">
      <selection activeCell="H1766" sqref="H1766"/>
    </sheetView>
  </sheetViews>
  <sheetFormatPr defaultRowHeight="13.5" x14ac:dyDescent="0.15"/>
  <cols>
    <col min="1" max="1" width="6.75" customWidth="1"/>
    <col min="2" max="2" width="16.75" customWidth="1"/>
    <col min="3" max="3" width="60.5" bestFit="1" customWidth="1"/>
  </cols>
  <sheetData>
    <row r="1" spans="1:3" x14ac:dyDescent="0.15">
      <c r="A1" t="s">
        <v>2015</v>
      </c>
      <c r="B1" t="s">
        <v>1936</v>
      </c>
      <c r="C1" t="s">
        <v>1935</v>
      </c>
    </row>
    <row r="2" spans="1:3" x14ac:dyDescent="0.15">
      <c r="A2" t="s">
        <v>3394</v>
      </c>
    </row>
    <row r="3" spans="1:3" x14ac:dyDescent="0.15">
      <c r="A3">
        <v>0</v>
      </c>
      <c r="B3" t="s">
        <v>1937</v>
      </c>
      <c r="C3" t="s">
        <v>3402</v>
      </c>
    </row>
    <row r="4" spans="1:3" x14ac:dyDescent="0.15">
      <c r="A4">
        <v>1</v>
      </c>
      <c r="B4" t="s">
        <v>1937</v>
      </c>
      <c r="C4" t="s">
        <v>3403</v>
      </c>
    </row>
    <row r="5" spans="1:3" x14ac:dyDescent="0.15">
      <c r="A5">
        <v>2</v>
      </c>
      <c r="B5" t="s">
        <v>1937</v>
      </c>
      <c r="C5" t="s">
        <v>3404</v>
      </c>
    </row>
    <row r="6" spans="1:3" x14ac:dyDescent="0.15">
      <c r="A6" t="s">
        <v>3395</v>
      </c>
    </row>
    <row r="7" spans="1:3" x14ac:dyDescent="0.15">
      <c r="A7">
        <v>20001</v>
      </c>
      <c r="B7" t="s">
        <v>273</v>
      </c>
      <c r="C7" t="s">
        <v>2016</v>
      </c>
    </row>
    <row r="8" spans="1:3" x14ac:dyDescent="0.15">
      <c r="A8">
        <v>20002</v>
      </c>
      <c r="B8" t="s">
        <v>273</v>
      </c>
      <c r="C8" t="s">
        <v>2017</v>
      </c>
    </row>
    <row r="9" spans="1:3" x14ac:dyDescent="0.15">
      <c r="A9">
        <v>20003</v>
      </c>
      <c r="B9" t="s">
        <v>273</v>
      </c>
      <c r="C9" t="s">
        <v>2018</v>
      </c>
    </row>
    <row r="10" spans="1:3" x14ac:dyDescent="0.15">
      <c r="A10">
        <v>20004</v>
      </c>
      <c r="B10" t="s">
        <v>273</v>
      </c>
      <c r="C10" t="s">
        <v>2019</v>
      </c>
    </row>
    <row r="11" spans="1:3" x14ac:dyDescent="0.15">
      <c r="A11">
        <v>20005</v>
      </c>
      <c r="B11" t="s">
        <v>273</v>
      </c>
      <c r="C11" t="s">
        <v>2020</v>
      </c>
    </row>
    <row r="12" spans="1:3" x14ac:dyDescent="0.15">
      <c r="A12">
        <v>20006</v>
      </c>
      <c r="B12" t="s">
        <v>273</v>
      </c>
      <c r="C12" t="s">
        <v>2021</v>
      </c>
    </row>
    <row r="13" spans="1:3" x14ac:dyDescent="0.15">
      <c r="A13">
        <v>20007</v>
      </c>
      <c r="B13" t="s">
        <v>273</v>
      </c>
      <c r="C13" t="s">
        <v>2022</v>
      </c>
    </row>
    <row r="14" spans="1:3" x14ac:dyDescent="0.15">
      <c r="A14">
        <v>20008</v>
      </c>
      <c r="B14" t="s">
        <v>273</v>
      </c>
      <c r="C14" t="s">
        <v>2023</v>
      </c>
    </row>
    <row r="15" spans="1:3" x14ac:dyDescent="0.15">
      <c r="A15">
        <v>20009</v>
      </c>
      <c r="B15" t="s">
        <v>273</v>
      </c>
      <c r="C15" t="s">
        <v>2024</v>
      </c>
    </row>
    <row r="16" spans="1:3" x14ac:dyDescent="0.15">
      <c r="A16">
        <v>20010</v>
      </c>
      <c r="B16" t="s">
        <v>273</v>
      </c>
      <c r="C16" t="s">
        <v>2025</v>
      </c>
    </row>
    <row r="17" spans="1:3" x14ac:dyDescent="0.15">
      <c r="A17">
        <v>20011</v>
      </c>
      <c r="B17" t="s">
        <v>273</v>
      </c>
      <c r="C17" t="s">
        <v>2026</v>
      </c>
    </row>
    <row r="18" spans="1:3" x14ac:dyDescent="0.15">
      <c r="A18">
        <v>20012</v>
      </c>
      <c r="B18" t="s">
        <v>273</v>
      </c>
      <c r="C18" t="s">
        <v>2027</v>
      </c>
    </row>
    <row r="19" spans="1:3" x14ac:dyDescent="0.15">
      <c r="A19">
        <v>20013</v>
      </c>
      <c r="B19" t="s">
        <v>273</v>
      </c>
      <c r="C19" t="s">
        <v>2028</v>
      </c>
    </row>
    <row r="20" spans="1:3" x14ac:dyDescent="0.15">
      <c r="A20">
        <v>20014</v>
      </c>
      <c r="B20" t="s">
        <v>273</v>
      </c>
      <c r="C20" t="s">
        <v>2029</v>
      </c>
    </row>
    <row r="21" spans="1:3" x14ac:dyDescent="0.15">
      <c r="A21">
        <v>20015</v>
      </c>
      <c r="B21" t="s">
        <v>273</v>
      </c>
      <c r="C21" t="s">
        <v>2030</v>
      </c>
    </row>
    <row r="22" spans="1:3" x14ac:dyDescent="0.15">
      <c r="A22">
        <v>20016</v>
      </c>
      <c r="B22" t="s">
        <v>273</v>
      </c>
      <c r="C22" t="s">
        <v>2031</v>
      </c>
    </row>
    <row r="23" spans="1:3" x14ac:dyDescent="0.15">
      <c r="A23">
        <v>20017</v>
      </c>
      <c r="B23" t="s">
        <v>273</v>
      </c>
      <c r="C23" t="s">
        <v>2032</v>
      </c>
    </row>
    <row r="24" spans="1:3" x14ac:dyDescent="0.15">
      <c r="A24">
        <v>20018</v>
      </c>
      <c r="B24" t="s">
        <v>273</v>
      </c>
      <c r="C24" t="s">
        <v>2033</v>
      </c>
    </row>
    <row r="25" spans="1:3" x14ac:dyDescent="0.15">
      <c r="A25">
        <v>20019</v>
      </c>
      <c r="B25" t="s">
        <v>273</v>
      </c>
      <c r="C25" t="s">
        <v>2034</v>
      </c>
    </row>
    <row r="26" spans="1:3" x14ac:dyDescent="0.15">
      <c r="A26">
        <v>20020</v>
      </c>
      <c r="B26" t="s">
        <v>273</v>
      </c>
      <c r="C26" t="s">
        <v>2035</v>
      </c>
    </row>
    <row r="27" spans="1:3" x14ac:dyDescent="0.15">
      <c r="A27">
        <v>20021</v>
      </c>
      <c r="B27" t="s">
        <v>273</v>
      </c>
      <c r="C27" t="s">
        <v>2036</v>
      </c>
    </row>
    <row r="28" spans="1:3" x14ac:dyDescent="0.15">
      <c r="A28">
        <v>20022</v>
      </c>
      <c r="B28" t="s">
        <v>273</v>
      </c>
      <c r="C28" t="s">
        <v>2037</v>
      </c>
    </row>
    <row r="29" spans="1:3" x14ac:dyDescent="0.15">
      <c r="A29">
        <v>20023</v>
      </c>
      <c r="B29" t="s">
        <v>273</v>
      </c>
      <c r="C29" t="s">
        <v>2038</v>
      </c>
    </row>
    <row r="30" spans="1:3" x14ac:dyDescent="0.15">
      <c r="A30">
        <v>20024</v>
      </c>
      <c r="B30" t="s">
        <v>273</v>
      </c>
      <c r="C30" t="s">
        <v>2039</v>
      </c>
    </row>
    <row r="31" spans="1:3" x14ac:dyDescent="0.15">
      <c r="A31">
        <v>20025</v>
      </c>
      <c r="B31" t="s">
        <v>273</v>
      </c>
      <c r="C31" t="s">
        <v>2040</v>
      </c>
    </row>
    <row r="32" spans="1:3" x14ac:dyDescent="0.15">
      <c r="A32">
        <v>20026</v>
      </c>
      <c r="B32" t="s">
        <v>273</v>
      </c>
      <c r="C32" t="s">
        <v>2041</v>
      </c>
    </row>
    <row r="33" spans="1:3" x14ac:dyDescent="0.15">
      <c r="A33">
        <v>20027</v>
      </c>
      <c r="B33" t="s">
        <v>273</v>
      </c>
      <c r="C33" t="s">
        <v>2042</v>
      </c>
    </row>
    <row r="34" spans="1:3" x14ac:dyDescent="0.15">
      <c r="A34">
        <v>20028</v>
      </c>
      <c r="B34" t="s">
        <v>273</v>
      </c>
      <c r="C34" t="s">
        <v>2043</v>
      </c>
    </row>
    <row r="35" spans="1:3" x14ac:dyDescent="0.15">
      <c r="A35">
        <v>20029</v>
      </c>
      <c r="B35" t="s">
        <v>273</v>
      </c>
      <c r="C35" t="s">
        <v>2044</v>
      </c>
    </row>
    <row r="36" spans="1:3" x14ac:dyDescent="0.15">
      <c r="A36">
        <v>20030</v>
      </c>
      <c r="B36" t="s">
        <v>273</v>
      </c>
      <c r="C36" t="s">
        <v>2045</v>
      </c>
    </row>
    <row r="37" spans="1:3" x14ac:dyDescent="0.15">
      <c r="A37">
        <v>20031</v>
      </c>
      <c r="B37" t="s">
        <v>273</v>
      </c>
      <c r="C37" t="s">
        <v>2046</v>
      </c>
    </row>
    <row r="38" spans="1:3" x14ac:dyDescent="0.15">
      <c r="A38">
        <v>20032</v>
      </c>
      <c r="B38" t="s">
        <v>273</v>
      </c>
      <c r="C38" t="s">
        <v>2047</v>
      </c>
    </row>
    <row r="39" spans="1:3" x14ac:dyDescent="0.15">
      <c r="A39">
        <v>20033</v>
      </c>
      <c r="B39" t="s">
        <v>273</v>
      </c>
      <c r="C39" t="s">
        <v>2048</v>
      </c>
    </row>
    <row r="40" spans="1:3" x14ac:dyDescent="0.15">
      <c r="A40" t="s">
        <v>3396</v>
      </c>
    </row>
    <row r="41" spans="1:3" x14ac:dyDescent="0.15">
      <c r="A41">
        <v>30001</v>
      </c>
      <c r="B41" t="s">
        <v>292</v>
      </c>
      <c r="C41" t="s">
        <v>2049</v>
      </c>
    </row>
    <row r="42" spans="1:3" x14ac:dyDescent="0.15">
      <c r="A42">
        <v>30002</v>
      </c>
      <c r="B42" t="s">
        <v>292</v>
      </c>
      <c r="C42" t="s">
        <v>2050</v>
      </c>
    </row>
    <row r="43" spans="1:3" x14ac:dyDescent="0.15">
      <c r="A43">
        <v>30003</v>
      </c>
      <c r="B43" t="s">
        <v>292</v>
      </c>
      <c r="C43" t="s">
        <v>2051</v>
      </c>
    </row>
    <row r="44" spans="1:3" x14ac:dyDescent="0.15">
      <c r="A44">
        <v>30004</v>
      </c>
      <c r="B44" t="s">
        <v>292</v>
      </c>
      <c r="C44" t="s">
        <v>2052</v>
      </c>
    </row>
    <row r="45" spans="1:3" x14ac:dyDescent="0.15">
      <c r="A45">
        <v>30005</v>
      </c>
      <c r="B45" t="s">
        <v>292</v>
      </c>
      <c r="C45" t="s">
        <v>2053</v>
      </c>
    </row>
    <row r="46" spans="1:3" x14ac:dyDescent="0.15">
      <c r="A46">
        <v>30006</v>
      </c>
      <c r="B46" t="s">
        <v>292</v>
      </c>
      <c r="C46" t="s">
        <v>2054</v>
      </c>
    </row>
    <row r="47" spans="1:3" x14ac:dyDescent="0.15">
      <c r="A47">
        <v>30007</v>
      </c>
      <c r="B47" t="s">
        <v>292</v>
      </c>
      <c r="C47" t="s">
        <v>2055</v>
      </c>
    </row>
    <row r="48" spans="1:3" x14ac:dyDescent="0.15">
      <c r="A48">
        <v>30008</v>
      </c>
      <c r="B48" t="s">
        <v>292</v>
      </c>
      <c r="C48" t="s">
        <v>2056</v>
      </c>
    </row>
    <row r="49" spans="1:3" x14ac:dyDescent="0.15">
      <c r="A49">
        <v>30009</v>
      </c>
      <c r="B49" t="s">
        <v>292</v>
      </c>
      <c r="C49" t="s">
        <v>2057</v>
      </c>
    </row>
    <row r="50" spans="1:3" x14ac:dyDescent="0.15">
      <c r="A50">
        <v>30010</v>
      </c>
      <c r="B50" t="s">
        <v>292</v>
      </c>
      <c r="C50" t="s">
        <v>2058</v>
      </c>
    </row>
    <row r="51" spans="1:3" x14ac:dyDescent="0.15">
      <c r="A51">
        <v>30011</v>
      </c>
      <c r="B51" t="s">
        <v>292</v>
      </c>
      <c r="C51" t="s">
        <v>2059</v>
      </c>
    </row>
    <row r="52" spans="1:3" x14ac:dyDescent="0.15">
      <c r="A52">
        <v>30012</v>
      </c>
      <c r="B52" t="s">
        <v>292</v>
      </c>
      <c r="C52" t="s">
        <v>2060</v>
      </c>
    </row>
    <row r="53" spans="1:3" x14ac:dyDescent="0.15">
      <c r="A53">
        <v>30013</v>
      </c>
      <c r="B53" t="s">
        <v>292</v>
      </c>
      <c r="C53" t="s">
        <v>2061</v>
      </c>
    </row>
    <row r="54" spans="1:3" x14ac:dyDescent="0.15">
      <c r="A54">
        <v>30014</v>
      </c>
      <c r="B54" t="s">
        <v>292</v>
      </c>
      <c r="C54" t="s">
        <v>2062</v>
      </c>
    </row>
    <row r="55" spans="1:3" x14ac:dyDescent="0.15">
      <c r="A55">
        <v>30015</v>
      </c>
      <c r="B55" t="s">
        <v>292</v>
      </c>
      <c r="C55" t="s">
        <v>2063</v>
      </c>
    </row>
    <row r="56" spans="1:3" x14ac:dyDescent="0.15">
      <c r="A56">
        <v>30016</v>
      </c>
      <c r="B56" t="s">
        <v>292</v>
      </c>
      <c r="C56" t="s">
        <v>2064</v>
      </c>
    </row>
    <row r="57" spans="1:3" x14ac:dyDescent="0.15">
      <c r="A57">
        <v>30017</v>
      </c>
      <c r="B57" t="s">
        <v>292</v>
      </c>
      <c r="C57" t="s">
        <v>2065</v>
      </c>
    </row>
    <row r="58" spans="1:3" x14ac:dyDescent="0.15">
      <c r="A58">
        <v>30018</v>
      </c>
      <c r="B58" t="s">
        <v>292</v>
      </c>
      <c r="C58" t="s">
        <v>2066</v>
      </c>
    </row>
    <row r="59" spans="1:3" x14ac:dyDescent="0.15">
      <c r="A59">
        <v>30019</v>
      </c>
      <c r="B59" t="s">
        <v>292</v>
      </c>
      <c r="C59" t="s">
        <v>2067</v>
      </c>
    </row>
    <row r="60" spans="1:3" x14ac:dyDescent="0.15">
      <c r="A60">
        <v>30020</v>
      </c>
      <c r="B60" t="s">
        <v>292</v>
      </c>
      <c r="C60" t="s">
        <v>2068</v>
      </c>
    </row>
    <row r="61" spans="1:3" x14ac:dyDescent="0.15">
      <c r="A61">
        <v>30021</v>
      </c>
      <c r="B61" t="s">
        <v>292</v>
      </c>
      <c r="C61" t="s">
        <v>2069</v>
      </c>
    </row>
    <row r="62" spans="1:3" x14ac:dyDescent="0.15">
      <c r="A62">
        <v>30022</v>
      </c>
      <c r="B62" t="s">
        <v>292</v>
      </c>
      <c r="C62" t="s">
        <v>2070</v>
      </c>
    </row>
    <row r="63" spans="1:3" x14ac:dyDescent="0.15">
      <c r="A63" t="s">
        <v>3397</v>
      </c>
    </row>
    <row r="64" spans="1:3" x14ac:dyDescent="0.15">
      <c r="A64">
        <v>41001</v>
      </c>
      <c r="B64" t="s">
        <v>297</v>
      </c>
      <c r="C64" t="s">
        <v>3405</v>
      </c>
    </row>
    <row r="65" spans="1:3" x14ac:dyDescent="0.15">
      <c r="A65">
        <v>41002</v>
      </c>
      <c r="B65" t="s">
        <v>297</v>
      </c>
      <c r="C65" t="s">
        <v>3406</v>
      </c>
    </row>
    <row r="66" spans="1:3" x14ac:dyDescent="0.15">
      <c r="A66">
        <v>41003</v>
      </c>
      <c r="B66" t="s">
        <v>297</v>
      </c>
      <c r="C66" t="s">
        <v>3407</v>
      </c>
    </row>
    <row r="67" spans="1:3" x14ac:dyDescent="0.15">
      <c r="A67">
        <v>41004</v>
      </c>
      <c r="B67" t="s">
        <v>297</v>
      </c>
      <c r="C67" t="s">
        <v>3408</v>
      </c>
    </row>
    <row r="68" spans="1:3" x14ac:dyDescent="0.15">
      <c r="A68">
        <v>41005</v>
      </c>
      <c r="B68" t="s">
        <v>297</v>
      </c>
      <c r="C68" t="s">
        <v>3409</v>
      </c>
    </row>
    <row r="69" spans="1:3" x14ac:dyDescent="0.15">
      <c r="A69">
        <v>41006</v>
      </c>
      <c r="B69" t="s">
        <v>297</v>
      </c>
      <c r="C69" t="s">
        <v>3410</v>
      </c>
    </row>
    <row r="70" spans="1:3" x14ac:dyDescent="0.15">
      <c r="A70">
        <v>41007</v>
      </c>
      <c r="B70" t="s">
        <v>297</v>
      </c>
      <c r="C70" t="s">
        <v>3411</v>
      </c>
    </row>
    <row r="71" spans="1:3" x14ac:dyDescent="0.15">
      <c r="A71">
        <v>41008</v>
      </c>
      <c r="B71" t="s">
        <v>297</v>
      </c>
      <c r="C71" t="s">
        <v>3412</v>
      </c>
    </row>
    <row r="72" spans="1:3" x14ac:dyDescent="0.15">
      <c r="A72">
        <v>41009</v>
      </c>
      <c r="B72" t="s">
        <v>297</v>
      </c>
      <c r="C72" t="s">
        <v>3413</v>
      </c>
    </row>
    <row r="73" spans="1:3" x14ac:dyDescent="0.15">
      <c r="A73">
        <v>41010</v>
      </c>
      <c r="B73" t="s">
        <v>297</v>
      </c>
      <c r="C73" t="s">
        <v>3414</v>
      </c>
    </row>
    <row r="74" spans="1:3" x14ac:dyDescent="0.15">
      <c r="A74">
        <v>41011</v>
      </c>
      <c r="B74" t="s">
        <v>297</v>
      </c>
      <c r="C74" t="s">
        <v>3415</v>
      </c>
    </row>
    <row r="75" spans="1:3" x14ac:dyDescent="0.15">
      <c r="A75">
        <v>41012</v>
      </c>
      <c r="B75" t="s">
        <v>297</v>
      </c>
      <c r="C75" t="s">
        <v>3416</v>
      </c>
    </row>
    <row r="76" spans="1:3" x14ac:dyDescent="0.15">
      <c r="A76">
        <v>41013</v>
      </c>
      <c r="B76" t="s">
        <v>297</v>
      </c>
      <c r="C76" t="s">
        <v>3417</v>
      </c>
    </row>
    <row r="77" spans="1:3" x14ac:dyDescent="0.15">
      <c r="A77">
        <v>41014</v>
      </c>
      <c r="B77" t="s">
        <v>297</v>
      </c>
      <c r="C77" t="s">
        <v>3418</v>
      </c>
    </row>
    <row r="78" spans="1:3" x14ac:dyDescent="0.15">
      <c r="A78">
        <v>41015</v>
      </c>
      <c r="B78" t="s">
        <v>297</v>
      </c>
      <c r="C78" t="s">
        <v>3419</v>
      </c>
    </row>
    <row r="79" spans="1:3" x14ac:dyDescent="0.15">
      <c r="A79">
        <v>41016</v>
      </c>
      <c r="B79" t="s">
        <v>297</v>
      </c>
      <c r="C79" t="s">
        <v>3420</v>
      </c>
    </row>
    <row r="80" spans="1:3" x14ac:dyDescent="0.15">
      <c r="A80">
        <v>41017</v>
      </c>
      <c r="B80" t="s">
        <v>297</v>
      </c>
      <c r="C80" t="s">
        <v>3421</v>
      </c>
    </row>
    <row r="81" spans="1:3" x14ac:dyDescent="0.15">
      <c r="A81">
        <v>41018</v>
      </c>
      <c r="B81" t="s">
        <v>297</v>
      </c>
      <c r="C81" t="s">
        <v>3422</v>
      </c>
    </row>
    <row r="82" spans="1:3" x14ac:dyDescent="0.15">
      <c r="A82">
        <v>41019</v>
      </c>
      <c r="B82" t="s">
        <v>297</v>
      </c>
      <c r="C82" t="s">
        <v>3423</v>
      </c>
    </row>
    <row r="83" spans="1:3" x14ac:dyDescent="0.15">
      <c r="A83">
        <v>41020</v>
      </c>
      <c r="B83" t="s">
        <v>297</v>
      </c>
      <c r="C83" t="s">
        <v>3424</v>
      </c>
    </row>
    <row r="84" spans="1:3" x14ac:dyDescent="0.15">
      <c r="A84">
        <v>41021</v>
      </c>
      <c r="B84" t="s">
        <v>297</v>
      </c>
      <c r="C84" t="s">
        <v>3425</v>
      </c>
    </row>
    <row r="85" spans="1:3" x14ac:dyDescent="0.15">
      <c r="A85">
        <v>41022</v>
      </c>
      <c r="B85" t="s">
        <v>297</v>
      </c>
      <c r="C85" t="s">
        <v>3426</v>
      </c>
    </row>
    <row r="86" spans="1:3" x14ac:dyDescent="0.15">
      <c r="A86">
        <v>41023</v>
      </c>
      <c r="B86" t="s">
        <v>297</v>
      </c>
      <c r="C86" t="s">
        <v>3427</v>
      </c>
    </row>
    <row r="87" spans="1:3" x14ac:dyDescent="0.15">
      <c r="A87">
        <v>41024</v>
      </c>
      <c r="B87" t="s">
        <v>297</v>
      </c>
      <c r="C87" t="s">
        <v>3428</v>
      </c>
    </row>
    <row r="88" spans="1:3" x14ac:dyDescent="0.15">
      <c r="A88">
        <v>41025</v>
      </c>
      <c r="B88" t="s">
        <v>297</v>
      </c>
      <c r="C88" t="s">
        <v>3429</v>
      </c>
    </row>
    <row r="89" spans="1:3" x14ac:dyDescent="0.15">
      <c r="A89">
        <v>41026</v>
      </c>
      <c r="B89" t="s">
        <v>297</v>
      </c>
      <c r="C89" t="s">
        <v>3430</v>
      </c>
    </row>
    <row r="90" spans="1:3" x14ac:dyDescent="0.15">
      <c r="A90">
        <v>41027</v>
      </c>
      <c r="B90" t="s">
        <v>297</v>
      </c>
      <c r="C90" t="s">
        <v>3431</v>
      </c>
    </row>
    <row r="91" spans="1:3" x14ac:dyDescent="0.15">
      <c r="A91">
        <v>41028</v>
      </c>
      <c r="B91" t="s">
        <v>297</v>
      </c>
      <c r="C91" t="s">
        <v>3432</v>
      </c>
    </row>
    <row r="92" spans="1:3" x14ac:dyDescent="0.15">
      <c r="A92">
        <v>41029</v>
      </c>
      <c r="B92" t="s">
        <v>297</v>
      </c>
      <c r="C92" t="s">
        <v>3433</v>
      </c>
    </row>
    <row r="93" spans="1:3" x14ac:dyDescent="0.15">
      <c r="A93">
        <v>41030</v>
      </c>
      <c r="B93" t="s">
        <v>297</v>
      </c>
      <c r="C93" t="s">
        <v>3434</v>
      </c>
    </row>
    <row r="94" spans="1:3" x14ac:dyDescent="0.15">
      <c r="A94">
        <v>41031</v>
      </c>
      <c r="B94" t="s">
        <v>297</v>
      </c>
      <c r="C94" t="s">
        <v>3435</v>
      </c>
    </row>
    <row r="95" spans="1:3" x14ac:dyDescent="0.15">
      <c r="A95">
        <v>41032</v>
      </c>
      <c r="B95" t="s">
        <v>297</v>
      </c>
      <c r="C95" t="s">
        <v>3436</v>
      </c>
    </row>
    <row r="96" spans="1:3" x14ac:dyDescent="0.15">
      <c r="A96">
        <v>41033</v>
      </c>
      <c r="B96" t="s">
        <v>297</v>
      </c>
      <c r="C96" t="s">
        <v>3437</v>
      </c>
    </row>
    <row r="97" spans="1:3" x14ac:dyDescent="0.15">
      <c r="A97">
        <v>41034</v>
      </c>
      <c r="B97" t="s">
        <v>297</v>
      </c>
      <c r="C97" t="s">
        <v>3438</v>
      </c>
    </row>
    <row r="98" spans="1:3" x14ac:dyDescent="0.15">
      <c r="A98">
        <v>41035</v>
      </c>
      <c r="B98" t="s">
        <v>297</v>
      </c>
      <c r="C98" t="s">
        <v>3439</v>
      </c>
    </row>
    <row r="99" spans="1:3" x14ac:dyDescent="0.15">
      <c r="A99">
        <v>41036</v>
      </c>
      <c r="B99" t="s">
        <v>297</v>
      </c>
      <c r="C99" t="s">
        <v>3440</v>
      </c>
    </row>
    <row r="100" spans="1:3" x14ac:dyDescent="0.15">
      <c r="A100">
        <v>41037</v>
      </c>
      <c r="B100" t="s">
        <v>297</v>
      </c>
      <c r="C100" t="s">
        <v>3441</v>
      </c>
    </row>
    <row r="101" spans="1:3" x14ac:dyDescent="0.15">
      <c r="A101">
        <v>41038</v>
      </c>
      <c r="B101" t="s">
        <v>297</v>
      </c>
      <c r="C101" t="s">
        <v>3442</v>
      </c>
    </row>
    <row r="102" spans="1:3" x14ac:dyDescent="0.15">
      <c r="A102">
        <v>41039</v>
      </c>
      <c r="B102" t="s">
        <v>297</v>
      </c>
      <c r="C102" t="s">
        <v>3443</v>
      </c>
    </row>
    <row r="103" spans="1:3" x14ac:dyDescent="0.15">
      <c r="A103">
        <v>41040</v>
      </c>
      <c r="B103" t="s">
        <v>297</v>
      </c>
      <c r="C103" t="s">
        <v>3444</v>
      </c>
    </row>
    <row r="104" spans="1:3" x14ac:dyDescent="0.15">
      <c r="A104">
        <v>41041</v>
      </c>
      <c r="B104" t="s">
        <v>297</v>
      </c>
      <c r="C104" t="s">
        <v>3445</v>
      </c>
    </row>
    <row r="105" spans="1:3" x14ac:dyDescent="0.15">
      <c r="A105">
        <v>41042</v>
      </c>
      <c r="B105" t="s">
        <v>297</v>
      </c>
      <c r="C105" t="s">
        <v>3446</v>
      </c>
    </row>
    <row r="106" spans="1:3" x14ac:dyDescent="0.15">
      <c r="A106">
        <v>41043</v>
      </c>
      <c r="B106" t="s">
        <v>297</v>
      </c>
      <c r="C106" t="s">
        <v>3447</v>
      </c>
    </row>
    <row r="107" spans="1:3" x14ac:dyDescent="0.15">
      <c r="A107">
        <v>41044</v>
      </c>
      <c r="B107" t="s">
        <v>297</v>
      </c>
      <c r="C107" t="s">
        <v>3448</v>
      </c>
    </row>
    <row r="108" spans="1:3" x14ac:dyDescent="0.15">
      <c r="A108">
        <v>41045</v>
      </c>
      <c r="B108" t="s">
        <v>297</v>
      </c>
      <c r="C108" t="s">
        <v>3449</v>
      </c>
    </row>
    <row r="109" spans="1:3" x14ac:dyDescent="0.15">
      <c r="A109">
        <v>41046</v>
      </c>
      <c r="B109" t="s">
        <v>297</v>
      </c>
      <c r="C109" t="s">
        <v>3450</v>
      </c>
    </row>
    <row r="110" spans="1:3" x14ac:dyDescent="0.15">
      <c r="A110">
        <v>41047</v>
      </c>
      <c r="B110" t="s">
        <v>297</v>
      </c>
      <c r="C110" t="s">
        <v>3451</v>
      </c>
    </row>
    <row r="111" spans="1:3" x14ac:dyDescent="0.15">
      <c r="A111">
        <v>41048</v>
      </c>
      <c r="B111" t="s">
        <v>297</v>
      </c>
      <c r="C111" t="s">
        <v>3452</v>
      </c>
    </row>
    <row r="112" spans="1:3" x14ac:dyDescent="0.15">
      <c r="A112">
        <v>41049</v>
      </c>
      <c r="B112" t="s">
        <v>297</v>
      </c>
      <c r="C112" t="s">
        <v>3453</v>
      </c>
    </row>
    <row r="113" spans="1:3" x14ac:dyDescent="0.15">
      <c r="A113">
        <v>41050</v>
      </c>
      <c r="B113" t="s">
        <v>297</v>
      </c>
      <c r="C113" t="s">
        <v>3454</v>
      </c>
    </row>
    <row r="114" spans="1:3" x14ac:dyDescent="0.15">
      <c r="A114">
        <v>41051</v>
      </c>
      <c r="B114" t="s">
        <v>297</v>
      </c>
      <c r="C114" t="s">
        <v>3455</v>
      </c>
    </row>
    <row r="115" spans="1:3" x14ac:dyDescent="0.15">
      <c r="A115">
        <v>41052</v>
      </c>
      <c r="B115" t="s">
        <v>297</v>
      </c>
      <c r="C115" t="s">
        <v>3456</v>
      </c>
    </row>
    <row r="116" spans="1:3" x14ac:dyDescent="0.15">
      <c r="A116">
        <v>41053</v>
      </c>
      <c r="B116" t="s">
        <v>297</v>
      </c>
      <c r="C116" t="s">
        <v>3457</v>
      </c>
    </row>
    <row r="117" spans="1:3" x14ac:dyDescent="0.15">
      <c r="A117">
        <v>41054</v>
      </c>
      <c r="B117" t="s">
        <v>297</v>
      </c>
      <c r="C117" t="s">
        <v>3458</v>
      </c>
    </row>
    <row r="118" spans="1:3" x14ac:dyDescent="0.15">
      <c r="A118">
        <v>41055</v>
      </c>
      <c r="B118" t="s">
        <v>297</v>
      </c>
      <c r="C118" t="s">
        <v>3459</v>
      </c>
    </row>
    <row r="119" spans="1:3" x14ac:dyDescent="0.15">
      <c r="A119">
        <v>41056</v>
      </c>
      <c r="B119" t="s">
        <v>297</v>
      </c>
      <c r="C119" t="s">
        <v>3460</v>
      </c>
    </row>
    <row r="120" spans="1:3" x14ac:dyDescent="0.15">
      <c r="A120">
        <v>41057</v>
      </c>
      <c r="B120" t="s">
        <v>297</v>
      </c>
      <c r="C120" t="s">
        <v>3461</v>
      </c>
    </row>
    <row r="121" spans="1:3" x14ac:dyDescent="0.15">
      <c r="A121">
        <v>41058</v>
      </c>
      <c r="B121" t="s">
        <v>297</v>
      </c>
      <c r="C121" t="s">
        <v>3462</v>
      </c>
    </row>
    <row r="122" spans="1:3" x14ac:dyDescent="0.15">
      <c r="A122">
        <v>41059</v>
      </c>
      <c r="B122" t="s">
        <v>297</v>
      </c>
      <c r="C122" t="s">
        <v>3463</v>
      </c>
    </row>
    <row r="123" spans="1:3" x14ac:dyDescent="0.15">
      <c r="A123">
        <v>41060</v>
      </c>
      <c r="B123" t="s">
        <v>297</v>
      </c>
      <c r="C123" t="s">
        <v>3464</v>
      </c>
    </row>
    <row r="124" spans="1:3" x14ac:dyDescent="0.15">
      <c r="A124">
        <v>41061</v>
      </c>
      <c r="B124" t="s">
        <v>297</v>
      </c>
      <c r="C124" t="s">
        <v>3465</v>
      </c>
    </row>
    <row r="125" spans="1:3" x14ac:dyDescent="0.15">
      <c r="A125">
        <v>41062</v>
      </c>
      <c r="B125" t="s">
        <v>297</v>
      </c>
      <c r="C125" t="s">
        <v>3466</v>
      </c>
    </row>
    <row r="126" spans="1:3" x14ac:dyDescent="0.15">
      <c r="A126">
        <v>41063</v>
      </c>
      <c r="B126" t="s">
        <v>297</v>
      </c>
      <c r="C126" t="s">
        <v>3467</v>
      </c>
    </row>
    <row r="127" spans="1:3" x14ac:dyDescent="0.15">
      <c r="A127">
        <v>41064</v>
      </c>
      <c r="B127" t="s">
        <v>297</v>
      </c>
      <c r="C127" t="s">
        <v>3468</v>
      </c>
    </row>
    <row r="128" spans="1:3" x14ac:dyDescent="0.15">
      <c r="A128">
        <v>41065</v>
      </c>
      <c r="B128" t="s">
        <v>297</v>
      </c>
      <c r="C128" t="s">
        <v>3469</v>
      </c>
    </row>
    <row r="129" spans="1:3" x14ac:dyDescent="0.15">
      <c r="A129">
        <v>41066</v>
      </c>
      <c r="B129" t="s">
        <v>297</v>
      </c>
      <c r="C129" t="s">
        <v>3470</v>
      </c>
    </row>
    <row r="130" spans="1:3" x14ac:dyDescent="0.15">
      <c r="A130">
        <v>41067</v>
      </c>
      <c r="B130" t="s">
        <v>297</v>
      </c>
      <c r="C130" t="s">
        <v>3471</v>
      </c>
    </row>
    <row r="131" spans="1:3" x14ac:dyDescent="0.15">
      <c r="A131">
        <v>41068</v>
      </c>
      <c r="B131" t="s">
        <v>297</v>
      </c>
      <c r="C131" t="s">
        <v>3472</v>
      </c>
    </row>
    <row r="132" spans="1:3" x14ac:dyDescent="0.15">
      <c r="A132">
        <v>41069</v>
      </c>
      <c r="B132" t="s">
        <v>297</v>
      </c>
      <c r="C132" t="s">
        <v>3473</v>
      </c>
    </row>
    <row r="133" spans="1:3" x14ac:dyDescent="0.15">
      <c r="A133">
        <v>41070</v>
      </c>
      <c r="B133" t="s">
        <v>297</v>
      </c>
      <c r="C133" t="s">
        <v>3474</v>
      </c>
    </row>
    <row r="134" spans="1:3" x14ac:dyDescent="0.15">
      <c r="A134">
        <v>41071</v>
      </c>
      <c r="B134" t="s">
        <v>297</v>
      </c>
      <c r="C134" t="s">
        <v>3475</v>
      </c>
    </row>
    <row r="135" spans="1:3" x14ac:dyDescent="0.15">
      <c r="A135">
        <v>41072</v>
      </c>
      <c r="B135" t="s">
        <v>297</v>
      </c>
      <c r="C135" t="s">
        <v>3476</v>
      </c>
    </row>
    <row r="136" spans="1:3" x14ac:dyDescent="0.15">
      <c r="A136">
        <v>41073</v>
      </c>
      <c r="B136" t="s">
        <v>297</v>
      </c>
      <c r="C136" t="s">
        <v>3477</v>
      </c>
    </row>
    <row r="137" spans="1:3" x14ac:dyDescent="0.15">
      <c r="A137">
        <v>41074</v>
      </c>
      <c r="B137" t="s">
        <v>297</v>
      </c>
      <c r="C137" t="s">
        <v>3478</v>
      </c>
    </row>
    <row r="138" spans="1:3" x14ac:dyDescent="0.15">
      <c r="A138">
        <v>41075</v>
      </c>
      <c r="B138" t="s">
        <v>297</v>
      </c>
      <c r="C138" t="s">
        <v>3479</v>
      </c>
    </row>
    <row r="139" spans="1:3" x14ac:dyDescent="0.15">
      <c r="A139">
        <v>41076</v>
      </c>
      <c r="B139" t="s">
        <v>297</v>
      </c>
      <c r="C139" t="s">
        <v>3480</v>
      </c>
    </row>
    <row r="140" spans="1:3" x14ac:dyDescent="0.15">
      <c r="A140">
        <v>41077</v>
      </c>
      <c r="B140" t="s">
        <v>297</v>
      </c>
      <c r="C140" t="s">
        <v>3481</v>
      </c>
    </row>
    <row r="141" spans="1:3" x14ac:dyDescent="0.15">
      <c r="A141">
        <v>41078</v>
      </c>
      <c r="B141" t="s">
        <v>297</v>
      </c>
      <c r="C141" t="s">
        <v>3482</v>
      </c>
    </row>
    <row r="142" spans="1:3" x14ac:dyDescent="0.15">
      <c r="A142">
        <v>41079</v>
      </c>
      <c r="B142" t="s">
        <v>297</v>
      </c>
      <c r="C142" t="s">
        <v>3483</v>
      </c>
    </row>
    <row r="143" spans="1:3" x14ac:dyDescent="0.15">
      <c r="A143">
        <v>41080</v>
      </c>
      <c r="B143" t="s">
        <v>297</v>
      </c>
      <c r="C143" t="s">
        <v>3484</v>
      </c>
    </row>
    <row r="144" spans="1:3" x14ac:dyDescent="0.15">
      <c r="A144">
        <v>41081</v>
      </c>
      <c r="B144" t="s">
        <v>297</v>
      </c>
      <c r="C144" t="s">
        <v>3485</v>
      </c>
    </row>
    <row r="145" spans="1:3" x14ac:dyDescent="0.15">
      <c r="A145">
        <v>41082</v>
      </c>
      <c r="B145" t="s">
        <v>297</v>
      </c>
      <c r="C145" t="s">
        <v>3486</v>
      </c>
    </row>
    <row r="146" spans="1:3" x14ac:dyDescent="0.15">
      <c r="A146">
        <v>41083</v>
      </c>
      <c r="B146" t="s">
        <v>297</v>
      </c>
      <c r="C146" t="s">
        <v>3487</v>
      </c>
    </row>
    <row r="147" spans="1:3" x14ac:dyDescent="0.15">
      <c r="A147">
        <v>41084</v>
      </c>
      <c r="B147" t="s">
        <v>297</v>
      </c>
      <c r="C147" t="s">
        <v>3488</v>
      </c>
    </row>
    <row r="148" spans="1:3" x14ac:dyDescent="0.15">
      <c r="A148">
        <v>41085</v>
      </c>
      <c r="B148" t="s">
        <v>297</v>
      </c>
      <c r="C148" t="s">
        <v>3489</v>
      </c>
    </row>
    <row r="149" spans="1:3" x14ac:dyDescent="0.15">
      <c r="A149">
        <v>41086</v>
      </c>
      <c r="B149" t="s">
        <v>297</v>
      </c>
      <c r="C149" t="s">
        <v>3490</v>
      </c>
    </row>
    <row r="150" spans="1:3" x14ac:dyDescent="0.15">
      <c r="A150">
        <v>41087</v>
      </c>
      <c r="B150" t="s">
        <v>297</v>
      </c>
      <c r="C150" t="s">
        <v>3491</v>
      </c>
    </row>
    <row r="151" spans="1:3" x14ac:dyDescent="0.15">
      <c r="A151">
        <v>41088</v>
      </c>
      <c r="B151" t="s">
        <v>297</v>
      </c>
      <c r="C151" t="s">
        <v>3492</v>
      </c>
    </row>
    <row r="152" spans="1:3" x14ac:dyDescent="0.15">
      <c r="A152">
        <v>41089</v>
      </c>
      <c r="B152" t="s">
        <v>297</v>
      </c>
      <c r="C152" t="s">
        <v>3493</v>
      </c>
    </row>
    <row r="153" spans="1:3" x14ac:dyDescent="0.15">
      <c r="A153">
        <v>41090</v>
      </c>
      <c r="B153" t="s">
        <v>297</v>
      </c>
      <c r="C153" t="s">
        <v>3494</v>
      </c>
    </row>
    <row r="154" spans="1:3" x14ac:dyDescent="0.15">
      <c r="A154">
        <v>41091</v>
      </c>
      <c r="B154" t="s">
        <v>297</v>
      </c>
      <c r="C154" t="s">
        <v>3495</v>
      </c>
    </row>
    <row r="155" spans="1:3" x14ac:dyDescent="0.15">
      <c r="A155">
        <v>41092</v>
      </c>
      <c r="B155" t="s">
        <v>297</v>
      </c>
      <c r="C155" t="s">
        <v>3496</v>
      </c>
    </row>
    <row r="156" spans="1:3" x14ac:dyDescent="0.15">
      <c r="A156">
        <v>41093</v>
      </c>
      <c r="B156" t="s">
        <v>297</v>
      </c>
      <c r="C156" t="s">
        <v>3497</v>
      </c>
    </row>
    <row r="157" spans="1:3" x14ac:dyDescent="0.15">
      <c r="A157">
        <v>41094</v>
      </c>
      <c r="B157" t="s">
        <v>297</v>
      </c>
      <c r="C157" t="s">
        <v>3498</v>
      </c>
    </row>
    <row r="158" spans="1:3" x14ac:dyDescent="0.15">
      <c r="A158">
        <v>41095</v>
      </c>
      <c r="B158" t="s">
        <v>297</v>
      </c>
      <c r="C158" t="s">
        <v>3499</v>
      </c>
    </row>
    <row r="159" spans="1:3" x14ac:dyDescent="0.15">
      <c r="A159">
        <v>41096</v>
      </c>
      <c r="B159" t="s">
        <v>297</v>
      </c>
      <c r="C159" t="s">
        <v>3500</v>
      </c>
    </row>
    <row r="160" spans="1:3" x14ac:dyDescent="0.15">
      <c r="A160">
        <v>41097</v>
      </c>
      <c r="B160" t="s">
        <v>297</v>
      </c>
      <c r="C160" t="s">
        <v>3501</v>
      </c>
    </row>
    <row r="161" spans="1:3" x14ac:dyDescent="0.15">
      <c r="A161">
        <v>41098</v>
      </c>
      <c r="B161" t="s">
        <v>297</v>
      </c>
      <c r="C161" t="s">
        <v>3502</v>
      </c>
    </row>
    <row r="162" spans="1:3" x14ac:dyDescent="0.15">
      <c r="A162">
        <v>41099</v>
      </c>
      <c r="B162" t="s">
        <v>297</v>
      </c>
      <c r="C162" t="s">
        <v>3503</v>
      </c>
    </row>
    <row r="163" spans="1:3" x14ac:dyDescent="0.15">
      <c r="A163">
        <v>41100</v>
      </c>
      <c r="B163" t="s">
        <v>297</v>
      </c>
      <c r="C163" t="s">
        <v>3504</v>
      </c>
    </row>
    <row r="164" spans="1:3" x14ac:dyDescent="0.15">
      <c r="A164">
        <v>41101</v>
      </c>
      <c r="B164" t="s">
        <v>297</v>
      </c>
      <c r="C164" t="s">
        <v>3505</v>
      </c>
    </row>
    <row r="165" spans="1:3" x14ac:dyDescent="0.15">
      <c r="A165">
        <v>41102</v>
      </c>
      <c r="B165" t="s">
        <v>297</v>
      </c>
      <c r="C165" t="s">
        <v>3506</v>
      </c>
    </row>
    <row r="166" spans="1:3" x14ac:dyDescent="0.15">
      <c r="A166">
        <v>41103</v>
      </c>
      <c r="B166" t="s">
        <v>297</v>
      </c>
      <c r="C166" t="s">
        <v>3507</v>
      </c>
    </row>
    <row r="167" spans="1:3" x14ac:dyDescent="0.15">
      <c r="A167">
        <v>41104</v>
      </c>
      <c r="B167" t="s">
        <v>297</v>
      </c>
      <c r="C167" t="s">
        <v>3508</v>
      </c>
    </row>
    <row r="168" spans="1:3" x14ac:dyDescent="0.15">
      <c r="A168">
        <v>41105</v>
      </c>
      <c r="B168" t="s">
        <v>297</v>
      </c>
      <c r="C168" t="s">
        <v>3509</v>
      </c>
    </row>
    <row r="169" spans="1:3" x14ac:dyDescent="0.15">
      <c r="A169">
        <v>41106</v>
      </c>
      <c r="B169" t="s">
        <v>297</v>
      </c>
      <c r="C169" t="s">
        <v>3510</v>
      </c>
    </row>
    <row r="170" spans="1:3" x14ac:dyDescent="0.15">
      <c r="A170">
        <v>41107</v>
      </c>
      <c r="B170" t="s">
        <v>297</v>
      </c>
      <c r="C170" t="s">
        <v>3511</v>
      </c>
    </row>
    <row r="171" spans="1:3" x14ac:dyDescent="0.15">
      <c r="A171">
        <v>41108</v>
      </c>
      <c r="B171" t="s">
        <v>297</v>
      </c>
      <c r="C171" t="s">
        <v>3512</v>
      </c>
    </row>
    <row r="172" spans="1:3" x14ac:dyDescent="0.15">
      <c r="A172">
        <v>41109</v>
      </c>
      <c r="B172" t="s">
        <v>297</v>
      </c>
      <c r="C172" t="s">
        <v>3513</v>
      </c>
    </row>
    <row r="173" spans="1:3" x14ac:dyDescent="0.15">
      <c r="A173">
        <v>41110</v>
      </c>
      <c r="B173" t="s">
        <v>297</v>
      </c>
      <c r="C173" t="s">
        <v>3514</v>
      </c>
    </row>
    <row r="174" spans="1:3" x14ac:dyDescent="0.15">
      <c r="A174">
        <v>41111</v>
      </c>
      <c r="B174" t="s">
        <v>297</v>
      </c>
      <c r="C174" t="s">
        <v>3515</v>
      </c>
    </row>
    <row r="175" spans="1:3" x14ac:dyDescent="0.15">
      <c r="A175">
        <v>41112</v>
      </c>
      <c r="B175" t="s">
        <v>297</v>
      </c>
      <c r="C175" t="s">
        <v>3516</v>
      </c>
    </row>
    <row r="176" spans="1:3" x14ac:dyDescent="0.15">
      <c r="A176">
        <v>41113</v>
      </c>
      <c r="B176" t="s">
        <v>297</v>
      </c>
      <c r="C176" t="s">
        <v>3517</v>
      </c>
    </row>
    <row r="177" spans="1:3" x14ac:dyDescent="0.15">
      <c r="A177">
        <v>41114</v>
      </c>
      <c r="B177" t="s">
        <v>297</v>
      </c>
      <c r="C177" t="s">
        <v>3518</v>
      </c>
    </row>
    <row r="178" spans="1:3" x14ac:dyDescent="0.15">
      <c r="A178">
        <v>41115</v>
      </c>
      <c r="B178" t="s">
        <v>297</v>
      </c>
      <c r="C178" t="s">
        <v>3519</v>
      </c>
    </row>
    <row r="179" spans="1:3" x14ac:dyDescent="0.15">
      <c r="A179">
        <v>41116</v>
      </c>
      <c r="B179" t="s">
        <v>297</v>
      </c>
      <c r="C179" t="s">
        <v>3520</v>
      </c>
    </row>
    <row r="180" spans="1:3" x14ac:dyDescent="0.15">
      <c r="A180">
        <v>41117</v>
      </c>
      <c r="B180" t="s">
        <v>297</v>
      </c>
      <c r="C180" t="s">
        <v>3521</v>
      </c>
    </row>
    <row r="181" spans="1:3" x14ac:dyDescent="0.15">
      <c r="A181">
        <v>41118</v>
      </c>
      <c r="B181" t="s">
        <v>297</v>
      </c>
      <c r="C181" t="s">
        <v>3522</v>
      </c>
    </row>
    <row r="182" spans="1:3" x14ac:dyDescent="0.15">
      <c r="A182">
        <v>41119</v>
      </c>
      <c r="B182" t="s">
        <v>297</v>
      </c>
      <c r="C182" t="s">
        <v>3523</v>
      </c>
    </row>
    <row r="183" spans="1:3" x14ac:dyDescent="0.15">
      <c r="A183">
        <v>41120</v>
      </c>
      <c r="B183" t="s">
        <v>297</v>
      </c>
      <c r="C183" t="s">
        <v>3524</v>
      </c>
    </row>
    <row r="184" spans="1:3" x14ac:dyDescent="0.15">
      <c r="A184">
        <v>41121</v>
      </c>
      <c r="B184" t="s">
        <v>297</v>
      </c>
      <c r="C184" t="s">
        <v>3525</v>
      </c>
    </row>
    <row r="185" spans="1:3" x14ac:dyDescent="0.15">
      <c r="A185">
        <v>41122</v>
      </c>
      <c r="B185" t="s">
        <v>297</v>
      </c>
      <c r="C185" t="s">
        <v>3526</v>
      </c>
    </row>
    <row r="186" spans="1:3" x14ac:dyDescent="0.15">
      <c r="A186">
        <v>41123</v>
      </c>
      <c r="B186" t="s">
        <v>297</v>
      </c>
      <c r="C186" t="s">
        <v>3527</v>
      </c>
    </row>
    <row r="187" spans="1:3" x14ac:dyDescent="0.15">
      <c r="A187">
        <v>41124</v>
      </c>
      <c r="B187" t="s">
        <v>297</v>
      </c>
      <c r="C187" t="s">
        <v>3528</v>
      </c>
    </row>
    <row r="188" spans="1:3" x14ac:dyDescent="0.15">
      <c r="A188">
        <v>41125</v>
      </c>
      <c r="B188" t="s">
        <v>297</v>
      </c>
      <c r="C188" t="s">
        <v>3529</v>
      </c>
    </row>
    <row r="189" spans="1:3" x14ac:dyDescent="0.15">
      <c r="A189">
        <v>41126</v>
      </c>
      <c r="B189" t="s">
        <v>297</v>
      </c>
      <c r="C189" t="s">
        <v>3530</v>
      </c>
    </row>
    <row r="190" spans="1:3" x14ac:dyDescent="0.15">
      <c r="A190">
        <v>41127</v>
      </c>
      <c r="B190" t="s">
        <v>297</v>
      </c>
      <c r="C190" t="s">
        <v>3531</v>
      </c>
    </row>
    <row r="191" spans="1:3" x14ac:dyDescent="0.15">
      <c r="A191">
        <v>41128</v>
      </c>
      <c r="B191" t="s">
        <v>297</v>
      </c>
      <c r="C191" t="s">
        <v>3532</v>
      </c>
    </row>
    <row r="192" spans="1:3" x14ac:dyDescent="0.15">
      <c r="A192">
        <v>41129</v>
      </c>
      <c r="B192" t="s">
        <v>297</v>
      </c>
      <c r="C192" t="s">
        <v>3533</v>
      </c>
    </row>
    <row r="193" spans="1:3" x14ac:dyDescent="0.15">
      <c r="A193">
        <v>42001</v>
      </c>
      <c r="B193" t="s">
        <v>297</v>
      </c>
      <c r="C193" t="s">
        <v>3534</v>
      </c>
    </row>
    <row r="194" spans="1:3" x14ac:dyDescent="0.15">
      <c r="A194">
        <v>42002</v>
      </c>
      <c r="B194" t="s">
        <v>297</v>
      </c>
      <c r="C194" t="s">
        <v>3535</v>
      </c>
    </row>
    <row r="195" spans="1:3" x14ac:dyDescent="0.15">
      <c r="A195">
        <v>42003</v>
      </c>
      <c r="B195" t="s">
        <v>297</v>
      </c>
      <c r="C195" t="s">
        <v>3536</v>
      </c>
    </row>
    <row r="196" spans="1:3" x14ac:dyDescent="0.15">
      <c r="A196">
        <v>42004</v>
      </c>
      <c r="B196" t="s">
        <v>297</v>
      </c>
      <c r="C196" t="s">
        <v>3537</v>
      </c>
    </row>
    <row r="197" spans="1:3" x14ac:dyDescent="0.15">
      <c r="A197">
        <v>42005</v>
      </c>
      <c r="B197" t="s">
        <v>297</v>
      </c>
      <c r="C197" t="s">
        <v>3538</v>
      </c>
    </row>
    <row r="198" spans="1:3" x14ac:dyDescent="0.15">
      <c r="A198">
        <v>42006</v>
      </c>
      <c r="B198" t="s">
        <v>297</v>
      </c>
      <c r="C198" t="s">
        <v>3539</v>
      </c>
    </row>
    <row r="199" spans="1:3" x14ac:dyDescent="0.15">
      <c r="A199">
        <v>42007</v>
      </c>
      <c r="B199" t="s">
        <v>297</v>
      </c>
      <c r="C199" t="s">
        <v>3540</v>
      </c>
    </row>
    <row r="200" spans="1:3" x14ac:dyDescent="0.15">
      <c r="A200">
        <v>42008</v>
      </c>
      <c r="B200" t="s">
        <v>297</v>
      </c>
      <c r="C200" t="s">
        <v>3541</v>
      </c>
    </row>
    <row r="201" spans="1:3" x14ac:dyDescent="0.15">
      <c r="A201">
        <v>42009</v>
      </c>
      <c r="B201" t="s">
        <v>297</v>
      </c>
      <c r="C201" t="s">
        <v>3542</v>
      </c>
    </row>
    <row r="202" spans="1:3" x14ac:dyDescent="0.15">
      <c r="A202">
        <v>42010</v>
      </c>
      <c r="B202" t="s">
        <v>297</v>
      </c>
      <c r="C202" t="s">
        <v>3543</v>
      </c>
    </row>
    <row r="203" spans="1:3" x14ac:dyDescent="0.15">
      <c r="A203">
        <v>42011</v>
      </c>
      <c r="B203" t="s">
        <v>297</v>
      </c>
      <c r="C203" t="s">
        <v>3544</v>
      </c>
    </row>
    <row r="204" spans="1:3" x14ac:dyDescent="0.15">
      <c r="A204">
        <v>42012</v>
      </c>
      <c r="B204" t="s">
        <v>297</v>
      </c>
      <c r="C204" t="s">
        <v>3545</v>
      </c>
    </row>
    <row r="205" spans="1:3" x14ac:dyDescent="0.15">
      <c r="A205">
        <v>42013</v>
      </c>
      <c r="B205" t="s">
        <v>297</v>
      </c>
      <c r="C205" t="s">
        <v>3546</v>
      </c>
    </row>
    <row r="206" spans="1:3" x14ac:dyDescent="0.15">
      <c r="A206">
        <v>42014</v>
      </c>
      <c r="B206" t="s">
        <v>297</v>
      </c>
      <c r="C206" t="s">
        <v>3547</v>
      </c>
    </row>
    <row r="207" spans="1:3" x14ac:dyDescent="0.15">
      <c r="A207">
        <v>42015</v>
      </c>
      <c r="B207" t="s">
        <v>297</v>
      </c>
      <c r="C207" t="s">
        <v>3548</v>
      </c>
    </row>
    <row r="208" spans="1:3" x14ac:dyDescent="0.15">
      <c r="A208">
        <v>42016</v>
      </c>
      <c r="B208" t="s">
        <v>297</v>
      </c>
      <c r="C208" t="s">
        <v>3549</v>
      </c>
    </row>
    <row r="209" spans="1:3" x14ac:dyDescent="0.15">
      <c r="A209">
        <v>42017</v>
      </c>
      <c r="B209" t="s">
        <v>297</v>
      </c>
      <c r="C209" t="s">
        <v>3550</v>
      </c>
    </row>
    <row r="210" spans="1:3" x14ac:dyDescent="0.15">
      <c r="A210">
        <v>42018</v>
      </c>
      <c r="B210" t="s">
        <v>297</v>
      </c>
      <c r="C210" t="s">
        <v>3551</v>
      </c>
    </row>
    <row r="211" spans="1:3" x14ac:dyDescent="0.15">
      <c r="A211">
        <v>42019</v>
      </c>
      <c r="B211" t="s">
        <v>297</v>
      </c>
      <c r="C211" t="s">
        <v>3552</v>
      </c>
    </row>
    <row r="212" spans="1:3" x14ac:dyDescent="0.15">
      <c r="A212">
        <v>42020</v>
      </c>
      <c r="B212" t="s">
        <v>297</v>
      </c>
      <c r="C212" t="s">
        <v>3553</v>
      </c>
    </row>
    <row r="213" spans="1:3" x14ac:dyDescent="0.15">
      <c r="A213">
        <v>42021</v>
      </c>
      <c r="B213" t="s">
        <v>297</v>
      </c>
      <c r="C213" t="s">
        <v>3554</v>
      </c>
    </row>
    <row r="214" spans="1:3" x14ac:dyDescent="0.15">
      <c r="A214">
        <v>42022</v>
      </c>
      <c r="B214" t="s">
        <v>297</v>
      </c>
      <c r="C214" t="s">
        <v>3555</v>
      </c>
    </row>
    <row r="215" spans="1:3" x14ac:dyDescent="0.15">
      <c r="A215">
        <v>42023</v>
      </c>
      <c r="B215" t="s">
        <v>297</v>
      </c>
      <c r="C215" t="s">
        <v>3556</v>
      </c>
    </row>
    <row r="216" spans="1:3" x14ac:dyDescent="0.15">
      <c r="A216">
        <v>42024</v>
      </c>
      <c r="B216" t="s">
        <v>297</v>
      </c>
      <c r="C216" t="s">
        <v>3557</v>
      </c>
    </row>
    <row r="217" spans="1:3" x14ac:dyDescent="0.15">
      <c r="A217">
        <v>42025</v>
      </c>
      <c r="B217" t="s">
        <v>297</v>
      </c>
      <c r="C217" t="s">
        <v>3558</v>
      </c>
    </row>
    <row r="218" spans="1:3" x14ac:dyDescent="0.15">
      <c r="A218">
        <v>42026</v>
      </c>
      <c r="B218" t="s">
        <v>297</v>
      </c>
      <c r="C218" t="s">
        <v>3559</v>
      </c>
    </row>
    <row r="219" spans="1:3" x14ac:dyDescent="0.15">
      <c r="A219">
        <v>42027</v>
      </c>
      <c r="B219" t="s">
        <v>297</v>
      </c>
      <c r="C219" t="s">
        <v>3560</v>
      </c>
    </row>
    <row r="220" spans="1:3" x14ac:dyDescent="0.15">
      <c r="A220">
        <v>42028</v>
      </c>
      <c r="B220" t="s">
        <v>297</v>
      </c>
      <c r="C220" t="s">
        <v>3561</v>
      </c>
    </row>
    <row r="221" spans="1:3" x14ac:dyDescent="0.15">
      <c r="A221">
        <v>42029</v>
      </c>
      <c r="B221" t="s">
        <v>297</v>
      </c>
      <c r="C221" t="s">
        <v>3562</v>
      </c>
    </row>
    <row r="222" spans="1:3" x14ac:dyDescent="0.15">
      <c r="A222">
        <v>42030</v>
      </c>
      <c r="B222" t="s">
        <v>297</v>
      </c>
      <c r="C222" t="s">
        <v>3563</v>
      </c>
    </row>
    <row r="223" spans="1:3" x14ac:dyDescent="0.15">
      <c r="A223">
        <v>42031</v>
      </c>
      <c r="B223" t="s">
        <v>297</v>
      </c>
      <c r="C223" t="s">
        <v>3564</v>
      </c>
    </row>
    <row r="224" spans="1:3" x14ac:dyDescent="0.15">
      <c r="A224">
        <v>42032</v>
      </c>
      <c r="B224" t="s">
        <v>297</v>
      </c>
      <c r="C224" t="s">
        <v>3565</v>
      </c>
    </row>
    <row r="225" spans="1:3" x14ac:dyDescent="0.15">
      <c r="A225">
        <v>42033</v>
      </c>
      <c r="B225" t="s">
        <v>297</v>
      </c>
      <c r="C225" t="s">
        <v>3566</v>
      </c>
    </row>
    <row r="226" spans="1:3" x14ac:dyDescent="0.15">
      <c r="A226">
        <v>42034</v>
      </c>
      <c r="B226" t="s">
        <v>297</v>
      </c>
      <c r="C226" t="s">
        <v>3567</v>
      </c>
    </row>
    <row r="227" spans="1:3" x14ac:dyDescent="0.15">
      <c r="A227">
        <v>42035</v>
      </c>
      <c r="B227" t="s">
        <v>297</v>
      </c>
      <c r="C227" t="s">
        <v>3568</v>
      </c>
    </row>
    <row r="228" spans="1:3" x14ac:dyDescent="0.15">
      <c r="A228">
        <v>42036</v>
      </c>
      <c r="B228" t="s">
        <v>297</v>
      </c>
      <c r="C228" t="s">
        <v>3569</v>
      </c>
    </row>
    <row r="229" spans="1:3" x14ac:dyDescent="0.15">
      <c r="A229">
        <v>42037</v>
      </c>
      <c r="B229" t="s">
        <v>297</v>
      </c>
      <c r="C229" t="s">
        <v>3570</v>
      </c>
    </row>
    <row r="230" spans="1:3" x14ac:dyDescent="0.15">
      <c r="A230">
        <v>42038</v>
      </c>
      <c r="B230" t="s">
        <v>297</v>
      </c>
      <c r="C230" t="s">
        <v>3571</v>
      </c>
    </row>
    <row r="231" spans="1:3" x14ac:dyDescent="0.15">
      <c r="A231">
        <v>42039</v>
      </c>
      <c r="B231" t="s">
        <v>297</v>
      </c>
      <c r="C231" t="s">
        <v>3572</v>
      </c>
    </row>
    <row r="232" spans="1:3" x14ac:dyDescent="0.15">
      <c r="A232">
        <v>42040</v>
      </c>
      <c r="B232" t="s">
        <v>297</v>
      </c>
      <c r="C232" t="s">
        <v>3573</v>
      </c>
    </row>
    <row r="233" spans="1:3" x14ac:dyDescent="0.15">
      <c r="A233">
        <v>42041</v>
      </c>
      <c r="B233" t="s">
        <v>297</v>
      </c>
      <c r="C233" t="s">
        <v>3574</v>
      </c>
    </row>
    <row r="234" spans="1:3" x14ac:dyDescent="0.15">
      <c r="A234">
        <v>42042</v>
      </c>
      <c r="B234" t="s">
        <v>297</v>
      </c>
      <c r="C234" t="s">
        <v>3575</v>
      </c>
    </row>
    <row r="235" spans="1:3" x14ac:dyDescent="0.15">
      <c r="A235">
        <v>42043</v>
      </c>
      <c r="B235" t="s">
        <v>297</v>
      </c>
      <c r="C235" t="s">
        <v>3576</v>
      </c>
    </row>
    <row r="236" spans="1:3" x14ac:dyDescent="0.15">
      <c r="A236">
        <v>42044</v>
      </c>
      <c r="B236" t="s">
        <v>297</v>
      </c>
      <c r="C236" t="s">
        <v>3577</v>
      </c>
    </row>
    <row r="237" spans="1:3" x14ac:dyDescent="0.15">
      <c r="A237">
        <v>42045</v>
      </c>
      <c r="B237" t="s">
        <v>297</v>
      </c>
      <c r="C237" t="s">
        <v>3578</v>
      </c>
    </row>
    <row r="238" spans="1:3" x14ac:dyDescent="0.15">
      <c r="A238">
        <v>42046</v>
      </c>
      <c r="B238" t="s">
        <v>297</v>
      </c>
      <c r="C238" t="s">
        <v>3579</v>
      </c>
    </row>
    <row r="239" spans="1:3" x14ac:dyDescent="0.15">
      <c r="A239">
        <v>42047</v>
      </c>
      <c r="B239" t="s">
        <v>297</v>
      </c>
      <c r="C239" t="s">
        <v>3580</v>
      </c>
    </row>
    <row r="240" spans="1:3" x14ac:dyDescent="0.15">
      <c r="A240">
        <v>42048</v>
      </c>
      <c r="B240" t="s">
        <v>297</v>
      </c>
      <c r="C240" t="s">
        <v>3581</v>
      </c>
    </row>
    <row r="241" spans="1:3" x14ac:dyDescent="0.15">
      <c r="A241">
        <v>42049</v>
      </c>
      <c r="B241" t="s">
        <v>297</v>
      </c>
      <c r="C241" t="s">
        <v>3582</v>
      </c>
    </row>
    <row r="242" spans="1:3" x14ac:dyDescent="0.15">
      <c r="A242">
        <v>42050</v>
      </c>
      <c r="B242" t="s">
        <v>297</v>
      </c>
      <c r="C242" t="s">
        <v>3583</v>
      </c>
    </row>
    <row r="243" spans="1:3" x14ac:dyDescent="0.15">
      <c r="A243">
        <v>42051</v>
      </c>
      <c r="B243" t="s">
        <v>297</v>
      </c>
      <c r="C243" t="s">
        <v>3584</v>
      </c>
    </row>
    <row r="244" spans="1:3" x14ac:dyDescent="0.15">
      <c r="A244">
        <v>42052</v>
      </c>
      <c r="B244" t="s">
        <v>297</v>
      </c>
      <c r="C244" t="s">
        <v>3585</v>
      </c>
    </row>
    <row r="245" spans="1:3" x14ac:dyDescent="0.15">
      <c r="A245">
        <v>42053</v>
      </c>
      <c r="B245" t="s">
        <v>297</v>
      </c>
      <c r="C245" t="s">
        <v>3586</v>
      </c>
    </row>
    <row r="246" spans="1:3" x14ac:dyDescent="0.15">
      <c r="A246">
        <v>42054</v>
      </c>
      <c r="B246" t="s">
        <v>297</v>
      </c>
      <c r="C246" t="s">
        <v>3587</v>
      </c>
    </row>
    <row r="247" spans="1:3" x14ac:dyDescent="0.15">
      <c r="A247">
        <v>42055</v>
      </c>
      <c r="B247" t="s">
        <v>297</v>
      </c>
      <c r="C247" t="s">
        <v>3588</v>
      </c>
    </row>
    <row r="248" spans="1:3" x14ac:dyDescent="0.15">
      <c r="A248">
        <v>42056</v>
      </c>
      <c r="B248" t="s">
        <v>297</v>
      </c>
      <c r="C248" t="s">
        <v>3589</v>
      </c>
    </row>
    <row r="249" spans="1:3" x14ac:dyDescent="0.15">
      <c r="A249">
        <v>42057</v>
      </c>
      <c r="B249" t="s">
        <v>297</v>
      </c>
      <c r="C249" t="s">
        <v>3590</v>
      </c>
    </row>
    <row r="250" spans="1:3" x14ac:dyDescent="0.15">
      <c r="A250">
        <v>42058</v>
      </c>
      <c r="B250" t="s">
        <v>297</v>
      </c>
      <c r="C250" t="s">
        <v>3591</v>
      </c>
    </row>
    <row r="251" spans="1:3" x14ac:dyDescent="0.15">
      <c r="A251">
        <v>42059</v>
      </c>
      <c r="B251" t="s">
        <v>297</v>
      </c>
      <c r="C251" t="s">
        <v>3592</v>
      </c>
    </row>
    <row r="252" spans="1:3" x14ac:dyDescent="0.15">
      <c r="A252">
        <v>42060</v>
      </c>
      <c r="B252" t="s">
        <v>297</v>
      </c>
      <c r="C252" t="s">
        <v>3593</v>
      </c>
    </row>
    <row r="253" spans="1:3" x14ac:dyDescent="0.15">
      <c r="A253">
        <v>42061</v>
      </c>
      <c r="B253" t="s">
        <v>297</v>
      </c>
      <c r="C253" t="s">
        <v>3594</v>
      </c>
    </row>
    <row r="254" spans="1:3" x14ac:dyDescent="0.15">
      <c r="A254">
        <v>42062</v>
      </c>
      <c r="B254" t="s">
        <v>297</v>
      </c>
      <c r="C254" t="s">
        <v>3595</v>
      </c>
    </row>
    <row r="255" spans="1:3" x14ac:dyDescent="0.15">
      <c r="A255">
        <v>42063</v>
      </c>
      <c r="B255" t="s">
        <v>297</v>
      </c>
      <c r="C255" t="s">
        <v>3596</v>
      </c>
    </row>
    <row r="256" spans="1:3" x14ac:dyDescent="0.15">
      <c r="A256">
        <v>42064</v>
      </c>
      <c r="B256" t="s">
        <v>297</v>
      </c>
      <c r="C256" t="s">
        <v>3597</v>
      </c>
    </row>
    <row r="257" spans="1:3" x14ac:dyDescent="0.15">
      <c r="A257">
        <v>42065</v>
      </c>
      <c r="B257" t="s">
        <v>297</v>
      </c>
      <c r="C257" t="s">
        <v>3598</v>
      </c>
    </row>
    <row r="258" spans="1:3" x14ac:dyDescent="0.15">
      <c r="A258">
        <v>42066</v>
      </c>
      <c r="B258" t="s">
        <v>297</v>
      </c>
      <c r="C258" t="s">
        <v>3599</v>
      </c>
    </row>
    <row r="259" spans="1:3" x14ac:dyDescent="0.15">
      <c r="A259">
        <v>42067</v>
      </c>
      <c r="B259" t="s">
        <v>297</v>
      </c>
      <c r="C259" t="s">
        <v>3600</v>
      </c>
    </row>
    <row r="260" spans="1:3" x14ac:dyDescent="0.15">
      <c r="A260">
        <v>42068</v>
      </c>
      <c r="B260" t="s">
        <v>297</v>
      </c>
      <c r="C260" t="s">
        <v>3601</v>
      </c>
    </row>
    <row r="261" spans="1:3" x14ac:dyDescent="0.15">
      <c r="A261">
        <v>42069</v>
      </c>
      <c r="B261" t="s">
        <v>297</v>
      </c>
      <c r="C261" t="s">
        <v>3602</v>
      </c>
    </row>
    <row r="262" spans="1:3" x14ac:dyDescent="0.15">
      <c r="A262">
        <v>42070</v>
      </c>
      <c r="B262" t="s">
        <v>297</v>
      </c>
      <c r="C262" t="s">
        <v>3603</v>
      </c>
    </row>
    <row r="263" spans="1:3" x14ac:dyDescent="0.15">
      <c r="A263">
        <v>42071</v>
      </c>
      <c r="B263" t="s">
        <v>297</v>
      </c>
      <c r="C263" t="s">
        <v>3604</v>
      </c>
    </row>
    <row r="264" spans="1:3" x14ac:dyDescent="0.15">
      <c r="A264">
        <v>42072</v>
      </c>
      <c r="B264" t="s">
        <v>297</v>
      </c>
      <c r="C264" t="s">
        <v>3605</v>
      </c>
    </row>
    <row r="265" spans="1:3" x14ac:dyDescent="0.15">
      <c r="A265">
        <v>42073</v>
      </c>
      <c r="B265" t="s">
        <v>297</v>
      </c>
      <c r="C265" t="s">
        <v>3606</v>
      </c>
    </row>
    <row r="266" spans="1:3" x14ac:dyDescent="0.15">
      <c r="A266">
        <v>42074</v>
      </c>
      <c r="B266" t="s">
        <v>297</v>
      </c>
      <c r="C266" t="s">
        <v>3607</v>
      </c>
    </row>
    <row r="267" spans="1:3" x14ac:dyDescent="0.15">
      <c r="A267">
        <v>42075</v>
      </c>
      <c r="B267" t="s">
        <v>297</v>
      </c>
      <c r="C267" t="s">
        <v>3608</v>
      </c>
    </row>
    <row r="268" spans="1:3" x14ac:dyDescent="0.15">
      <c r="A268">
        <v>42076</v>
      </c>
      <c r="B268" t="s">
        <v>297</v>
      </c>
      <c r="C268" t="s">
        <v>3609</v>
      </c>
    </row>
    <row r="269" spans="1:3" x14ac:dyDescent="0.15">
      <c r="A269">
        <v>42077</v>
      </c>
      <c r="B269" t="s">
        <v>297</v>
      </c>
      <c r="C269" t="s">
        <v>3610</v>
      </c>
    </row>
    <row r="270" spans="1:3" x14ac:dyDescent="0.15">
      <c r="A270">
        <v>42078</v>
      </c>
      <c r="B270" t="s">
        <v>297</v>
      </c>
      <c r="C270" t="s">
        <v>3611</v>
      </c>
    </row>
    <row r="271" spans="1:3" x14ac:dyDescent="0.15">
      <c r="A271">
        <v>42079</v>
      </c>
      <c r="B271" t="s">
        <v>297</v>
      </c>
      <c r="C271" t="s">
        <v>3612</v>
      </c>
    </row>
    <row r="272" spans="1:3" x14ac:dyDescent="0.15">
      <c r="A272">
        <v>42080</v>
      </c>
      <c r="B272" t="s">
        <v>297</v>
      </c>
      <c r="C272" t="s">
        <v>3613</v>
      </c>
    </row>
    <row r="273" spans="1:3" x14ac:dyDescent="0.15">
      <c r="A273">
        <v>42081</v>
      </c>
      <c r="B273" t="s">
        <v>297</v>
      </c>
      <c r="C273" t="s">
        <v>3614</v>
      </c>
    </row>
    <row r="274" spans="1:3" x14ac:dyDescent="0.15">
      <c r="A274">
        <v>42082</v>
      </c>
      <c r="B274" t="s">
        <v>297</v>
      </c>
      <c r="C274" t="s">
        <v>3615</v>
      </c>
    </row>
    <row r="275" spans="1:3" x14ac:dyDescent="0.15">
      <c r="A275">
        <v>42083</v>
      </c>
      <c r="B275" t="s">
        <v>297</v>
      </c>
      <c r="C275" t="s">
        <v>3616</v>
      </c>
    </row>
    <row r="276" spans="1:3" x14ac:dyDescent="0.15">
      <c r="A276">
        <v>42084</v>
      </c>
      <c r="B276" t="s">
        <v>297</v>
      </c>
      <c r="C276" t="s">
        <v>3617</v>
      </c>
    </row>
    <row r="277" spans="1:3" x14ac:dyDescent="0.15">
      <c r="A277">
        <v>42085</v>
      </c>
      <c r="B277" t="s">
        <v>297</v>
      </c>
      <c r="C277" t="s">
        <v>3618</v>
      </c>
    </row>
    <row r="278" spans="1:3" x14ac:dyDescent="0.15">
      <c r="A278">
        <v>42086</v>
      </c>
      <c r="B278" t="s">
        <v>297</v>
      </c>
      <c r="C278" t="s">
        <v>3619</v>
      </c>
    </row>
    <row r="279" spans="1:3" x14ac:dyDescent="0.15">
      <c r="A279">
        <v>42087</v>
      </c>
      <c r="B279" t="s">
        <v>297</v>
      </c>
      <c r="C279" t="s">
        <v>3620</v>
      </c>
    </row>
    <row r="280" spans="1:3" x14ac:dyDescent="0.15">
      <c r="A280">
        <v>42088</v>
      </c>
      <c r="B280" t="s">
        <v>297</v>
      </c>
      <c r="C280" t="s">
        <v>3621</v>
      </c>
    </row>
    <row r="281" spans="1:3" x14ac:dyDescent="0.15">
      <c r="A281">
        <v>42089</v>
      </c>
      <c r="B281" t="s">
        <v>297</v>
      </c>
      <c r="C281" t="s">
        <v>3622</v>
      </c>
    </row>
    <row r="282" spans="1:3" x14ac:dyDescent="0.15">
      <c r="A282">
        <v>42090</v>
      </c>
      <c r="B282" t="s">
        <v>297</v>
      </c>
      <c r="C282" t="s">
        <v>3623</v>
      </c>
    </row>
    <row r="283" spans="1:3" x14ac:dyDescent="0.15">
      <c r="A283">
        <v>42091</v>
      </c>
      <c r="B283" t="s">
        <v>297</v>
      </c>
      <c r="C283" t="s">
        <v>3624</v>
      </c>
    </row>
    <row r="284" spans="1:3" x14ac:dyDescent="0.15">
      <c r="A284">
        <v>42092</v>
      </c>
      <c r="B284" t="s">
        <v>297</v>
      </c>
      <c r="C284" t="s">
        <v>3625</v>
      </c>
    </row>
    <row r="285" spans="1:3" x14ac:dyDescent="0.15">
      <c r="A285">
        <v>42093</v>
      </c>
      <c r="B285" t="s">
        <v>297</v>
      </c>
      <c r="C285" t="s">
        <v>3626</v>
      </c>
    </row>
    <row r="286" spans="1:3" x14ac:dyDescent="0.15">
      <c r="A286">
        <v>42094</v>
      </c>
      <c r="B286" t="s">
        <v>297</v>
      </c>
      <c r="C286" t="s">
        <v>3627</v>
      </c>
    </row>
    <row r="287" spans="1:3" x14ac:dyDescent="0.15">
      <c r="A287">
        <v>42095</v>
      </c>
      <c r="B287" t="s">
        <v>297</v>
      </c>
      <c r="C287" t="s">
        <v>3628</v>
      </c>
    </row>
    <row r="288" spans="1:3" x14ac:dyDescent="0.15">
      <c r="A288">
        <v>42096</v>
      </c>
      <c r="B288" t="s">
        <v>297</v>
      </c>
      <c r="C288" t="s">
        <v>3629</v>
      </c>
    </row>
    <row r="289" spans="1:3" x14ac:dyDescent="0.15">
      <c r="A289">
        <v>42097</v>
      </c>
      <c r="B289" t="s">
        <v>297</v>
      </c>
      <c r="C289" t="s">
        <v>3630</v>
      </c>
    </row>
    <row r="290" spans="1:3" x14ac:dyDescent="0.15">
      <c r="A290">
        <v>42098</v>
      </c>
      <c r="B290" t="s">
        <v>297</v>
      </c>
      <c r="C290" t="s">
        <v>3631</v>
      </c>
    </row>
    <row r="291" spans="1:3" x14ac:dyDescent="0.15">
      <c r="A291">
        <v>42099</v>
      </c>
      <c r="B291" t="s">
        <v>297</v>
      </c>
      <c r="C291" t="s">
        <v>3632</v>
      </c>
    </row>
    <row r="292" spans="1:3" x14ac:dyDescent="0.15">
      <c r="A292">
        <v>42100</v>
      </c>
      <c r="B292" t="s">
        <v>297</v>
      </c>
      <c r="C292" t="s">
        <v>3633</v>
      </c>
    </row>
    <row r="293" spans="1:3" x14ac:dyDescent="0.15">
      <c r="A293">
        <v>42101</v>
      </c>
      <c r="B293" t="s">
        <v>297</v>
      </c>
      <c r="C293" t="s">
        <v>3634</v>
      </c>
    </row>
    <row r="294" spans="1:3" x14ac:dyDescent="0.15">
      <c r="A294">
        <v>42102</v>
      </c>
      <c r="B294" t="s">
        <v>297</v>
      </c>
      <c r="C294" t="s">
        <v>3635</v>
      </c>
    </row>
    <row r="295" spans="1:3" x14ac:dyDescent="0.15">
      <c r="A295">
        <v>42103</v>
      </c>
      <c r="B295" t="s">
        <v>297</v>
      </c>
      <c r="C295" t="s">
        <v>3636</v>
      </c>
    </row>
    <row r="296" spans="1:3" x14ac:dyDescent="0.15">
      <c r="A296">
        <v>42104</v>
      </c>
      <c r="B296" t="s">
        <v>297</v>
      </c>
      <c r="C296" t="s">
        <v>3637</v>
      </c>
    </row>
    <row r="297" spans="1:3" x14ac:dyDescent="0.15">
      <c r="A297">
        <v>42105</v>
      </c>
      <c r="B297" t="s">
        <v>297</v>
      </c>
      <c r="C297" t="s">
        <v>3638</v>
      </c>
    </row>
    <row r="298" spans="1:3" x14ac:dyDescent="0.15">
      <c r="A298">
        <v>42106</v>
      </c>
      <c r="B298" t="s">
        <v>297</v>
      </c>
      <c r="C298" t="s">
        <v>3639</v>
      </c>
    </row>
    <row r="299" spans="1:3" x14ac:dyDescent="0.15">
      <c r="A299">
        <v>42107</v>
      </c>
      <c r="B299" t="s">
        <v>297</v>
      </c>
      <c r="C299" t="s">
        <v>3640</v>
      </c>
    </row>
    <row r="300" spans="1:3" x14ac:dyDescent="0.15">
      <c r="A300">
        <v>42108</v>
      </c>
      <c r="B300" t="s">
        <v>297</v>
      </c>
      <c r="C300" t="s">
        <v>3641</v>
      </c>
    </row>
    <row r="301" spans="1:3" x14ac:dyDescent="0.15">
      <c r="A301">
        <v>42109</v>
      </c>
      <c r="B301" t="s">
        <v>297</v>
      </c>
      <c r="C301" t="s">
        <v>3642</v>
      </c>
    </row>
    <row r="302" spans="1:3" x14ac:dyDescent="0.15">
      <c r="A302">
        <v>42110</v>
      </c>
      <c r="B302" t="s">
        <v>297</v>
      </c>
      <c r="C302" t="s">
        <v>3643</v>
      </c>
    </row>
    <row r="303" spans="1:3" x14ac:dyDescent="0.15">
      <c r="A303">
        <v>42111</v>
      </c>
      <c r="B303" t="s">
        <v>297</v>
      </c>
      <c r="C303" t="s">
        <v>3644</v>
      </c>
    </row>
    <row r="304" spans="1:3" x14ac:dyDescent="0.15">
      <c r="A304">
        <v>42112</v>
      </c>
      <c r="B304" t="s">
        <v>297</v>
      </c>
      <c r="C304" t="s">
        <v>3645</v>
      </c>
    </row>
    <row r="305" spans="1:3" x14ac:dyDescent="0.15">
      <c r="A305">
        <v>42113</v>
      </c>
      <c r="B305" t="s">
        <v>297</v>
      </c>
      <c r="C305" t="s">
        <v>3646</v>
      </c>
    </row>
    <row r="306" spans="1:3" x14ac:dyDescent="0.15">
      <c r="A306">
        <v>42114</v>
      </c>
      <c r="B306" t="s">
        <v>297</v>
      </c>
      <c r="C306" t="s">
        <v>3647</v>
      </c>
    </row>
    <row r="307" spans="1:3" x14ac:dyDescent="0.15">
      <c r="A307">
        <v>42115</v>
      </c>
      <c r="B307" t="s">
        <v>297</v>
      </c>
      <c r="C307" t="s">
        <v>3648</v>
      </c>
    </row>
    <row r="308" spans="1:3" x14ac:dyDescent="0.15">
      <c r="A308">
        <v>42116</v>
      </c>
      <c r="B308" t="s">
        <v>297</v>
      </c>
      <c r="C308" t="s">
        <v>3649</v>
      </c>
    </row>
    <row r="309" spans="1:3" x14ac:dyDescent="0.15">
      <c r="A309">
        <v>42117</v>
      </c>
      <c r="B309" t="s">
        <v>297</v>
      </c>
      <c r="C309" t="s">
        <v>3650</v>
      </c>
    </row>
    <row r="310" spans="1:3" x14ac:dyDescent="0.15">
      <c r="A310">
        <v>42118</v>
      </c>
      <c r="B310" t="s">
        <v>297</v>
      </c>
      <c r="C310" t="s">
        <v>3651</v>
      </c>
    </row>
    <row r="311" spans="1:3" x14ac:dyDescent="0.15">
      <c r="A311">
        <v>42119</v>
      </c>
      <c r="B311" t="s">
        <v>297</v>
      </c>
      <c r="C311" t="s">
        <v>3652</v>
      </c>
    </row>
    <row r="312" spans="1:3" x14ac:dyDescent="0.15">
      <c r="A312">
        <v>42120</v>
      </c>
      <c r="B312" t="s">
        <v>297</v>
      </c>
      <c r="C312" t="s">
        <v>3653</v>
      </c>
    </row>
    <row r="313" spans="1:3" x14ac:dyDescent="0.15">
      <c r="A313">
        <v>42121</v>
      </c>
      <c r="B313" t="s">
        <v>297</v>
      </c>
      <c r="C313" t="s">
        <v>3654</v>
      </c>
    </row>
    <row r="314" spans="1:3" x14ac:dyDescent="0.15">
      <c r="A314">
        <v>42122</v>
      </c>
      <c r="B314" t="s">
        <v>297</v>
      </c>
      <c r="C314" t="s">
        <v>3655</v>
      </c>
    </row>
    <row r="315" spans="1:3" x14ac:dyDescent="0.15">
      <c r="A315">
        <v>42123</v>
      </c>
      <c r="B315" t="s">
        <v>297</v>
      </c>
      <c r="C315" t="s">
        <v>3656</v>
      </c>
    </row>
    <row r="316" spans="1:3" x14ac:dyDescent="0.15">
      <c r="A316">
        <v>42124</v>
      </c>
      <c r="B316" t="s">
        <v>297</v>
      </c>
      <c r="C316" t="s">
        <v>3657</v>
      </c>
    </row>
    <row r="317" spans="1:3" x14ac:dyDescent="0.15">
      <c r="A317">
        <v>42125</v>
      </c>
      <c r="B317" t="s">
        <v>297</v>
      </c>
      <c r="C317" t="s">
        <v>3658</v>
      </c>
    </row>
    <row r="318" spans="1:3" x14ac:dyDescent="0.15">
      <c r="A318">
        <v>42126</v>
      </c>
      <c r="B318" t="s">
        <v>297</v>
      </c>
      <c r="C318" t="s">
        <v>3659</v>
      </c>
    </row>
    <row r="319" spans="1:3" x14ac:dyDescent="0.15">
      <c r="A319">
        <v>42127</v>
      </c>
      <c r="B319" t="s">
        <v>297</v>
      </c>
      <c r="C319" t="s">
        <v>3660</v>
      </c>
    </row>
    <row r="320" spans="1:3" x14ac:dyDescent="0.15">
      <c r="A320">
        <v>42128</v>
      </c>
      <c r="B320" t="s">
        <v>297</v>
      </c>
      <c r="C320" t="s">
        <v>3661</v>
      </c>
    </row>
    <row r="321" spans="1:3" x14ac:dyDescent="0.15">
      <c r="A321" t="s">
        <v>3398</v>
      </c>
    </row>
    <row r="322" spans="1:3" x14ac:dyDescent="0.15">
      <c r="A322">
        <v>60001</v>
      </c>
      <c r="B322" t="s">
        <v>2014</v>
      </c>
      <c r="C322" t="s">
        <v>2071</v>
      </c>
    </row>
    <row r="323" spans="1:3" x14ac:dyDescent="0.15">
      <c r="A323">
        <v>60002</v>
      </c>
      <c r="B323" t="s">
        <v>2014</v>
      </c>
      <c r="C323" t="s">
        <v>2072</v>
      </c>
    </row>
    <row r="324" spans="1:3" x14ac:dyDescent="0.15">
      <c r="A324">
        <v>60003</v>
      </c>
      <c r="B324" t="s">
        <v>2014</v>
      </c>
      <c r="C324" t="s">
        <v>2073</v>
      </c>
    </row>
    <row r="325" spans="1:3" x14ac:dyDescent="0.15">
      <c r="A325">
        <v>60004</v>
      </c>
      <c r="B325" t="s">
        <v>2014</v>
      </c>
      <c r="C325" t="s">
        <v>2074</v>
      </c>
    </row>
    <row r="326" spans="1:3" x14ac:dyDescent="0.15">
      <c r="A326">
        <v>60005</v>
      </c>
      <c r="B326" t="s">
        <v>2014</v>
      </c>
      <c r="C326" t="s">
        <v>2075</v>
      </c>
    </row>
    <row r="327" spans="1:3" x14ac:dyDescent="0.15">
      <c r="A327">
        <v>60006</v>
      </c>
      <c r="B327" t="s">
        <v>2014</v>
      </c>
      <c r="C327" t="s">
        <v>2076</v>
      </c>
    </row>
    <row r="328" spans="1:3" x14ac:dyDescent="0.15">
      <c r="A328">
        <v>60007</v>
      </c>
      <c r="B328" t="s">
        <v>2014</v>
      </c>
      <c r="C328" t="s">
        <v>2077</v>
      </c>
    </row>
    <row r="329" spans="1:3" x14ac:dyDescent="0.15">
      <c r="A329">
        <v>60008</v>
      </c>
      <c r="B329" t="s">
        <v>2014</v>
      </c>
      <c r="C329" t="s">
        <v>2078</v>
      </c>
    </row>
    <row r="330" spans="1:3" x14ac:dyDescent="0.15">
      <c r="A330">
        <v>60009</v>
      </c>
      <c r="B330" t="s">
        <v>2014</v>
      </c>
      <c r="C330" t="s">
        <v>2079</v>
      </c>
    </row>
    <row r="331" spans="1:3" x14ac:dyDescent="0.15">
      <c r="A331">
        <v>60010</v>
      </c>
      <c r="B331" t="s">
        <v>2014</v>
      </c>
      <c r="C331" t="s">
        <v>2080</v>
      </c>
    </row>
    <row r="332" spans="1:3" x14ac:dyDescent="0.15">
      <c r="A332">
        <v>60011</v>
      </c>
      <c r="B332" t="s">
        <v>2014</v>
      </c>
      <c r="C332" t="s">
        <v>2081</v>
      </c>
    </row>
    <row r="333" spans="1:3" x14ac:dyDescent="0.15">
      <c r="A333">
        <v>60012</v>
      </c>
      <c r="B333" t="s">
        <v>2014</v>
      </c>
      <c r="C333" t="s">
        <v>2082</v>
      </c>
    </row>
    <row r="334" spans="1:3" x14ac:dyDescent="0.15">
      <c r="A334">
        <v>60013</v>
      </c>
      <c r="B334" t="s">
        <v>2014</v>
      </c>
      <c r="C334" t="s">
        <v>2083</v>
      </c>
    </row>
    <row r="335" spans="1:3" x14ac:dyDescent="0.15">
      <c r="A335">
        <v>60014</v>
      </c>
      <c r="B335" t="s">
        <v>2014</v>
      </c>
      <c r="C335" t="s">
        <v>2084</v>
      </c>
    </row>
    <row r="336" spans="1:3" x14ac:dyDescent="0.15">
      <c r="A336">
        <v>60015</v>
      </c>
      <c r="B336" t="s">
        <v>2014</v>
      </c>
      <c r="C336" t="s">
        <v>2085</v>
      </c>
    </row>
    <row r="337" spans="1:3" x14ac:dyDescent="0.15">
      <c r="A337">
        <v>60016</v>
      </c>
      <c r="B337" t="s">
        <v>2014</v>
      </c>
      <c r="C337" t="s">
        <v>2086</v>
      </c>
    </row>
    <row r="338" spans="1:3" x14ac:dyDescent="0.15">
      <c r="A338">
        <v>60017</v>
      </c>
      <c r="B338" t="s">
        <v>2014</v>
      </c>
      <c r="C338" t="s">
        <v>2087</v>
      </c>
    </row>
    <row r="339" spans="1:3" x14ac:dyDescent="0.15">
      <c r="A339">
        <v>60018</v>
      </c>
      <c r="B339" t="s">
        <v>2014</v>
      </c>
      <c r="C339" t="s">
        <v>2088</v>
      </c>
    </row>
    <row r="340" spans="1:3" x14ac:dyDescent="0.15">
      <c r="A340">
        <v>60019</v>
      </c>
      <c r="B340" t="s">
        <v>2014</v>
      </c>
      <c r="C340" t="s">
        <v>2089</v>
      </c>
    </row>
    <row r="341" spans="1:3" x14ac:dyDescent="0.15">
      <c r="A341">
        <v>60020</v>
      </c>
      <c r="B341" t="s">
        <v>2014</v>
      </c>
      <c r="C341" t="s">
        <v>2090</v>
      </c>
    </row>
    <row r="342" spans="1:3" x14ac:dyDescent="0.15">
      <c r="A342">
        <v>60021</v>
      </c>
      <c r="B342" t="s">
        <v>2014</v>
      </c>
      <c r="C342" t="s">
        <v>2091</v>
      </c>
    </row>
    <row r="343" spans="1:3" x14ac:dyDescent="0.15">
      <c r="A343">
        <v>60022</v>
      </c>
      <c r="B343" t="s">
        <v>2014</v>
      </c>
      <c r="C343" t="s">
        <v>2092</v>
      </c>
    </row>
    <row r="344" spans="1:3" x14ac:dyDescent="0.15">
      <c r="A344">
        <v>60023</v>
      </c>
      <c r="B344" t="s">
        <v>2014</v>
      </c>
      <c r="C344" t="s">
        <v>2093</v>
      </c>
    </row>
    <row r="345" spans="1:3" x14ac:dyDescent="0.15">
      <c r="A345" t="s">
        <v>3399</v>
      </c>
    </row>
    <row r="346" spans="1:3" x14ac:dyDescent="0.15">
      <c r="A346">
        <v>80001</v>
      </c>
      <c r="B346" t="s">
        <v>2102</v>
      </c>
      <c r="C346" t="s">
        <v>2191</v>
      </c>
    </row>
    <row r="347" spans="1:3" x14ac:dyDescent="0.15">
      <c r="A347">
        <v>80002</v>
      </c>
      <c r="B347" t="s">
        <v>2102</v>
      </c>
      <c r="C347" t="s">
        <v>2192</v>
      </c>
    </row>
    <row r="348" spans="1:3" x14ac:dyDescent="0.15">
      <c r="A348">
        <v>80003</v>
      </c>
      <c r="B348" t="s">
        <v>2102</v>
      </c>
      <c r="C348" t="s">
        <v>2193</v>
      </c>
    </row>
    <row r="349" spans="1:3" x14ac:dyDescent="0.15">
      <c r="A349">
        <v>80004</v>
      </c>
      <c r="B349" t="s">
        <v>2102</v>
      </c>
      <c r="C349" t="s">
        <v>2194</v>
      </c>
    </row>
    <row r="350" spans="1:3" x14ac:dyDescent="0.15">
      <c r="A350">
        <v>80005</v>
      </c>
      <c r="B350" t="s">
        <v>2102</v>
      </c>
      <c r="C350" t="s">
        <v>2195</v>
      </c>
    </row>
    <row r="351" spans="1:3" x14ac:dyDescent="0.15">
      <c r="A351">
        <v>80006</v>
      </c>
      <c r="B351" t="s">
        <v>2102</v>
      </c>
      <c r="C351" t="s">
        <v>2196</v>
      </c>
    </row>
    <row r="352" spans="1:3" x14ac:dyDescent="0.15">
      <c r="A352">
        <v>80007</v>
      </c>
      <c r="B352" t="s">
        <v>2102</v>
      </c>
      <c r="C352" t="s">
        <v>2197</v>
      </c>
    </row>
    <row r="353" spans="1:3" x14ac:dyDescent="0.15">
      <c r="A353">
        <v>80008</v>
      </c>
      <c r="B353" t="s">
        <v>2102</v>
      </c>
      <c r="C353" t="s">
        <v>2198</v>
      </c>
    </row>
    <row r="354" spans="1:3" x14ac:dyDescent="0.15">
      <c r="A354">
        <v>80009</v>
      </c>
      <c r="B354" t="s">
        <v>2102</v>
      </c>
      <c r="C354" t="s">
        <v>2199</v>
      </c>
    </row>
    <row r="355" spans="1:3" x14ac:dyDescent="0.15">
      <c r="A355">
        <v>80010</v>
      </c>
      <c r="B355" t="s">
        <v>2102</v>
      </c>
      <c r="C355" t="s">
        <v>2200</v>
      </c>
    </row>
    <row r="356" spans="1:3" x14ac:dyDescent="0.15">
      <c r="A356">
        <v>80011</v>
      </c>
      <c r="B356" t="s">
        <v>2102</v>
      </c>
      <c r="C356" t="s">
        <v>2201</v>
      </c>
    </row>
    <row r="357" spans="1:3" x14ac:dyDescent="0.15">
      <c r="A357">
        <v>80012</v>
      </c>
      <c r="B357" t="s">
        <v>2102</v>
      </c>
      <c r="C357" t="s">
        <v>2202</v>
      </c>
    </row>
    <row r="358" spans="1:3" x14ac:dyDescent="0.15">
      <c r="A358">
        <v>80013</v>
      </c>
      <c r="B358" t="s">
        <v>2102</v>
      </c>
      <c r="C358" t="s">
        <v>2203</v>
      </c>
    </row>
    <row r="359" spans="1:3" x14ac:dyDescent="0.15">
      <c r="A359">
        <v>80014</v>
      </c>
      <c r="B359" t="s">
        <v>2102</v>
      </c>
      <c r="C359" t="s">
        <v>2204</v>
      </c>
    </row>
    <row r="360" spans="1:3" x14ac:dyDescent="0.15">
      <c r="A360">
        <v>80015</v>
      </c>
      <c r="B360" t="s">
        <v>2102</v>
      </c>
      <c r="C360" t="s">
        <v>2205</v>
      </c>
    </row>
    <row r="361" spans="1:3" x14ac:dyDescent="0.15">
      <c r="A361">
        <v>80016</v>
      </c>
      <c r="B361" t="s">
        <v>2102</v>
      </c>
      <c r="C361" t="s">
        <v>2206</v>
      </c>
    </row>
    <row r="362" spans="1:3" x14ac:dyDescent="0.15">
      <c r="A362">
        <v>80017</v>
      </c>
      <c r="B362" t="s">
        <v>2102</v>
      </c>
      <c r="C362" t="s">
        <v>2207</v>
      </c>
    </row>
    <row r="363" spans="1:3" x14ac:dyDescent="0.15">
      <c r="A363">
        <v>80018</v>
      </c>
      <c r="B363" t="s">
        <v>2102</v>
      </c>
      <c r="C363" t="s">
        <v>2208</v>
      </c>
    </row>
    <row r="364" spans="1:3" x14ac:dyDescent="0.15">
      <c r="A364">
        <v>80019</v>
      </c>
      <c r="B364" t="s">
        <v>2102</v>
      </c>
      <c r="C364" t="s">
        <v>2209</v>
      </c>
    </row>
    <row r="365" spans="1:3" x14ac:dyDescent="0.15">
      <c r="A365">
        <v>80020</v>
      </c>
      <c r="B365" t="s">
        <v>2102</v>
      </c>
      <c r="C365" t="s">
        <v>2210</v>
      </c>
    </row>
    <row r="366" spans="1:3" x14ac:dyDescent="0.15">
      <c r="A366">
        <v>80021</v>
      </c>
      <c r="B366" t="s">
        <v>2102</v>
      </c>
      <c r="C366" t="s">
        <v>2211</v>
      </c>
    </row>
    <row r="367" spans="1:3" x14ac:dyDescent="0.15">
      <c r="A367">
        <v>80022</v>
      </c>
      <c r="B367" t="s">
        <v>2102</v>
      </c>
      <c r="C367" t="s">
        <v>2212</v>
      </c>
    </row>
    <row r="368" spans="1:3" x14ac:dyDescent="0.15">
      <c r="A368">
        <v>80023</v>
      </c>
      <c r="B368" t="s">
        <v>2102</v>
      </c>
      <c r="C368" t="s">
        <v>2213</v>
      </c>
    </row>
    <row r="369" spans="1:3" x14ac:dyDescent="0.15">
      <c r="A369">
        <v>80024</v>
      </c>
      <c r="B369" t="s">
        <v>2102</v>
      </c>
      <c r="C369" t="s">
        <v>2214</v>
      </c>
    </row>
    <row r="370" spans="1:3" x14ac:dyDescent="0.15">
      <c r="A370">
        <v>80025</v>
      </c>
      <c r="B370" t="s">
        <v>2102</v>
      </c>
      <c r="C370" t="s">
        <v>2215</v>
      </c>
    </row>
    <row r="371" spans="1:3" x14ac:dyDescent="0.15">
      <c r="A371">
        <v>80026</v>
      </c>
      <c r="B371" t="s">
        <v>2102</v>
      </c>
      <c r="C371" t="s">
        <v>2216</v>
      </c>
    </row>
    <row r="372" spans="1:3" x14ac:dyDescent="0.15">
      <c r="A372" t="s">
        <v>3400</v>
      </c>
    </row>
    <row r="373" spans="1:3" x14ac:dyDescent="0.15">
      <c r="A373">
        <v>70001</v>
      </c>
      <c r="B373" t="s">
        <v>2103</v>
      </c>
      <c r="C373" t="s">
        <v>2105</v>
      </c>
    </row>
    <row r="374" spans="1:3" x14ac:dyDescent="0.15">
      <c r="A374">
        <v>70002</v>
      </c>
      <c r="B374" t="s">
        <v>2103</v>
      </c>
      <c r="C374" t="s">
        <v>2106</v>
      </c>
    </row>
    <row r="375" spans="1:3" x14ac:dyDescent="0.15">
      <c r="A375">
        <v>70003</v>
      </c>
      <c r="B375" t="s">
        <v>2103</v>
      </c>
      <c r="C375" t="s">
        <v>2107</v>
      </c>
    </row>
    <row r="376" spans="1:3" x14ac:dyDescent="0.15">
      <c r="A376">
        <v>70004</v>
      </c>
      <c r="B376" t="s">
        <v>2103</v>
      </c>
      <c r="C376" t="s">
        <v>2108</v>
      </c>
    </row>
    <row r="377" spans="1:3" x14ac:dyDescent="0.15">
      <c r="A377">
        <v>70005</v>
      </c>
      <c r="B377" t="s">
        <v>2103</v>
      </c>
      <c r="C377" t="s">
        <v>2109</v>
      </c>
    </row>
    <row r="378" spans="1:3" x14ac:dyDescent="0.15">
      <c r="A378">
        <v>70006</v>
      </c>
      <c r="B378" t="s">
        <v>2103</v>
      </c>
      <c r="C378" t="s">
        <v>2110</v>
      </c>
    </row>
    <row r="379" spans="1:3" x14ac:dyDescent="0.15">
      <c r="A379">
        <v>70007</v>
      </c>
      <c r="B379" t="s">
        <v>2103</v>
      </c>
      <c r="C379" t="s">
        <v>2111</v>
      </c>
    </row>
    <row r="380" spans="1:3" x14ac:dyDescent="0.15">
      <c r="A380">
        <v>70008</v>
      </c>
      <c r="B380" t="s">
        <v>2103</v>
      </c>
      <c r="C380" t="s">
        <v>2112</v>
      </c>
    </row>
    <row r="381" spans="1:3" x14ac:dyDescent="0.15">
      <c r="A381">
        <v>70009</v>
      </c>
      <c r="B381" t="s">
        <v>2103</v>
      </c>
      <c r="C381" t="s">
        <v>2113</v>
      </c>
    </row>
    <row r="382" spans="1:3" x14ac:dyDescent="0.15">
      <c r="A382">
        <v>70010</v>
      </c>
      <c r="B382" t="s">
        <v>2103</v>
      </c>
      <c r="C382" t="s">
        <v>2114</v>
      </c>
    </row>
    <row r="383" spans="1:3" x14ac:dyDescent="0.15">
      <c r="A383">
        <v>70011</v>
      </c>
      <c r="B383" t="s">
        <v>2103</v>
      </c>
      <c r="C383" t="s">
        <v>2115</v>
      </c>
    </row>
    <row r="384" spans="1:3" x14ac:dyDescent="0.15">
      <c r="A384">
        <v>70012</v>
      </c>
      <c r="B384" t="s">
        <v>2103</v>
      </c>
      <c r="C384" t="s">
        <v>2116</v>
      </c>
    </row>
    <row r="385" spans="1:3" x14ac:dyDescent="0.15">
      <c r="A385">
        <v>70013</v>
      </c>
      <c r="B385" t="s">
        <v>2103</v>
      </c>
      <c r="C385" t="s">
        <v>2117</v>
      </c>
    </row>
    <row r="386" spans="1:3" x14ac:dyDescent="0.15">
      <c r="A386">
        <v>70014</v>
      </c>
      <c r="B386" t="s">
        <v>2103</v>
      </c>
      <c r="C386" t="s">
        <v>2118</v>
      </c>
    </row>
    <row r="387" spans="1:3" x14ac:dyDescent="0.15">
      <c r="A387">
        <v>70015</v>
      </c>
      <c r="B387" t="s">
        <v>2103</v>
      </c>
      <c r="C387" t="s">
        <v>2119</v>
      </c>
    </row>
    <row r="388" spans="1:3" x14ac:dyDescent="0.15">
      <c r="A388">
        <v>70016</v>
      </c>
      <c r="B388" t="s">
        <v>2103</v>
      </c>
      <c r="C388" t="s">
        <v>2120</v>
      </c>
    </row>
    <row r="389" spans="1:3" x14ac:dyDescent="0.15">
      <c r="A389">
        <v>70017</v>
      </c>
      <c r="B389" t="s">
        <v>2103</v>
      </c>
      <c r="C389" t="s">
        <v>2121</v>
      </c>
    </row>
    <row r="390" spans="1:3" x14ac:dyDescent="0.15">
      <c r="A390">
        <v>70018</v>
      </c>
      <c r="B390" t="s">
        <v>2103</v>
      </c>
      <c r="C390" t="s">
        <v>2122</v>
      </c>
    </row>
    <row r="391" spans="1:3" x14ac:dyDescent="0.15">
      <c r="A391">
        <v>70019</v>
      </c>
      <c r="B391" t="s">
        <v>2103</v>
      </c>
      <c r="C391" t="s">
        <v>2123</v>
      </c>
    </row>
    <row r="392" spans="1:3" x14ac:dyDescent="0.15">
      <c r="A392">
        <v>70020</v>
      </c>
      <c r="B392" t="s">
        <v>2103</v>
      </c>
      <c r="C392" t="s">
        <v>2124</v>
      </c>
    </row>
    <row r="393" spans="1:3" x14ac:dyDescent="0.15">
      <c r="A393">
        <v>70021</v>
      </c>
      <c r="B393" t="s">
        <v>2103</v>
      </c>
      <c r="C393" t="s">
        <v>2125</v>
      </c>
    </row>
    <row r="394" spans="1:3" x14ac:dyDescent="0.15">
      <c r="A394">
        <v>70022</v>
      </c>
      <c r="B394" t="s">
        <v>2103</v>
      </c>
      <c r="C394" t="s">
        <v>2126</v>
      </c>
    </row>
    <row r="395" spans="1:3" x14ac:dyDescent="0.15">
      <c r="A395">
        <v>70023</v>
      </c>
      <c r="B395" t="s">
        <v>2103</v>
      </c>
      <c r="C395" t="s">
        <v>2127</v>
      </c>
    </row>
    <row r="396" spans="1:3" x14ac:dyDescent="0.15">
      <c r="A396">
        <v>70024</v>
      </c>
      <c r="B396" t="s">
        <v>2103</v>
      </c>
      <c r="C396" t="s">
        <v>2128</v>
      </c>
    </row>
    <row r="397" spans="1:3" x14ac:dyDescent="0.15">
      <c r="A397">
        <v>70025</v>
      </c>
      <c r="B397" t="s">
        <v>2103</v>
      </c>
      <c r="C397" t="s">
        <v>2129</v>
      </c>
    </row>
    <row r="398" spans="1:3" x14ac:dyDescent="0.15">
      <c r="A398">
        <v>70026</v>
      </c>
      <c r="B398" t="s">
        <v>2103</v>
      </c>
      <c r="C398" t="s">
        <v>2130</v>
      </c>
    </row>
    <row r="399" spans="1:3" x14ac:dyDescent="0.15">
      <c r="A399">
        <v>70027</v>
      </c>
      <c r="B399" t="s">
        <v>2103</v>
      </c>
      <c r="C399" t="s">
        <v>2131</v>
      </c>
    </row>
    <row r="400" spans="1:3" x14ac:dyDescent="0.15">
      <c r="A400">
        <v>70028</v>
      </c>
      <c r="B400" t="s">
        <v>2103</v>
      </c>
      <c r="C400" t="s">
        <v>2132</v>
      </c>
    </row>
    <row r="401" spans="1:3" x14ac:dyDescent="0.15">
      <c r="A401">
        <v>70029</v>
      </c>
      <c r="B401" t="s">
        <v>2103</v>
      </c>
      <c r="C401" t="s">
        <v>2133</v>
      </c>
    </row>
    <row r="402" spans="1:3" x14ac:dyDescent="0.15">
      <c r="A402">
        <v>70030</v>
      </c>
      <c r="B402" t="s">
        <v>2103</v>
      </c>
      <c r="C402" t="s">
        <v>2134</v>
      </c>
    </row>
    <row r="403" spans="1:3" x14ac:dyDescent="0.15">
      <c r="A403">
        <v>70031</v>
      </c>
      <c r="B403" t="s">
        <v>2103</v>
      </c>
      <c r="C403" t="s">
        <v>2135</v>
      </c>
    </row>
    <row r="404" spans="1:3" x14ac:dyDescent="0.15">
      <c r="A404">
        <v>70032</v>
      </c>
      <c r="B404" t="s">
        <v>2103</v>
      </c>
      <c r="C404" t="s">
        <v>2136</v>
      </c>
    </row>
    <row r="405" spans="1:3" x14ac:dyDescent="0.15">
      <c r="A405">
        <v>70033</v>
      </c>
      <c r="B405" t="s">
        <v>2103</v>
      </c>
      <c r="C405" t="s">
        <v>2137</v>
      </c>
    </row>
    <row r="406" spans="1:3" x14ac:dyDescent="0.15">
      <c r="A406">
        <v>70034</v>
      </c>
      <c r="B406" t="s">
        <v>2103</v>
      </c>
      <c r="C406" t="s">
        <v>2138</v>
      </c>
    </row>
    <row r="407" spans="1:3" x14ac:dyDescent="0.15">
      <c r="A407">
        <v>70035</v>
      </c>
      <c r="B407" t="s">
        <v>2103</v>
      </c>
      <c r="C407" t="s">
        <v>2139</v>
      </c>
    </row>
    <row r="408" spans="1:3" x14ac:dyDescent="0.15">
      <c r="A408">
        <v>70036</v>
      </c>
      <c r="B408" t="s">
        <v>2103</v>
      </c>
      <c r="C408" t="s">
        <v>2140</v>
      </c>
    </row>
    <row r="409" spans="1:3" x14ac:dyDescent="0.15">
      <c r="A409">
        <v>70037</v>
      </c>
      <c r="B409" t="s">
        <v>2103</v>
      </c>
      <c r="C409" t="s">
        <v>2141</v>
      </c>
    </row>
    <row r="410" spans="1:3" x14ac:dyDescent="0.15">
      <c r="A410">
        <v>70038</v>
      </c>
      <c r="B410" t="s">
        <v>2103</v>
      </c>
      <c r="C410" t="s">
        <v>2142</v>
      </c>
    </row>
    <row r="411" spans="1:3" x14ac:dyDescent="0.15">
      <c r="A411">
        <v>70039</v>
      </c>
      <c r="B411" t="s">
        <v>2103</v>
      </c>
      <c r="C411" t="s">
        <v>2143</v>
      </c>
    </row>
    <row r="412" spans="1:3" x14ac:dyDescent="0.15">
      <c r="A412">
        <v>70040</v>
      </c>
      <c r="B412" t="s">
        <v>2103</v>
      </c>
      <c r="C412" t="s">
        <v>2144</v>
      </c>
    </row>
    <row r="413" spans="1:3" x14ac:dyDescent="0.15">
      <c r="A413">
        <v>70041</v>
      </c>
      <c r="B413" t="s">
        <v>2103</v>
      </c>
      <c r="C413" t="s">
        <v>2145</v>
      </c>
    </row>
    <row r="414" spans="1:3" x14ac:dyDescent="0.15">
      <c r="A414">
        <v>70042</v>
      </c>
      <c r="B414" t="s">
        <v>2103</v>
      </c>
      <c r="C414" t="s">
        <v>2146</v>
      </c>
    </row>
    <row r="415" spans="1:3" x14ac:dyDescent="0.15">
      <c r="A415">
        <v>70043</v>
      </c>
      <c r="B415" t="s">
        <v>2103</v>
      </c>
      <c r="C415" t="s">
        <v>2147</v>
      </c>
    </row>
    <row r="416" spans="1:3" x14ac:dyDescent="0.15">
      <c r="A416">
        <v>70044</v>
      </c>
      <c r="B416" t="s">
        <v>2103</v>
      </c>
      <c r="C416" t="s">
        <v>2148</v>
      </c>
    </row>
    <row r="417" spans="1:3" x14ac:dyDescent="0.15">
      <c r="A417">
        <v>70045</v>
      </c>
      <c r="B417" t="s">
        <v>2103</v>
      </c>
      <c r="C417" t="s">
        <v>2149</v>
      </c>
    </row>
    <row r="418" spans="1:3" x14ac:dyDescent="0.15">
      <c r="A418">
        <v>70046</v>
      </c>
      <c r="B418" t="s">
        <v>2103</v>
      </c>
      <c r="C418" t="s">
        <v>2150</v>
      </c>
    </row>
    <row r="419" spans="1:3" x14ac:dyDescent="0.15">
      <c r="A419">
        <v>70047</v>
      </c>
      <c r="B419" t="s">
        <v>2103</v>
      </c>
      <c r="C419" t="s">
        <v>2151</v>
      </c>
    </row>
    <row r="420" spans="1:3" x14ac:dyDescent="0.15">
      <c r="A420">
        <v>70048</v>
      </c>
      <c r="B420" t="s">
        <v>2103</v>
      </c>
      <c r="C420" t="s">
        <v>2152</v>
      </c>
    </row>
    <row r="421" spans="1:3" x14ac:dyDescent="0.15">
      <c r="A421">
        <v>70049</v>
      </c>
      <c r="B421" t="s">
        <v>2103</v>
      </c>
      <c r="C421" t="s">
        <v>2153</v>
      </c>
    </row>
    <row r="422" spans="1:3" x14ac:dyDescent="0.15">
      <c r="A422">
        <v>70050</v>
      </c>
      <c r="B422" t="s">
        <v>2103</v>
      </c>
      <c r="C422" t="s">
        <v>2154</v>
      </c>
    </row>
    <row r="423" spans="1:3" x14ac:dyDescent="0.15">
      <c r="A423">
        <v>70051</v>
      </c>
      <c r="B423" t="s">
        <v>2103</v>
      </c>
      <c r="C423" t="s">
        <v>2155</v>
      </c>
    </row>
    <row r="424" spans="1:3" x14ac:dyDescent="0.15">
      <c r="A424">
        <v>70052</v>
      </c>
      <c r="B424" t="s">
        <v>2103</v>
      </c>
      <c r="C424" t="s">
        <v>2156</v>
      </c>
    </row>
    <row r="425" spans="1:3" x14ac:dyDescent="0.15">
      <c r="A425">
        <v>70053</v>
      </c>
      <c r="B425" t="s">
        <v>2103</v>
      </c>
      <c r="C425" t="s">
        <v>2157</v>
      </c>
    </row>
    <row r="426" spans="1:3" x14ac:dyDescent="0.15">
      <c r="A426">
        <v>70054</v>
      </c>
      <c r="B426" t="s">
        <v>2103</v>
      </c>
      <c r="C426" t="s">
        <v>2158</v>
      </c>
    </row>
    <row r="427" spans="1:3" x14ac:dyDescent="0.15">
      <c r="A427">
        <v>70055</v>
      </c>
      <c r="B427" t="s">
        <v>2103</v>
      </c>
      <c r="C427" t="s">
        <v>2159</v>
      </c>
    </row>
    <row r="428" spans="1:3" x14ac:dyDescent="0.15">
      <c r="A428">
        <v>70056</v>
      </c>
      <c r="B428" t="s">
        <v>2103</v>
      </c>
      <c r="C428" t="s">
        <v>2160</v>
      </c>
    </row>
    <row r="429" spans="1:3" x14ac:dyDescent="0.15">
      <c r="A429">
        <v>70057</v>
      </c>
      <c r="B429" t="s">
        <v>2103</v>
      </c>
      <c r="C429" t="s">
        <v>2161</v>
      </c>
    </row>
    <row r="430" spans="1:3" x14ac:dyDescent="0.15">
      <c r="A430">
        <v>70058</v>
      </c>
      <c r="B430" t="s">
        <v>2103</v>
      </c>
      <c r="C430" t="s">
        <v>2162</v>
      </c>
    </row>
    <row r="431" spans="1:3" x14ac:dyDescent="0.15">
      <c r="A431">
        <v>70059</v>
      </c>
      <c r="B431" t="s">
        <v>2103</v>
      </c>
      <c r="C431" t="s">
        <v>2163</v>
      </c>
    </row>
    <row r="432" spans="1:3" x14ac:dyDescent="0.15">
      <c r="A432">
        <v>70060</v>
      </c>
      <c r="B432" t="s">
        <v>2103</v>
      </c>
      <c r="C432" t="s">
        <v>2164</v>
      </c>
    </row>
    <row r="433" spans="1:3" x14ac:dyDescent="0.15">
      <c r="A433">
        <v>70061</v>
      </c>
      <c r="B433" t="s">
        <v>2103</v>
      </c>
      <c r="C433" t="s">
        <v>2165</v>
      </c>
    </row>
    <row r="434" spans="1:3" x14ac:dyDescent="0.15">
      <c r="A434">
        <v>70062</v>
      </c>
      <c r="B434" t="s">
        <v>2103</v>
      </c>
      <c r="C434" t="s">
        <v>2166</v>
      </c>
    </row>
    <row r="435" spans="1:3" x14ac:dyDescent="0.15">
      <c r="A435">
        <v>70063</v>
      </c>
      <c r="B435" t="s">
        <v>2103</v>
      </c>
      <c r="C435" t="s">
        <v>2167</v>
      </c>
    </row>
    <row r="436" spans="1:3" x14ac:dyDescent="0.15">
      <c r="A436">
        <v>70064</v>
      </c>
      <c r="B436" t="s">
        <v>2103</v>
      </c>
      <c r="C436" t="s">
        <v>2168</v>
      </c>
    </row>
    <row r="437" spans="1:3" x14ac:dyDescent="0.15">
      <c r="A437">
        <v>70065</v>
      </c>
      <c r="B437" t="s">
        <v>2103</v>
      </c>
      <c r="C437" t="s">
        <v>2169</v>
      </c>
    </row>
    <row r="438" spans="1:3" x14ac:dyDescent="0.15">
      <c r="A438">
        <v>70066</v>
      </c>
      <c r="B438" t="s">
        <v>2103</v>
      </c>
      <c r="C438" t="s">
        <v>2170</v>
      </c>
    </row>
    <row r="439" spans="1:3" x14ac:dyDescent="0.15">
      <c r="A439">
        <v>70067</v>
      </c>
      <c r="B439" t="s">
        <v>2103</v>
      </c>
      <c r="C439" t="s">
        <v>2171</v>
      </c>
    </row>
    <row r="440" spans="1:3" x14ac:dyDescent="0.15">
      <c r="A440">
        <v>70068</v>
      </c>
      <c r="B440" t="s">
        <v>2103</v>
      </c>
      <c r="C440" t="s">
        <v>2172</v>
      </c>
    </row>
    <row r="441" spans="1:3" x14ac:dyDescent="0.15">
      <c r="A441">
        <v>70069</v>
      </c>
      <c r="B441" t="s">
        <v>2103</v>
      </c>
      <c r="C441" t="s">
        <v>2173</v>
      </c>
    </row>
    <row r="442" spans="1:3" x14ac:dyDescent="0.15">
      <c r="A442">
        <v>70070</v>
      </c>
      <c r="B442" t="s">
        <v>2103</v>
      </c>
      <c r="C442" t="s">
        <v>2174</v>
      </c>
    </row>
    <row r="443" spans="1:3" x14ac:dyDescent="0.15">
      <c r="A443">
        <v>70071</v>
      </c>
      <c r="B443" t="s">
        <v>2103</v>
      </c>
      <c r="C443" t="s">
        <v>2175</v>
      </c>
    </row>
    <row r="444" spans="1:3" x14ac:dyDescent="0.15">
      <c r="A444">
        <v>70072</v>
      </c>
      <c r="B444" t="s">
        <v>2103</v>
      </c>
      <c r="C444" t="s">
        <v>2176</v>
      </c>
    </row>
    <row r="445" spans="1:3" x14ac:dyDescent="0.15">
      <c r="A445">
        <v>70073</v>
      </c>
      <c r="B445" t="s">
        <v>2103</v>
      </c>
      <c r="C445" t="s">
        <v>2177</v>
      </c>
    </row>
    <row r="446" spans="1:3" x14ac:dyDescent="0.15">
      <c r="A446">
        <v>70074</v>
      </c>
      <c r="B446" t="s">
        <v>2103</v>
      </c>
      <c r="C446" t="s">
        <v>2178</v>
      </c>
    </row>
    <row r="447" spans="1:3" x14ac:dyDescent="0.15">
      <c r="A447">
        <v>70075</v>
      </c>
      <c r="B447" t="s">
        <v>2103</v>
      </c>
      <c r="C447" t="s">
        <v>2179</v>
      </c>
    </row>
    <row r="448" spans="1:3" x14ac:dyDescent="0.15">
      <c r="A448">
        <v>70076</v>
      </c>
      <c r="B448" t="s">
        <v>2103</v>
      </c>
      <c r="C448" t="s">
        <v>2180</v>
      </c>
    </row>
    <row r="449" spans="1:3" x14ac:dyDescent="0.15">
      <c r="A449">
        <v>70077</v>
      </c>
      <c r="B449" t="s">
        <v>2103</v>
      </c>
      <c r="C449" t="s">
        <v>2181</v>
      </c>
    </row>
    <row r="450" spans="1:3" x14ac:dyDescent="0.15">
      <c r="A450">
        <v>70078</v>
      </c>
      <c r="B450" t="s">
        <v>2103</v>
      </c>
      <c r="C450" t="s">
        <v>2182</v>
      </c>
    </row>
    <row r="451" spans="1:3" x14ac:dyDescent="0.15">
      <c r="A451">
        <v>70079</v>
      </c>
      <c r="B451" t="s">
        <v>2103</v>
      </c>
      <c r="C451" t="s">
        <v>2183</v>
      </c>
    </row>
    <row r="452" spans="1:3" x14ac:dyDescent="0.15">
      <c r="A452">
        <v>70080</v>
      </c>
      <c r="B452" t="s">
        <v>2103</v>
      </c>
      <c r="C452" t="s">
        <v>2184</v>
      </c>
    </row>
    <row r="453" spans="1:3" x14ac:dyDescent="0.15">
      <c r="A453">
        <v>70081</v>
      </c>
      <c r="B453" t="s">
        <v>2103</v>
      </c>
      <c r="C453" t="s">
        <v>2185</v>
      </c>
    </row>
    <row r="454" spans="1:3" x14ac:dyDescent="0.15">
      <c r="A454">
        <v>70082</v>
      </c>
      <c r="B454" t="s">
        <v>2103</v>
      </c>
      <c r="C454" t="s">
        <v>2186</v>
      </c>
    </row>
    <row r="455" spans="1:3" x14ac:dyDescent="0.15">
      <c r="A455">
        <v>70083</v>
      </c>
      <c r="B455" t="s">
        <v>2103</v>
      </c>
      <c r="C455" t="s">
        <v>2187</v>
      </c>
    </row>
    <row r="456" spans="1:3" x14ac:dyDescent="0.15">
      <c r="A456">
        <v>70084</v>
      </c>
      <c r="B456" t="s">
        <v>2103</v>
      </c>
      <c r="C456" t="s">
        <v>2188</v>
      </c>
    </row>
    <row r="457" spans="1:3" x14ac:dyDescent="0.15">
      <c r="A457">
        <v>70085</v>
      </c>
      <c r="B457" t="s">
        <v>2103</v>
      </c>
      <c r="C457" t="s">
        <v>2189</v>
      </c>
    </row>
    <row r="458" spans="1:3" x14ac:dyDescent="0.15">
      <c r="A458">
        <v>70086</v>
      </c>
      <c r="B458" t="s">
        <v>2103</v>
      </c>
      <c r="C458" t="s">
        <v>2190</v>
      </c>
    </row>
    <row r="459" spans="1:3" x14ac:dyDescent="0.15">
      <c r="A459" t="s">
        <v>3401</v>
      </c>
    </row>
    <row r="460" spans="1:3" x14ac:dyDescent="0.15">
      <c r="A460">
        <v>121001</v>
      </c>
      <c r="B460" t="s">
        <v>2217</v>
      </c>
      <c r="C460" t="s">
        <v>2218</v>
      </c>
    </row>
    <row r="461" spans="1:3" x14ac:dyDescent="0.15">
      <c r="A461">
        <v>121002</v>
      </c>
      <c r="B461" t="s">
        <v>2217</v>
      </c>
      <c r="C461" t="s">
        <v>2219</v>
      </c>
    </row>
    <row r="462" spans="1:3" x14ac:dyDescent="0.15">
      <c r="A462">
        <v>121003</v>
      </c>
      <c r="B462" t="s">
        <v>2217</v>
      </c>
      <c r="C462" t="s">
        <v>2220</v>
      </c>
    </row>
    <row r="463" spans="1:3" x14ac:dyDescent="0.15">
      <c r="A463">
        <v>121004</v>
      </c>
      <c r="B463" t="s">
        <v>2217</v>
      </c>
      <c r="C463" t="s">
        <v>2221</v>
      </c>
    </row>
    <row r="464" spans="1:3" x14ac:dyDescent="0.15">
      <c r="A464">
        <v>121005</v>
      </c>
      <c r="B464" t="s">
        <v>2217</v>
      </c>
      <c r="C464" t="s">
        <v>2222</v>
      </c>
    </row>
    <row r="465" spans="1:3" x14ac:dyDescent="0.15">
      <c r="A465">
        <v>121006</v>
      </c>
      <c r="B465" t="s">
        <v>2217</v>
      </c>
      <c r="C465" t="s">
        <v>2223</v>
      </c>
    </row>
    <row r="466" spans="1:3" x14ac:dyDescent="0.15">
      <c r="A466">
        <v>121007</v>
      </c>
      <c r="B466" t="s">
        <v>2217</v>
      </c>
      <c r="C466" t="s">
        <v>2224</v>
      </c>
    </row>
    <row r="467" spans="1:3" x14ac:dyDescent="0.15">
      <c r="A467">
        <v>121008</v>
      </c>
      <c r="B467" t="s">
        <v>2217</v>
      </c>
      <c r="C467" t="s">
        <v>2225</v>
      </c>
    </row>
    <row r="468" spans="1:3" x14ac:dyDescent="0.15">
      <c r="A468">
        <v>121009</v>
      </c>
      <c r="B468" t="s">
        <v>2217</v>
      </c>
      <c r="C468" t="s">
        <v>2226</v>
      </c>
    </row>
    <row r="469" spans="1:3" x14ac:dyDescent="0.15">
      <c r="A469">
        <v>121010</v>
      </c>
      <c r="B469" t="s">
        <v>2217</v>
      </c>
      <c r="C469" t="s">
        <v>2227</v>
      </c>
    </row>
    <row r="470" spans="1:3" x14ac:dyDescent="0.15">
      <c r="A470">
        <v>121011</v>
      </c>
      <c r="B470" t="s">
        <v>2217</v>
      </c>
      <c r="C470" t="s">
        <v>2228</v>
      </c>
    </row>
    <row r="471" spans="1:3" x14ac:dyDescent="0.15">
      <c r="A471">
        <v>121012</v>
      </c>
      <c r="B471" t="s">
        <v>2217</v>
      </c>
      <c r="C471" t="s">
        <v>2229</v>
      </c>
    </row>
    <row r="472" spans="1:3" x14ac:dyDescent="0.15">
      <c r="A472">
        <v>121013</v>
      </c>
      <c r="B472" t="s">
        <v>2217</v>
      </c>
      <c r="C472" t="s">
        <v>2230</v>
      </c>
    </row>
    <row r="473" spans="1:3" x14ac:dyDescent="0.15">
      <c r="A473">
        <v>121014</v>
      </c>
      <c r="B473" t="s">
        <v>2217</v>
      </c>
      <c r="C473" t="s">
        <v>2231</v>
      </c>
    </row>
    <row r="474" spans="1:3" x14ac:dyDescent="0.15">
      <c r="A474">
        <v>121015</v>
      </c>
      <c r="B474" t="s">
        <v>2217</v>
      </c>
      <c r="C474" t="s">
        <v>2232</v>
      </c>
    </row>
    <row r="475" spans="1:3" x14ac:dyDescent="0.15">
      <c r="A475">
        <v>121016</v>
      </c>
      <c r="B475" t="s">
        <v>2217</v>
      </c>
      <c r="C475" t="s">
        <v>2233</v>
      </c>
    </row>
    <row r="476" spans="1:3" x14ac:dyDescent="0.15">
      <c r="A476">
        <v>121017</v>
      </c>
      <c r="B476" t="s">
        <v>2217</v>
      </c>
      <c r="C476" t="s">
        <v>2234</v>
      </c>
    </row>
    <row r="477" spans="1:3" x14ac:dyDescent="0.15">
      <c r="A477">
        <v>121018</v>
      </c>
      <c r="B477" t="s">
        <v>2217</v>
      </c>
      <c r="C477" t="s">
        <v>2235</v>
      </c>
    </row>
    <row r="478" spans="1:3" x14ac:dyDescent="0.15">
      <c r="A478">
        <v>121019</v>
      </c>
      <c r="B478" t="s">
        <v>2217</v>
      </c>
      <c r="C478" t="s">
        <v>2236</v>
      </c>
    </row>
    <row r="479" spans="1:3" x14ac:dyDescent="0.15">
      <c r="A479">
        <v>121020</v>
      </c>
      <c r="B479" t="s">
        <v>2217</v>
      </c>
      <c r="C479" t="s">
        <v>2237</v>
      </c>
    </row>
    <row r="480" spans="1:3" x14ac:dyDescent="0.15">
      <c r="A480">
        <v>121021</v>
      </c>
      <c r="B480" t="s">
        <v>2217</v>
      </c>
      <c r="C480" t="s">
        <v>2238</v>
      </c>
    </row>
    <row r="481" spans="1:3" x14ac:dyDescent="0.15">
      <c r="A481">
        <v>121022</v>
      </c>
      <c r="B481" t="s">
        <v>2217</v>
      </c>
      <c r="C481" t="s">
        <v>2239</v>
      </c>
    </row>
    <row r="482" spans="1:3" x14ac:dyDescent="0.15">
      <c r="A482">
        <v>121023</v>
      </c>
      <c r="B482" t="s">
        <v>2217</v>
      </c>
      <c r="C482" t="s">
        <v>2240</v>
      </c>
    </row>
    <row r="483" spans="1:3" x14ac:dyDescent="0.15">
      <c r="A483">
        <v>121024</v>
      </c>
      <c r="B483" t="s">
        <v>2217</v>
      </c>
      <c r="C483" t="s">
        <v>2241</v>
      </c>
    </row>
    <row r="484" spans="1:3" x14ac:dyDescent="0.15">
      <c r="A484">
        <v>121025</v>
      </c>
      <c r="B484" t="s">
        <v>2217</v>
      </c>
      <c r="C484" t="s">
        <v>2242</v>
      </c>
    </row>
    <row r="485" spans="1:3" x14ac:dyDescent="0.15">
      <c r="A485">
        <v>121026</v>
      </c>
      <c r="B485" t="s">
        <v>2217</v>
      </c>
      <c r="C485" t="s">
        <v>2243</v>
      </c>
    </row>
    <row r="486" spans="1:3" x14ac:dyDescent="0.15">
      <c r="A486">
        <v>121027</v>
      </c>
      <c r="B486" t="s">
        <v>2217</v>
      </c>
      <c r="C486" t="s">
        <v>2244</v>
      </c>
    </row>
    <row r="487" spans="1:3" x14ac:dyDescent="0.15">
      <c r="A487">
        <v>121028</v>
      </c>
      <c r="B487" t="s">
        <v>2217</v>
      </c>
      <c r="C487" t="s">
        <v>2245</v>
      </c>
    </row>
    <row r="488" spans="1:3" x14ac:dyDescent="0.15">
      <c r="A488">
        <v>121029</v>
      </c>
      <c r="B488" t="s">
        <v>2217</v>
      </c>
      <c r="C488" t="s">
        <v>2246</v>
      </c>
    </row>
    <row r="489" spans="1:3" x14ac:dyDescent="0.15">
      <c r="A489">
        <v>121030</v>
      </c>
      <c r="B489" t="s">
        <v>2217</v>
      </c>
      <c r="C489" t="s">
        <v>2247</v>
      </c>
    </row>
    <row r="490" spans="1:3" x14ac:dyDescent="0.15">
      <c r="A490">
        <v>121031</v>
      </c>
      <c r="B490" t="s">
        <v>2217</v>
      </c>
      <c r="C490" t="s">
        <v>2248</v>
      </c>
    </row>
    <row r="491" spans="1:3" x14ac:dyDescent="0.15">
      <c r="A491">
        <v>121032</v>
      </c>
      <c r="B491" t="s">
        <v>2217</v>
      </c>
      <c r="C491" t="s">
        <v>2249</v>
      </c>
    </row>
    <row r="492" spans="1:3" x14ac:dyDescent="0.15">
      <c r="A492">
        <v>121033</v>
      </c>
      <c r="B492" t="s">
        <v>2217</v>
      </c>
      <c r="C492" t="s">
        <v>2250</v>
      </c>
    </row>
    <row r="493" spans="1:3" x14ac:dyDescent="0.15">
      <c r="A493">
        <v>121034</v>
      </c>
      <c r="B493" t="s">
        <v>2217</v>
      </c>
      <c r="C493" t="s">
        <v>2251</v>
      </c>
    </row>
    <row r="494" spans="1:3" x14ac:dyDescent="0.15">
      <c r="A494">
        <v>121035</v>
      </c>
      <c r="B494" t="s">
        <v>2217</v>
      </c>
      <c r="C494" t="s">
        <v>2252</v>
      </c>
    </row>
    <row r="495" spans="1:3" x14ac:dyDescent="0.15">
      <c r="A495">
        <v>121036</v>
      </c>
      <c r="B495" t="s">
        <v>2217</v>
      </c>
      <c r="C495" t="s">
        <v>2253</v>
      </c>
    </row>
    <row r="496" spans="1:3" x14ac:dyDescent="0.15">
      <c r="A496">
        <v>121037</v>
      </c>
      <c r="B496" t="s">
        <v>2217</v>
      </c>
      <c r="C496" t="s">
        <v>2254</v>
      </c>
    </row>
    <row r="497" spans="1:3" x14ac:dyDescent="0.15">
      <c r="A497">
        <v>121038</v>
      </c>
      <c r="B497" t="s">
        <v>2217</v>
      </c>
      <c r="C497" t="s">
        <v>2255</v>
      </c>
    </row>
    <row r="498" spans="1:3" x14ac:dyDescent="0.15">
      <c r="A498">
        <v>121039</v>
      </c>
      <c r="B498" t="s">
        <v>2217</v>
      </c>
      <c r="C498" t="s">
        <v>2256</v>
      </c>
    </row>
    <row r="499" spans="1:3" x14ac:dyDescent="0.15">
      <c r="A499">
        <v>121040</v>
      </c>
      <c r="B499" t="s">
        <v>2217</v>
      </c>
      <c r="C499" t="s">
        <v>2257</v>
      </c>
    </row>
    <row r="500" spans="1:3" x14ac:dyDescent="0.15">
      <c r="A500">
        <v>121041</v>
      </c>
      <c r="B500" t="s">
        <v>2217</v>
      </c>
      <c r="C500" t="s">
        <v>2258</v>
      </c>
    </row>
    <row r="501" spans="1:3" x14ac:dyDescent="0.15">
      <c r="A501">
        <v>121042</v>
      </c>
      <c r="B501" t="s">
        <v>2217</v>
      </c>
      <c r="C501" t="s">
        <v>2259</v>
      </c>
    </row>
    <row r="502" spans="1:3" x14ac:dyDescent="0.15">
      <c r="A502">
        <v>121043</v>
      </c>
      <c r="B502" t="s">
        <v>2217</v>
      </c>
      <c r="C502" t="s">
        <v>2260</v>
      </c>
    </row>
    <row r="503" spans="1:3" x14ac:dyDescent="0.15">
      <c r="A503">
        <v>121044</v>
      </c>
      <c r="B503" t="s">
        <v>2217</v>
      </c>
      <c r="C503" t="s">
        <v>2261</v>
      </c>
    </row>
    <row r="504" spans="1:3" x14ac:dyDescent="0.15">
      <c r="A504">
        <v>121045</v>
      </c>
      <c r="B504" t="s">
        <v>2217</v>
      </c>
      <c r="C504" t="s">
        <v>2262</v>
      </c>
    </row>
    <row r="505" spans="1:3" x14ac:dyDescent="0.15">
      <c r="A505">
        <v>121046</v>
      </c>
      <c r="B505" t="s">
        <v>2217</v>
      </c>
      <c r="C505" t="s">
        <v>2263</v>
      </c>
    </row>
    <row r="506" spans="1:3" x14ac:dyDescent="0.15">
      <c r="A506">
        <v>121047</v>
      </c>
      <c r="B506" t="s">
        <v>2217</v>
      </c>
      <c r="C506" t="s">
        <v>2264</v>
      </c>
    </row>
    <row r="507" spans="1:3" x14ac:dyDescent="0.15">
      <c r="A507">
        <v>121048</v>
      </c>
      <c r="B507" t="s">
        <v>2217</v>
      </c>
      <c r="C507" t="s">
        <v>2265</v>
      </c>
    </row>
    <row r="508" spans="1:3" x14ac:dyDescent="0.15">
      <c r="A508">
        <v>121049</v>
      </c>
      <c r="B508" t="s">
        <v>2217</v>
      </c>
      <c r="C508" t="s">
        <v>2266</v>
      </c>
    </row>
    <row r="509" spans="1:3" x14ac:dyDescent="0.15">
      <c r="A509">
        <v>121050</v>
      </c>
      <c r="B509" t="s">
        <v>2217</v>
      </c>
      <c r="C509" t="s">
        <v>2267</v>
      </c>
    </row>
    <row r="510" spans="1:3" x14ac:dyDescent="0.15">
      <c r="A510">
        <v>121051</v>
      </c>
      <c r="B510" t="s">
        <v>2217</v>
      </c>
      <c r="C510" t="s">
        <v>2268</v>
      </c>
    </row>
    <row r="511" spans="1:3" x14ac:dyDescent="0.15">
      <c r="A511">
        <v>121052</v>
      </c>
      <c r="B511" t="s">
        <v>2217</v>
      </c>
      <c r="C511" t="s">
        <v>2269</v>
      </c>
    </row>
    <row r="512" spans="1:3" x14ac:dyDescent="0.15">
      <c r="A512">
        <v>121053</v>
      </c>
      <c r="B512" t="s">
        <v>2217</v>
      </c>
      <c r="C512" t="s">
        <v>2270</v>
      </c>
    </row>
    <row r="513" spans="1:3" x14ac:dyDescent="0.15">
      <c r="A513">
        <v>121054</v>
      </c>
      <c r="B513" t="s">
        <v>2217</v>
      </c>
      <c r="C513" t="s">
        <v>2271</v>
      </c>
    </row>
    <row r="514" spans="1:3" x14ac:dyDescent="0.15">
      <c r="A514">
        <v>121055</v>
      </c>
      <c r="B514" t="s">
        <v>2217</v>
      </c>
      <c r="C514" t="s">
        <v>2272</v>
      </c>
    </row>
    <row r="515" spans="1:3" x14ac:dyDescent="0.15">
      <c r="A515">
        <v>121056</v>
      </c>
      <c r="B515" t="s">
        <v>2217</v>
      </c>
      <c r="C515" t="s">
        <v>2273</v>
      </c>
    </row>
    <row r="516" spans="1:3" x14ac:dyDescent="0.15">
      <c r="A516">
        <v>121057</v>
      </c>
      <c r="B516" t="s">
        <v>2217</v>
      </c>
      <c r="C516" t="s">
        <v>2274</v>
      </c>
    </row>
    <row r="517" spans="1:3" x14ac:dyDescent="0.15">
      <c r="A517">
        <v>121058</v>
      </c>
      <c r="B517" t="s">
        <v>2217</v>
      </c>
      <c r="C517" t="s">
        <v>2275</v>
      </c>
    </row>
    <row r="518" spans="1:3" x14ac:dyDescent="0.15">
      <c r="A518">
        <v>121059</v>
      </c>
      <c r="B518" t="s">
        <v>2217</v>
      </c>
      <c r="C518" t="s">
        <v>2276</v>
      </c>
    </row>
    <row r="519" spans="1:3" x14ac:dyDescent="0.15">
      <c r="A519">
        <v>121060</v>
      </c>
      <c r="B519" t="s">
        <v>2217</v>
      </c>
      <c r="C519" t="s">
        <v>2277</v>
      </c>
    </row>
    <row r="520" spans="1:3" x14ac:dyDescent="0.15">
      <c r="A520">
        <v>121061</v>
      </c>
      <c r="B520" t="s">
        <v>2217</v>
      </c>
      <c r="C520" t="s">
        <v>2278</v>
      </c>
    </row>
    <row r="521" spans="1:3" x14ac:dyDescent="0.15">
      <c r="A521">
        <v>121062</v>
      </c>
      <c r="B521" t="s">
        <v>2217</v>
      </c>
      <c r="C521" t="s">
        <v>2279</v>
      </c>
    </row>
    <row r="522" spans="1:3" x14ac:dyDescent="0.15">
      <c r="A522">
        <v>121063</v>
      </c>
      <c r="B522" t="s">
        <v>2217</v>
      </c>
      <c r="C522" t="s">
        <v>2280</v>
      </c>
    </row>
    <row r="523" spans="1:3" x14ac:dyDescent="0.15">
      <c r="A523">
        <v>121064</v>
      </c>
      <c r="B523" t="s">
        <v>2217</v>
      </c>
      <c r="C523" t="s">
        <v>2281</v>
      </c>
    </row>
    <row r="524" spans="1:3" x14ac:dyDescent="0.15">
      <c r="A524">
        <v>121065</v>
      </c>
      <c r="B524" t="s">
        <v>2217</v>
      </c>
      <c r="C524" t="s">
        <v>2282</v>
      </c>
    </row>
    <row r="525" spans="1:3" x14ac:dyDescent="0.15">
      <c r="A525">
        <v>121066</v>
      </c>
      <c r="B525" t="s">
        <v>2217</v>
      </c>
      <c r="C525" t="s">
        <v>2283</v>
      </c>
    </row>
    <row r="526" spans="1:3" x14ac:dyDescent="0.15">
      <c r="A526">
        <v>121067</v>
      </c>
      <c r="B526" t="s">
        <v>2217</v>
      </c>
      <c r="C526" t="s">
        <v>2284</v>
      </c>
    </row>
    <row r="527" spans="1:3" x14ac:dyDescent="0.15">
      <c r="A527">
        <v>121068</v>
      </c>
      <c r="B527" t="s">
        <v>2217</v>
      </c>
      <c r="C527" t="s">
        <v>2285</v>
      </c>
    </row>
    <row r="528" spans="1:3" x14ac:dyDescent="0.15">
      <c r="A528">
        <v>121069</v>
      </c>
      <c r="B528" t="s">
        <v>2217</v>
      </c>
      <c r="C528" t="s">
        <v>2286</v>
      </c>
    </row>
    <row r="529" spans="1:3" x14ac:dyDescent="0.15">
      <c r="A529">
        <v>121070</v>
      </c>
      <c r="B529" t="s">
        <v>2217</v>
      </c>
      <c r="C529" t="s">
        <v>2287</v>
      </c>
    </row>
    <row r="530" spans="1:3" x14ac:dyDescent="0.15">
      <c r="A530">
        <v>121071</v>
      </c>
      <c r="B530" t="s">
        <v>2217</v>
      </c>
      <c r="C530" t="s">
        <v>2288</v>
      </c>
    </row>
    <row r="531" spans="1:3" x14ac:dyDescent="0.15">
      <c r="A531">
        <v>121072</v>
      </c>
      <c r="B531" t="s">
        <v>2217</v>
      </c>
      <c r="C531" t="s">
        <v>2289</v>
      </c>
    </row>
    <row r="532" spans="1:3" x14ac:dyDescent="0.15">
      <c r="A532">
        <v>121073</v>
      </c>
      <c r="B532" t="s">
        <v>2217</v>
      </c>
      <c r="C532" t="s">
        <v>2290</v>
      </c>
    </row>
    <row r="533" spans="1:3" x14ac:dyDescent="0.15">
      <c r="A533">
        <v>121074</v>
      </c>
      <c r="B533" t="s">
        <v>2217</v>
      </c>
      <c r="C533" t="s">
        <v>2291</v>
      </c>
    </row>
    <row r="534" spans="1:3" x14ac:dyDescent="0.15">
      <c r="A534">
        <v>121075</v>
      </c>
      <c r="B534" t="s">
        <v>2217</v>
      </c>
      <c r="C534" t="s">
        <v>2292</v>
      </c>
    </row>
    <row r="535" spans="1:3" x14ac:dyDescent="0.15">
      <c r="A535">
        <v>121076</v>
      </c>
      <c r="B535" t="s">
        <v>2217</v>
      </c>
      <c r="C535" t="s">
        <v>2293</v>
      </c>
    </row>
    <row r="536" spans="1:3" x14ac:dyDescent="0.15">
      <c r="A536">
        <v>121077</v>
      </c>
      <c r="B536" t="s">
        <v>2217</v>
      </c>
      <c r="C536" t="s">
        <v>2294</v>
      </c>
    </row>
    <row r="537" spans="1:3" x14ac:dyDescent="0.15">
      <c r="A537">
        <v>121078</v>
      </c>
      <c r="B537" t="s">
        <v>2217</v>
      </c>
      <c r="C537" t="s">
        <v>2295</v>
      </c>
    </row>
    <row r="538" spans="1:3" x14ac:dyDescent="0.15">
      <c r="A538">
        <v>121079</v>
      </c>
      <c r="B538" t="s">
        <v>2217</v>
      </c>
      <c r="C538" t="s">
        <v>2296</v>
      </c>
    </row>
    <row r="539" spans="1:3" x14ac:dyDescent="0.15">
      <c r="A539">
        <v>121080</v>
      </c>
      <c r="B539" t="s">
        <v>2217</v>
      </c>
      <c r="C539" t="s">
        <v>2297</v>
      </c>
    </row>
    <row r="540" spans="1:3" x14ac:dyDescent="0.15">
      <c r="A540">
        <v>121081</v>
      </c>
      <c r="B540" t="s">
        <v>2217</v>
      </c>
      <c r="C540" t="s">
        <v>2298</v>
      </c>
    </row>
    <row r="541" spans="1:3" x14ac:dyDescent="0.15">
      <c r="A541">
        <v>121082</v>
      </c>
      <c r="B541" t="s">
        <v>2217</v>
      </c>
      <c r="C541" t="s">
        <v>2299</v>
      </c>
    </row>
    <row r="542" spans="1:3" x14ac:dyDescent="0.15">
      <c r="A542">
        <v>121083</v>
      </c>
      <c r="B542" t="s">
        <v>2217</v>
      </c>
      <c r="C542" t="s">
        <v>2300</v>
      </c>
    </row>
    <row r="543" spans="1:3" x14ac:dyDescent="0.15">
      <c r="A543">
        <v>121084</v>
      </c>
      <c r="B543" t="s">
        <v>2217</v>
      </c>
      <c r="C543" t="s">
        <v>2301</v>
      </c>
    </row>
    <row r="544" spans="1:3" x14ac:dyDescent="0.15">
      <c r="A544">
        <v>121085</v>
      </c>
      <c r="B544" t="s">
        <v>2217</v>
      </c>
      <c r="C544" t="s">
        <v>2302</v>
      </c>
    </row>
    <row r="545" spans="1:3" x14ac:dyDescent="0.15">
      <c r="A545">
        <v>121086</v>
      </c>
      <c r="B545" t="s">
        <v>2217</v>
      </c>
      <c r="C545" t="s">
        <v>2303</v>
      </c>
    </row>
    <row r="546" spans="1:3" x14ac:dyDescent="0.15">
      <c r="A546">
        <v>121087</v>
      </c>
      <c r="B546" t="s">
        <v>2217</v>
      </c>
      <c r="C546" t="s">
        <v>2304</v>
      </c>
    </row>
    <row r="547" spans="1:3" x14ac:dyDescent="0.15">
      <c r="A547">
        <v>121088</v>
      </c>
      <c r="B547" t="s">
        <v>2217</v>
      </c>
      <c r="C547" t="s">
        <v>2305</v>
      </c>
    </row>
    <row r="548" spans="1:3" x14ac:dyDescent="0.15">
      <c r="A548">
        <v>121089</v>
      </c>
      <c r="B548" t="s">
        <v>2217</v>
      </c>
      <c r="C548" t="s">
        <v>2306</v>
      </c>
    </row>
    <row r="549" spans="1:3" x14ac:dyDescent="0.15">
      <c r="A549">
        <v>121090</v>
      </c>
      <c r="B549" t="s">
        <v>2217</v>
      </c>
      <c r="C549" t="s">
        <v>2307</v>
      </c>
    </row>
    <row r="550" spans="1:3" x14ac:dyDescent="0.15">
      <c r="A550">
        <v>121091</v>
      </c>
      <c r="B550" t="s">
        <v>2217</v>
      </c>
      <c r="C550" t="s">
        <v>2308</v>
      </c>
    </row>
    <row r="551" spans="1:3" x14ac:dyDescent="0.15">
      <c r="A551">
        <v>121092</v>
      </c>
      <c r="B551" t="s">
        <v>2217</v>
      </c>
      <c r="C551" t="s">
        <v>2309</v>
      </c>
    </row>
    <row r="552" spans="1:3" x14ac:dyDescent="0.15">
      <c r="A552">
        <v>121093</v>
      </c>
      <c r="B552" t="s">
        <v>2217</v>
      </c>
      <c r="C552" t="s">
        <v>2310</v>
      </c>
    </row>
    <row r="553" spans="1:3" x14ac:dyDescent="0.15">
      <c r="A553">
        <v>121094</v>
      </c>
      <c r="B553" t="s">
        <v>2217</v>
      </c>
      <c r="C553" t="s">
        <v>2311</v>
      </c>
    </row>
    <row r="554" spans="1:3" x14ac:dyDescent="0.15">
      <c r="A554">
        <v>121095</v>
      </c>
      <c r="B554" t="s">
        <v>2217</v>
      </c>
      <c r="C554" t="s">
        <v>2312</v>
      </c>
    </row>
    <row r="555" spans="1:3" x14ac:dyDescent="0.15">
      <c r="A555">
        <v>121096</v>
      </c>
      <c r="B555" t="s">
        <v>2217</v>
      </c>
      <c r="C555" t="s">
        <v>2313</v>
      </c>
    </row>
    <row r="556" spans="1:3" x14ac:dyDescent="0.15">
      <c r="A556">
        <v>121097</v>
      </c>
      <c r="B556" t="s">
        <v>2217</v>
      </c>
      <c r="C556" t="s">
        <v>2314</v>
      </c>
    </row>
    <row r="557" spans="1:3" x14ac:dyDescent="0.15">
      <c r="A557">
        <v>121098</v>
      </c>
      <c r="B557" t="s">
        <v>2217</v>
      </c>
      <c r="C557" t="s">
        <v>2315</v>
      </c>
    </row>
    <row r="558" spans="1:3" x14ac:dyDescent="0.15">
      <c r="A558">
        <v>121099</v>
      </c>
      <c r="B558" t="s">
        <v>2217</v>
      </c>
      <c r="C558" t="s">
        <v>2316</v>
      </c>
    </row>
    <row r="559" spans="1:3" x14ac:dyDescent="0.15">
      <c r="A559">
        <v>121100</v>
      </c>
      <c r="B559" t="s">
        <v>2217</v>
      </c>
      <c r="C559" t="s">
        <v>2317</v>
      </c>
    </row>
    <row r="560" spans="1:3" x14ac:dyDescent="0.15">
      <c r="A560">
        <v>121101</v>
      </c>
      <c r="B560" t="s">
        <v>2217</v>
      </c>
      <c r="C560" t="s">
        <v>2318</v>
      </c>
    </row>
    <row r="561" spans="1:3" x14ac:dyDescent="0.15">
      <c r="A561">
        <v>121102</v>
      </c>
      <c r="B561" t="s">
        <v>2217</v>
      </c>
      <c r="C561" t="s">
        <v>2319</v>
      </c>
    </row>
    <row r="562" spans="1:3" x14ac:dyDescent="0.15">
      <c r="A562">
        <v>121103</v>
      </c>
      <c r="B562" t="s">
        <v>2217</v>
      </c>
      <c r="C562" t="s">
        <v>2320</v>
      </c>
    </row>
    <row r="563" spans="1:3" x14ac:dyDescent="0.15">
      <c r="A563">
        <v>121104</v>
      </c>
      <c r="B563" t="s">
        <v>2217</v>
      </c>
      <c r="C563" t="s">
        <v>2321</v>
      </c>
    </row>
    <row r="564" spans="1:3" x14ac:dyDescent="0.15">
      <c r="A564">
        <v>121105</v>
      </c>
      <c r="B564" t="s">
        <v>2217</v>
      </c>
      <c r="C564" t="s">
        <v>2322</v>
      </c>
    </row>
    <row r="565" spans="1:3" x14ac:dyDescent="0.15">
      <c r="A565">
        <v>121106</v>
      </c>
      <c r="B565" t="s">
        <v>2217</v>
      </c>
      <c r="C565" t="s">
        <v>2323</v>
      </c>
    </row>
    <row r="566" spans="1:3" x14ac:dyDescent="0.15">
      <c r="A566">
        <v>121107</v>
      </c>
      <c r="B566" t="s">
        <v>2217</v>
      </c>
      <c r="C566" t="s">
        <v>2324</v>
      </c>
    </row>
    <row r="567" spans="1:3" x14ac:dyDescent="0.15">
      <c r="A567">
        <v>121108</v>
      </c>
      <c r="B567" t="s">
        <v>2217</v>
      </c>
      <c r="C567" t="s">
        <v>2325</v>
      </c>
    </row>
    <row r="568" spans="1:3" x14ac:dyDescent="0.15">
      <c r="A568">
        <v>121109</v>
      </c>
      <c r="B568" t="s">
        <v>2217</v>
      </c>
      <c r="C568" t="s">
        <v>2326</v>
      </c>
    </row>
    <row r="569" spans="1:3" x14ac:dyDescent="0.15">
      <c r="A569">
        <v>121110</v>
      </c>
      <c r="B569" t="s">
        <v>2217</v>
      </c>
      <c r="C569" t="s">
        <v>2327</v>
      </c>
    </row>
    <row r="570" spans="1:3" x14ac:dyDescent="0.15">
      <c r="A570">
        <v>121111</v>
      </c>
      <c r="B570" t="s">
        <v>2217</v>
      </c>
      <c r="C570" t="s">
        <v>2328</v>
      </c>
    </row>
    <row r="571" spans="1:3" x14ac:dyDescent="0.15">
      <c r="A571">
        <v>121112</v>
      </c>
      <c r="B571" t="s">
        <v>2217</v>
      </c>
      <c r="C571" t="s">
        <v>2329</v>
      </c>
    </row>
    <row r="572" spans="1:3" x14ac:dyDescent="0.15">
      <c r="A572">
        <v>121113</v>
      </c>
      <c r="B572" t="s">
        <v>2217</v>
      </c>
      <c r="C572" t="s">
        <v>2330</v>
      </c>
    </row>
    <row r="573" spans="1:3" x14ac:dyDescent="0.15">
      <c r="A573">
        <v>121114</v>
      </c>
      <c r="B573" t="s">
        <v>2217</v>
      </c>
      <c r="C573" t="s">
        <v>2331</v>
      </c>
    </row>
    <row r="574" spans="1:3" x14ac:dyDescent="0.15">
      <c r="A574">
        <v>121115</v>
      </c>
      <c r="B574" t="s">
        <v>2217</v>
      </c>
      <c r="C574" t="s">
        <v>2332</v>
      </c>
    </row>
    <row r="575" spans="1:3" x14ac:dyDescent="0.15">
      <c r="A575">
        <v>121116</v>
      </c>
      <c r="B575" t="s">
        <v>2217</v>
      </c>
      <c r="C575" t="s">
        <v>2333</v>
      </c>
    </row>
    <row r="576" spans="1:3" x14ac:dyDescent="0.15">
      <c r="A576">
        <v>121117</v>
      </c>
      <c r="B576" t="s">
        <v>2217</v>
      </c>
      <c r="C576" t="s">
        <v>2334</v>
      </c>
    </row>
    <row r="577" spans="1:3" x14ac:dyDescent="0.15">
      <c r="A577">
        <v>121118</v>
      </c>
      <c r="B577" t="s">
        <v>2217</v>
      </c>
      <c r="C577" t="s">
        <v>2335</v>
      </c>
    </row>
    <row r="578" spans="1:3" x14ac:dyDescent="0.15">
      <c r="A578">
        <v>121119</v>
      </c>
      <c r="B578" t="s">
        <v>2217</v>
      </c>
      <c r="C578" t="s">
        <v>2336</v>
      </c>
    </row>
    <row r="579" spans="1:3" x14ac:dyDescent="0.15">
      <c r="A579">
        <v>121120</v>
      </c>
      <c r="B579" t="s">
        <v>2217</v>
      </c>
      <c r="C579" t="s">
        <v>2337</v>
      </c>
    </row>
    <row r="580" spans="1:3" x14ac:dyDescent="0.15">
      <c r="A580">
        <v>121121</v>
      </c>
      <c r="B580" t="s">
        <v>2217</v>
      </c>
      <c r="C580" t="s">
        <v>2338</v>
      </c>
    </row>
    <row r="581" spans="1:3" x14ac:dyDescent="0.15">
      <c r="A581">
        <v>121122</v>
      </c>
      <c r="B581" t="s">
        <v>2217</v>
      </c>
      <c r="C581" t="s">
        <v>2339</v>
      </c>
    </row>
    <row r="582" spans="1:3" x14ac:dyDescent="0.15">
      <c r="A582">
        <v>121123</v>
      </c>
      <c r="B582" t="s">
        <v>2217</v>
      </c>
      <c r="C582" t="s">
        <v>2340</v>
      </c>
    </row>
    <row r="583" spans="1:3" x14ac:dyDescent="0.15">
      <c r="A583">
        <v>121124</v>
      </c>
      <c r="B583" t="s">
        <v>2217</v>
      </c>
      <c r="C583" t="s">
        <v>2341</v>
      </c>
    </row>
    <row r="584" spans="1:3" x14ac:dyDescent="0.15">
      <c r="A584">
        <v>121125</v>
      </c>
      <c r="B584" t="s">
        <v>2217</v>
      </c>
      <c r="C584" t="s">
        <v>2342</v>
      </c>
    </row>
    <row r="585" spans="1:3" x14ac:dyDescent="0.15">
      <c r="A585">
        <v>121126</v>
      </c>
      <c r="B585" t="s">
        <v>2217</v>
      </c>
      <c r="C585" t="s">
        <v>2343</v>
      </c>
    </row>
    <row r="586" spans="1:3" x14ac:dyDescent="0.15">
      <c r="A586">
        <v>121127</v>
      </c>
      <c r="B586" t="s">
        <v>2217</v>
      </c>
      <c r="C586" t="s">
        <v>2344</v>
      </c>
    </row>
    <row r="587" spans="1:3" x14ac:dyDescent="0.15">
      <c r="A587">
        <v>121128</v>
      </c>
      <c r="B587" t="s">
        <v>2217</v>
      </c>
      <c r="C587" t="s">
        <v>2345</v>
      </c>
    </row>
    <row r="588" spans="1:3" x14ac:dyDescent="0.15">
      <c r="A588">
        <v>121129</v>
      </c>
      <c r="B588" t="s">
        <v>2217</v>
      </c>
      <c r="C588" t="s">
        <v>2346</v>
      </c>
    </row>
    <row r="589" spans="1:3" x14ac:dyDescent="0.15">
      <c r="A589">
        <v>121130</v>
      </c>
      <c r="B589" t="s">
        <v>2217</v>
      </c>
      <c r="C589" t="s">
        <v>2347</v>
      </c>
    </row>
    <row r="590" spans="1:3" x14ac:dyDescent="0.15">
      <c r="A590">
        <v>121131</v>
      </c>
      <c r="B590" t="s">
        <v>2217</v>
      </c>
      <c r="C590" t="s">
        <v>2348</v>
      </c>
    </row>
    <row r="591" spans="1:3" x14ac:dyDescent="0.15">
      <c r="A591">
        <v>121132</v>
      </c>
      <c r="B591" t="s">
        <v>2217</v>
      </c>
      <c r="C591" t="s">
        <v>2349</v>
      </c>
    </row>
    <row r="592" spans="1:3" x14ac:dyDescent="0.15">
      <c r="A592">
        <v>121133</v>
      </c>
      <c r="B592" t="s">
        <v>2217</v>
      </c>
      <c r="C592" t="s">
        <v>2350</v>
      </c>
    </row>
    <row r="593" spans="1:3" x14ac:dyDescent="0.15">
      <c r="A593">
        <v>121134</v>
      </c>
      <c r="B593" t="s">
        <v>2217</v>
      </c>
      <c r="C593" t="s">
        <v>2351</v>
      </c>
    </row>
    <row r="594" spans="1:3" x14ac:dyDescent="0.15">
      <c r="A594">
        <v>121135</v>
      </c>
      <c r="B594" t="s">
        <v>2217</v>
      </c>
      <c r="C594" t="s">
        <v>2352</v>
      </c>
    </row>
    <row r="595" spans="1:3" x14ac:dyDescent="0.15">
      <c r="A595">
        <v>121136</v>
      </c>
      <c r="B595" t="s">
        <v>2217</v>
      </c>
      <c r="C595" t="s">
        <v>2353</v>
      </c>
    </row>
    <row r="596" spans="1:3" x14ac:dyDescent="0.15">
      <c r="A596">
        <v>121137</v>
      </c>
      <c r="B596" t="s">
        <v>2217</v>
      </c>
      <c r="C596" t="s">
        <v>2354</v>
      </c>
    </row>
    <row r="597" spans="1:3" x14ac:dyDescent="0.15">
      <c r="A597">
        <v>121138</v>
      </c>
      <c r="B597" t="s">
        <v>2217</v>
      </c>
      <c r="C597" t="s">
        <v>2355</v>
      </c>
    </row>
    <row r="598" spans="1:3" x14ac:dyDescent="0.15">
      <c r="A598">
        <v>121139</v>
      </c>
      <c r="B598" t="s">
        <v>2217</v>
      </c>
      <c r="C598" t="s">
        <v>2356</v>
      </c>
    </row>
    <row r="599" spans="1:3" x14ac:dyDescent="0.15">
      <c r="A599">
        <v>121140</v>
      </c>
      <c r="B599" t="s">
        <v>2217</v>
      </c>
      <c r="C599" t="s">
        <v>2357</v>
      </c>
    </row>
    <row r="600" spans="1:3" x14ac:dyDescent="0.15">
      <c r="A600">
        <v>121141</v>
      </c>
      <c r="B600" t="s">
        <v>2217</v>
      </c>
      <c r="C600" t="s">
        <v>2358</v>
      </c>
    </row>
    <row r="601" spans="1:3" x14ac:dyDescent="0.15">
      <c r="A601">
        <v>121142</v>
      </c>
      <c r="B601" t="s">
        <v>2217</v>
      </c>
      <c r="C601" t="s">
        <v>2359</v>
      </c>
    </row>
    <row r="602" spans="1:3" x14ac:dyDescent="0.15">
      <c r="A602">
        <v>121143</v>
      </c>
      <c r="B602" t="s">
        <v>2217</v>
      </c>
      <c r="C602" t="s">
        <v>2360</v>
      </c>
    </row>
    <row r="603" spans="1:3" x14ac:dyDescent="0.15">
      <c r="A603">
        <v>121144</v>
      </c>
      <c r="B603" t="s">
        <v>2217</v>
      </c>
      <c r="C603" t="s">
        <v>2361</v>
      </c>
    </row>
    <row r="604" spans="1:3" x14ac:dyDescent="0.15">
      <c r="A604">
        <v>121145</v>
      </c>
      <c r="B604" t="s">
        <v>2217</v>
      </c>
      <c r="C604" t="s">
        <v>2362</v>
      </c>
    </row>
    <row r="605" spans="1:3" x14ac:dyDescent="0.15">
      <c r="A605">
        <v>121146</v>
      </c>
      <c r="B605" t="s">
        <v>2217</v>
      </c>
      <c r="C605" t="s">
        <v>2363</v>
      </c>
    </row>
    <row r="606" spans="1:3" x14ac:dyDescent="0.15">
      <c r="A606">
        <v>121147</v>
      </c>
      <c r="B606" t="s">
        <v>2217</v>
      </c>
      <c r="C606" t="s">
        <v>2364</v>
      </c>
    </row>
    <row r="607" spans="1:3" x14ac:dyDescent="0.15">
      <c r="A607">
        <v>121148</v>
      </c>
      <c r="B607" t="s">
        <v>2217</v>
      </c>
      <c r="C607" t="s">
        <v>2365</v>
      </c>
    </row>
    <row r="608" spans="1:3" x14ac:dyDescent="0.15">
      <c r="A608">
        <v>121149</v>
      </c>
      <c r="B608" t="s">
        <v>2217</v>
      </c>
      <c r="C608" t="s">
        <v>2366</v>
      </c>
    </row>
    <row r="609" spans="1:3" x14ac:dyDescent="0.15">
      <c r="A609">
        <v>121150</v>
      </c>
      <c r="B609" t="s">
        <v>2217</v>
      </c>
      <c r="C609" t="s">
        <v>2367</v>
      </c>
    </row>
    <row r="610" spans="1:3" x14ac:dyDescent="0.15">
      <c r="A610">
        <v>121151</v>
      </c>
      <c r="B610" t="s">
        <v>2217</v>
      </c>
      <c r="C610" t="s">
        <v>2368</v>
      </c>
    </row>
    <row r="611" spans="1:3" x14ac:dyDescent="0.15">
      <c r="A611">
        <v>121152</v>
      </c>
      <c r="B611" t="s">
        <v>2217</v>
      </c>
      <c r="C611" t="s">
        <v>2369</v>
      </c>
    </row>
    <row r="612" spans="1:3" x14ac:dyDescent="0.15">
      <c r="A612">
        <v>121153</v>
      </c>
      <c r="B612" t="s">
        <v>2217</v>
      </c>
      <c r="C612" t="s">
        <v>2370</v>
      </c>
    </row>
    <row r="613" spans="1:3" x14ac:dyDescent="0.15">
      <c r="A613">
        <v>121154</v>
      </c>
      <c r="B613" t="s">
        <v>2217</v>
      </c>
      <c r="C613" t="s">
        <v>2371</v>
      </c>
    </row>
    <row r="614" spans="1:3" x14ac:dyDescent="0.15">
      <c r="A614">
        <v>121155</v>
      </c>
      <c r="B614" t="s">
        <v>2217</v>
      </c>
      <c r="C614" t="s">
        <v>2372</v>
      </c>
    </row>
    <row r="615" spans="1:3" x14ac:dyDescent="0.15">
      <c r="A615">
        <v>121156</v>
      </c>
      <c r="B615" t="s">
        <v>2217</v>
      </c>
      <c r="C615" t="s">
        <v>2373</v>
      </c>
    </row>
    <row r="616" spans="1:3" x14ac:dyDescent="0.15">
      <c r="A616">
        <v>121157</v>
      </c>
      <c r="B616" t="s">
        <v>2217</v>
      </c>
      <c r="C616" t="s">
        <v>2374</v>
      </c>
    </row>
    <row r="617" spans="1:3" x14ac:dyDescent="0.15">
      <c r="A617">
        <v>121158</v>
      </c>
      <c r="B617" t="s">
        <v>2217</v>
      </c>
      <c r="C617" t="s">
        <v>2375</v>
      </c>
    </row>
    <row r="618" spans="1:3" x14ac:dyDescent="0.15">
      <c r="A618">
        <v>121159</v>
      </c>
      <c r="B618" t="s">
        <v>2217</v>
      </c>
      <c r="C618" t="s">
        <v>2376</v>
      </c>
    </row>
    <row r="619" spans="1:3" x14ac:dyDescent="0.15">
      <c r="A619">
        <v>121160</v>
      </c>
      <c r="B619" t="s">
        <v>2217</v>
      </c>
      <c r="C619" t="s">
        <v>2377</v>
      </c>
    </row>
    <row r="620" spans="1:3" x14ac:dyDescent="0.15">
      <c r="A620">
        <v>121161</v>
      </c>
      <c r="B620" t="s">
        <v>2217</v>
      </c>
      <c r="C620" t="s">
        <v>2378</v>
      </c>
    </row>
    <row r="621" spans="1:3" x14ac:dyDescent="0.15">
      <c r="A621">
        <v>121162</v>
      </c>
      <c r="B621" t="s">
        <v>2217</v>
      </c>
      <c r="C621" t="s">
        <v>2379</v>
      </c>
    </row>
    <row r="622" spans="1:3" x14ac:dyDescent="0.15">
      <c r="A622">
        <v>121163</v>
      </c>
      <c r="B622" t="s">
        <v>2217</v>
      </c>
      <c r="C622" t="s">
        <v>2380</v>
      </c>
    </row>
    <row r="623" spans="1:3" x14ac:dyDescent="0.15">
      <c r="A623">
        <v>121164</v>
      </c>
      <c r="B623" t="s">
        <v>2217</v>
      </c>
      <c r="C623" t="s">
        <v>2381</v>
      </c>
    </row>
    <row r="624" spans="1:3" x14ac:dyDescent="0.15">
      <c r="A624">
        <v>121165</v>
      </c>
      <c r="B624" t="s">
        <v>2217</v>
      </c>
      <c r="C624" t="s">
        <v>2382</v>
      </c>
    </row>
    <row r="625" spans="1:3" x14ac:dyDescent="0.15">
      <c r="A625">
        <v>121166</v>
      </c>
      <c r="B625" t="s">
        <v>2217</v>
      </c>
      <c r="C625" t="s">
        <v>2383</v>
      </c>
    </row>
    <row r="626" spans="1:3" x14ac:dyDescent="0.15">
      <c r="A626">
        <v>121167</v>
      </c>
      <c r="B626" t="s">
        <v>2217</v>
      </c>
      <c r="C626" t="s">
        <v>2384</v>
      </c>
    </row>
    <row r="627" spans="1:3" x14ac:dyDescent="0.15">
      <c r="A627">
        <v>121168</v>
      </c>
      <c r="B627" t="s">
        <v>2217</v>
      </c>
      <c r="C627" t="s">
        <v>2385</v>
      </c>
    </row>
    <row r="628" spans="1:3" x14ac:dyDescent="0.15">
      <c r="A628">
        <v>121169</v>
      </c>
      <c r="B628" t="s">
        <v>2217</v>
      </c>
      <c r="C628" t="s">
        <v>2386</v>
      </c>
    </row>
    <row r="629" spans="1:3" x14ac:dyDescent="0.15">
      <c r="A629">
        <v>121170</v>
      </c>
      <c r="B629" t="s">
        <v>2217</v>
      </c>
      <c r="C629" t="s">
        <v>2387</v>
      </c>
    </row>
    <row r="630" spans="1:3" x14ac:dyDescent="0.15">
      <c r="A630">
        <v>121171</v>
      </c>
      <c r="B630" t="s">
        <v>2217</v>
      </c>
      <c r="C630" t="s">
        <v>2388</v>
      </c>
    </row>
    <row r="631" spans="1:3" x14ac:dyDescent="0.15">
      <c r="A631">
        <v>121172</v>
      </c>
      <c r="B631" t="s">
        <v>2217</v>
      </c>
      <c r="C631" t="s">
        <v>2389</v>
      </c>
    </row>
    <row r="632" spans="1:3" x14ac:dyDescent="0.15">
      <c r="A632">
        <v>121173</v>
      </c>
      <c r="B632" t="s">
        <v>2217</v>
      </c>
      <c r="C632" t="s">
        <v>2390</v>
      </c>
    </row>
    <row r="633" spans="1:3" x14ac:dyDescent="0.15">
      <c r="A633">
        <v>121174</v>
      </c>
      <c r="B633" t="s">
        <v>2217</v>
      </c>
      <c r="C633" t="s">
        <v>2391</v>
      </c>
    </row>
    <row r="634" spans="1:3" x14ac:dyDescent="0.15">
      <c r="A634">
        <v>121175</v>
      </c>
      <c r="B634" t="s">
        <v>2217</v>
      </c>
      <c r="C634" t="s">
        <v>2392</v>
      </c>
    </row>
    <row r="635" spans="1:3" x14ac:dyDescent="0.15">
      <c r="A635">
        <v>121176</v>
      </c>
      <c r="B635" t="s">
        <v>2217</v>
      </c>
      <c r="C635" t="s">
        <v>2393</v>
      </c>
    </row>
    <row r="636" spans="1:3" x14ac:dyDescent="0.15">
      <c r="A636">
        <v>121177</v>
      </c>
      <c r="B636" t="s">
        <v>2217</v>
      </c>
      <c r="C636" t="s">
        <v>2394</v>
      </c>
    </row>
    <row r="637" spans="1:3" x14ac:dyDescent="0.15">
      <c r="A637">
        <v>121178</v>
      </c>
      <c r="B637" t="s">
        <v>2217</v>
      </c>
      <c r="C637" t="s">
        <v>2395</v>
      </c>
    </row>
    <row r="638" spans="1:3" x14ac:dyDescent="0.15">
      <c r="A638">
        <v>121179</v>
      </c>
      <c r="B638" t="s">
        <v>2217</v>
      </c>
      <c r="C638" t="s">
        <v>2396</v>
      </c>
    </row>
    <row r="639" spans="1:3" x14ac:dyDescent="0.15">
      <c r="A639">
        <v>121180</v>
      </c>
      <c r="B639" t="s">
        <v>2217</v>
      </c>
      <c r="C639" t="s">
        <v>2397</v>
      </c>
    </row>
    <row r="640" spans="1:3" x14ac:dyDescent="0.15">
      <c r="A640">
        <v>121181</v>
      </c>
      <c r="B640" t="s">
        <v>2217</v>
      </c>
      <c r="C640" t="s">
        <v>2398</v>
      </c>
    </row>
    <row r="641" spans="1:3" x14ac:dyDescent="0.15">
      <c r="A641">
        <v>121182</v>
      </c>
      <c r="B641" t="s">
        <v>2217</v>
      </c>
      <c r="C641" t="s">
        <v>2399</v>
      </c>
    </row>
    <row r="642" spans="1:3" x14ac:dyDescent="0.15">
      <c r="A642">
        <v>121183</v>
      </c>
      <c r="B642" t="s">
        <v>2217</v>
      </c>
      <c r="C642" t="s">
        <v>2400</v>
      </c>
    </row>
    <row r="643" spans="1:3" x14ac:dyDescent="0.15">
      <c r="A643">
        <v>121184</v>
      </c>
      <c r="B643" t="s">
        <v>2217</v>
      </c>
      <c r="C643" t="s">
        <v>2401</v>
      </c>
    </row>
    <row r="644" spans="1:3" x14ac:dyDescent="0.15">
      <c r="A644">
        <v>121185</v>
      </c>
      <c r="B644" t="s">
        <v>2217</v>
      </c>
      <c r="C644" t="s">
        <v>2402</v>
      </c>
    </row>
    <row r="645" spans="1:3" x14ac:dyDescent="0.15">
      <c r="A645">
        <v>121186</v>
      </c>
      <c r="B645" t="s">
        <v>2217</v>
      </c>
      <c r="C645" t="s">
        <v>2403</v>
      </c>
    </row>
    <row r="646" spans="1:3" x14ac:dyDescent="0.15">
      <c r="A646">
        <v>121187</v>
      </c>
      <c r="B646" t="s">
        <v>2217</v>
      </c>
      <c r="C646" t="s">
        <v>2404</v>
      </c>
    </row>
    <row r="647" spans="1:3" x14ac:dyDescent="0.15">
      <c r="A647">
        <v>121188</v>
      </c>
      <c r="B647" t="s">
        <v>2217</v>
      </c>
      <c r="C647" t="s">
        <v>2405</v>
      </c>
    </row>
    <row r="648" spans="1:3" x14ac:dyDescent="0.15">
      <c r="A648">
        <v>121189</v>
      </c>
      <c r="B648" t="s">
        <v>2217</v>
      </c>
      <c r="C648" t="s">
        <v>2406</v>
      </c>
    </row>
    <row r="649" spans="1:3" x14ac:dyDescent="0.15">
      <c r="A649">
        <v>121190</v>
      </c>
      <c r="B649" t="s">
        <v>2217</v>
      </c>
      <c r="C649" t="s">
        <v>2407</v>
      </c>
    </row>
    <row r="650" spans="1:3" x14ac:dyDescent="0.15">
      <c r="A650">
        <v>121191</v>
      </c>
      <c r="B650" t="s">
        <v>2217</v>
      </c>
      <c r="C650" t="s">
        <v>2408</v>
      </c>
    </row>
    <row r="651" spans="1:3" x14ac:dyDescent="0.15">
      <c r="A651">
        <v>121192</v>
      </c>
      <c r="B651" t="s">
        <v>2217</v>
      </c>
      <c r="C651" t="s">
        <v>2409</v>
      </c>
    </row>
    <row r="652" spans="1:3" x14ac:dyDescent="0.15">
      <c r="A652">
        <v>121193</v>
      </c>
      <c r="B652" t="s">
        <v>2217</v>
      </c>
      <c r="C652" t="s">
        <v>2410</v>
      </c>
    </row>
    <row r="653" spans="1:3" x14ac:dyDescent="0.15">
      <c r="A653">
        <v>121194</v>
      </c>
      <c r="B653" t="s">
        <v>2217</v>
      </c>
      <c r="C653" t="s">
        <v>2411</v>
      </c>
    </row>
    <row r="654" spans="1:3" x14ac:dyDescent="0.15">
      <c r="A654">
        <v>121195</v>
      </c>
      <c r="B654" t="s">
        <v>2217</v>
      </c>
      <c r="C654" t="s">
        <v>2412</v>
      </c>
    </row>
    <row r="655" spans="1:3" x14ac:dyDescent="0.15">
      <c r="A655">
        <v>121196</v>
      </c>
      <c r="B655" t="s">
        <v>2217</v>
      </c>
      <c r="C655" t="s">
        <v>2413</v>
      </c>
    </row>
    <row r="656" spans="1:3" x14ac:dyDescent="0.15">
      <c r="A656">
        <v>121197</v>
      </c>
      <c r="B656" t="s">
        <v>2217</v>
      </c>
      <c r="C656" t="s">
        <v>2414</v>
      </c>
    </row>
    <row r="657" spans="1:3" x14ac:dyDescent="0.15">
      <c r="A657">
        <v>121198</v>
      </c>
      <c r="B657" t="s">
        <v>2217</v>
      </c>
      <c r="C657" t="s">
        <v>2415</v>
      </c>
    </row>
    <row r="658" spans="1:3" x14ac:dyDescent="0.15">
      <c r="A658">
        <v>121199</v>
      </c>
      <c r="B658" t="s">
        <v>2217</v>
      </c>
      <c r="C658" t="s">
        <v>2416</v>
      </c>
    </row>
    <row r="659" spans="1:3" x14ac:dyDescent="0.15">
      <c r="A659">
        <v>121200</v>
      </c>
      <c r="B659" t="s">
        <v>2217</v>
      </c>
      <c r="C659" t="s">
        <v>2417</v>
      </c>
    </row>
    <row r="660" spans="1:3" x14ac:dyDescent="0.15">
      <c r="A660">
        <v>121201</v>
      </c>
      <c r="B660" t="s">
        <v>2217</v>
      </c>
      <c r="C660" t="s">
        <v>2418</v>
      </c>
    </row>
    <row r="661" spans="1:3" x14ac:dyDescent="0.15">
      <c r="A661">
        <v>121202</v>
      </c>
      <c r="B661" t="s">
        <v>2217</v>
      </c>
      <c r="C661" t="s">
        <v>2419</v>
      </c>
    </row>
    <row r="662" spans="1:3" x14ac:dyDescent="0.15">
      <c r="A662">
        <v>121203</v>
      </c>
      <c r="B662" t="s">
        <v>2217</v>
      </c>
      <c r="C662" t="s">
        <v>2420</v>
      </c>
    </row>
    <row r="663" spans="1:3" x14ac:dyDescent="0.15">
      <c r="A663">
        <v>121204</v>
      </c>
      <c r="B663" t="s">
        <v>2217</v>
      </c>
      <c r="C663" t="s">
        <v>2421</v>
      </c>
    </row>
    <row r="664" spans="1:3" x14ac:dyDescent="0.15">
      <c r="A664">
        <v>121205</v>
      </c>
      <c r="B664" t="s">
        <v>2217</v>
      </c>
      <c r="C664" t="s">
        <v>2422</v>
      </c>
    </row>
    <row r="665" spans="1:3" x14ac:dyDescent="0.15">
      <c r="A665">
        <v>121206</v>
      </c>
      <c r="B665" t="s">
        <v>2217</v>
      </c>
      <c r="C665" t="s">
        <v>2423</v>
      </c>
    </row>
    <row r="666" spans="1:3" x14ac:dyDescent="0.15">
      <c r="A666">
        <v>121207</v>
      </c>
      <c r="B666" t="s">
        <v>2217</v>
      </c>
      <c r="C666" t="s">
        <v>2424</v>
      </c>
    </row>
    <row r="667" spans="1:3" x14ac:dyDescent="0.15">
      <c r="A667">
        <v>121208</v>
      </c>
      <c r="B667" t="s">
        <v>2217</v>
      </c>
      <c r="C667" t="s">
        <v>2425</v>
      </c>
    </row>
    <row r="668" spans="1:3" x14ac:dyDescent="0.15">
      <c r="A668">
        <v>121209</v>
      </c>
      <c r="B668" t="s">
        <v>2217</v>
      </c>
      <c r="C668" t="s">
        <v>2426</v>
      </c>
    </row>
    <row r="669" spans="1:3" x14ac:dyDescent="0.15">
      <c r="A669">
        <v>121210</v>
      </c>
      <c r="B669" t="s">
        <v>2217</v>
      </c>
      <c r="C669" t="s">
        <v>2427</v>
      </c>
    </row>
    <row r="670" spans="1:3" x14ac:dyDescent="0.15">
      <c r="A670">
        <v>121211</v>
      </c>
      <c r="B670" t="s">
        <v>2217</v>
      </c>
      <c r="C670" t="s">
        <v>2428</v>
      </c>
    </row>
    <row r="671" spans="1:3" x14ac:dyDescent="0.15">
      <c r="A671">
        <v>121212</v>
      </c>
      <c r="B671" t="s">
        <v>2217</v>
      </c>
      <c r="C671" t="s">
        <v>2429</v>
      </c>
    </row>
    <row r="672" spans="1:3" x14ac:dyDescent="0.15">
      <c r="A672">
        <v>121213</v>
      </c>
      <c r="B672" t="s">
        <v>2217</v>
      </c>
      <c r="C672" t="s">
        <v>2430</v>
      </c>
    </row>
    <row r="673" spans="1:3" x14ac:dyDescent="0.15">
      <c r="A673">
        <v>121214</v>
      </c>
      <c r="B673" t="s">
        <v>2217</v>
      </c>
      <c r="C673" t="s">
        <v>2431</v>
      </c>
    </row>
    <row r="674" spans="1:3" x14ac:dyDescent="0.15">
      <c r="A674">
        <v>121215</v>
      </c>
      <c r="B674" t="s">
        <v>2217</v>
      </c>
      <c r="C674" t="s">
        <v>2432</v>
      </c>
    </row>
    <row r="675" spans="1:3" x14ac:dyDescent="0.15">
      <c r="A675">
        <v>121216</v>
      </c>
      <c r="B675" t="s">
        <v>2217</v>
      </c>
      <c r="C675" t="s">
        <v>2433</v>
      </c>
    </row>
    <row r="676" spans="1:3" x14ac:dyDescent="0.15">
      <c r="A676">
        <v>121217</v>
      </c>
      <c r="B676" t="s">
        <v>2217</v>
      </c>
      <c r="C676" t="s">
        <v>2434</v>
      </c>
    </row>
    <row r="677" spans="1:3" x14ac:dyDescent="0.15">
      <c r="A677">
        <v>121218</v>
      </c>
      <c r="B677" t="s">
        <v>2217</v>
      </c>
      <c r="C677" t="s">
        <v>2435</v>
      </c>
    </row>
    <row r="678" spans="1:3" x14ac:dyDescent="0.15">
      <c r="A678">
        <v>121219</v>
      </c>
      <c r="B678" t="s">
        <v>2217</v>
      </c>
      <c r="C678" t="s">
        <v>2436</v>
      </c>
    </row>
    <row r="679" spans="1:3" x14ac:dyDescent="0.15">
      <c r="A679">
        <v>121220</v>
      </c>
      <c r="B679" t="s">
        <v>2217</v>
      </c>
      <c r="C679" t="s">
        <v>2437</v>
      </c>
    </row>
    <row r="680" spans="1:3" x14ac:dyDescent="0.15">
      <c r="A680">
        <v>121221</v>
      </c>
      <c r="B680" t="s">
        <v>2217</v>
      </c>
      <c r="C680" t="s">
        <v>2438</v>
      </c>
    </row>
    <row r="681" spans="1:3" x14ac:dyDescent="0.15">
      <c r="A681">
        <v>121222</v>
      </c>
      <c r="B681" t="s">
        <v>2217</v>
      </c>
      <c r="C681" t="s">
        <v>2439</v>
      </c>
    </row>
    <row r="682" spans="1:3" x14ac:dyDescent="0.15">
      <c r="A682">
        <v>121223</v>
      </c>
      <c r="B682" t="s">
        <v>2217</v>
      </c>
      <c r="C682" t="s">
        <v>2440</v>
      </c>
    </row>
    <row r="683" spans="1:3" x14ac:dyDescent="0.15">
      <c r="A683">
        <v>121224</v>
      </c>
      <c r="B683" t="s">
        <v>2217</v>
      </c>
      <c r="C683" t="s">
        <v>2441</v>
      </c>
    </row>
    <row r="684" spans="1:3" x14ac:dyDescent="0.15">
      <c r="A684">
        <v>121225</v>
      </c>
      <c r="B684" t="s">
        <v>2217</v>
      </c>
      <c r="C684" t="s">
        <v>2442</v>
      </c>
    </row>
    <row r="685" spans="1:3" x14ac:dyDescent="0.15">
      <c r="A685">
        <v>121226</v>
      </c>
      <c r="B685" t="s">
        <v>2217</v>
      </c>
      <c r="C685" t="s">
        <v>2443</v>
      </c>
    </row>
    <row r="686" spans="1:3" x14ac:dyDescent="0.15">
      <c r="A686">
        <v>121227</v>
      </c>
      <c r="B686" t="s">
        <v>2217</v>
      </c>
      <c r="C686" t="s">
        <v>2444</v>
      </c>
    </row>
    <row r="687" spans="1:3" x14ac:dyDescent="0.15">
      <c r="A687">
        <v>121228</v>
      </c>
      <c r="B687" t="s">
        <v>2217</v>
      </c>
      <c r="C687" t="s">
        <v>2445</v>
      </c>
    </row>
    <row r="688" spans="1:3" x14ac:dyDescent="0.15">
      <c r="A688">
        <v>121229</v>
      </c>
      <c r="B688" t="s">
        <v>2217</v>
      </c>
      <c r="C688" t="s">
        <v>2446</v>
      </c>
    </row>
    <row r="689" spans="1:3" x14ac:dyDescent="0.15">
      <c r="A689">
        <v>121230</v>
      </c>
      <c r="B689" t="s">
        <v>2217</v>
      </c>
      <c r="C689" t="s">
        <v>2447</v>
      </c>
    </row>
    <row r="690" spans="1:3" x14ac:dyDescent="0.15">
      <c r="A690">
        <v>121231</v>
      </c>
      <c r="B690" t="s">
        <v>2217</v>
      </c>
      <c r="C690" t="s">
        <v>2448</v>
      </c>
    </row>
    <row r="691" spans="1:3" x14ac:dyDescent="0.15">
      <c r="A691">
        <v>121232</v>
      </c>
      <c r="B691" t="s">
        <v>2217</v>
      </c>
      <c r="C691" t="s">
        <v>2449</v>
      </c>
    </row>
    <row r="692" spans="1:3" x14ac:dyDescent="0.15">
      <c r="A692">
        <v>121233</v>
      </c>
      <c r="B692" t="s">
        <v>2217</v>
      </c>
      <c r="C692" t="s">
        <v>2450</v>
      </c>
    </row>
    <row r="693" spans="1:3" x14ac:dyDescent="0.15">
      <c r="A693">
        <v>121234</v>
      </c>
      <c r="B693" t="s">
        <v>2217</v>
      </c>
      <c r="C693" t="s">
        <v>2451</v>
      </c>
    </row>
    <row r="694" spans="1:3" x14ac:dyDescent="0.15">
      <c r="A694">
        <v>121235</v>
      </c>
      <c r="B694" t="s">
        <v>2217</v>
      </c>
      <c r="C694" t="s">
        <v>2452</v>
      </c>
    </row>
    <row r="695" spans="1:3" x14ac:dyDescent="0.15">
      <c r="A695">
        <v>121236</v>
      </c>
      <c r="B695" t="s">
        <v>2217</v>
      </c>
      <c r="C695" t="s">
        <v>2453</v>
      </c>
    </row>
    <row r="696" spans="1:3" x14ac:dyDescent="0.15">
      <c r="A696">
        <v>121237</v>
      </c>
      <c r="B696" t="s">
        <v>2217</v>
      </c>
      <c r="C696" t="s">
        <v>2454</v>
      </c>
    </row>
    <row r="697" spans="1:3" x14ac:dyDescent="0.15">
      <c r="A697">
        <v>121238</v>
      </c>
      <c r="B697" t="s">
        <v>2217</v>
      </c>
      <c r="C697" t="s">
        <v>2455</v>
      </c>
    </row>
    <row r="698" spans="1:3" x14ac:dyDescent="0.15">
      <c r="A698">
        <v>121239</v>
      </c>
      <c r="B698" t="s">
        <v>2217</v>
      </c>
      <c r="C698" t="s">
        <v>2456</v>
      </c>
    </row>
    <row r="699" spans="1:3" x14ac:dyDescent="0.15">
      <c r="A699">
        <v>121240</v>
      </c>
      <c r="B699" t="s">
        <v>2217</v>
      </c>
      <c r="C699" t="s">
        <v>2457</v>
      </c>
    </row>
    <row r="700" spans="1:3" x14ac:dyDescent="0.15">
      <c r="A700">
        <v>121241</v>
      </c>
      <c r="B700" t="s">
        <v>2217</v>
      </c>
      <c r="C700" t="s">
        <v>2458</v>
      </c>
    </row>
    <row r="701" spans="1:3" x14ac:dyDescent="0.15">
      <c r="A701">
        <v>121242</v>
      </c>
      <c r="B701" t="s">
        <v>2217</v>
      </c>
      <c r="C701" t="s">
        <v>2459</v>
      </c>
    </row>
    <row r="702" spans="1:3" x14ac:dyDescent="0.15">
      <c r="A702">
        <v>121243</v>
      </c>
      <c r="B702" t="s">
        <v>2217</v>
      </c>
      <c r="C702" t="s">
        <v>2460</v>
      </c>
    </row>
    <row r="703" spans="1:3" x14ac:dyDescent="0.15">
      <c r="A703">
        <v>121244</v>
      </c>
      <c r="B703" t="s">
        <v>2217</v>
      </c>
      <c r="C703" t="s">
        <v>2461</v>
      </c>
    </row>
    <row r="704" spans="1:3" x14ac:dyDescent="0.15">
      <c r="A704">
        <v>121245</v>
      </c>
      <c r="B704" t="s">
        <v>2217</v>
      </c>
      <c r="C704" t="s">
        <v>2462</v>
      </c>
    </row>
    <row r="705" spans="1:3" x14ac:dyDescent="0.15">
      <c r="A705">
        <v>121246</v>
      </c>
      <c r="B705" t="s">
        <v>2217</v>
      </c>
      <c r="C705" t="s">
        <v>2463</v>
      </c>
    </row>
    <row r="706" spans="1:3" x14ac:dyDescent="0.15">
      <c r="A706">
        <v>121247</v>
      </c>
      <c r="B706" t="s">
        <v>2217</v>
      </c>
      <c r="C706" t="s">
        <v>2464</v>
      </c>
    </row>
    <row r="707" spans="1:3" x14ac:dyDescent="0.15">
      <c r="A707">
        <v>121248</v>
      </c>
      <c r="B707" t="s">
        <v>2217</v>
      </c>
      <c r="C707" t="s">
        <v>2465</v>
      </c>
    </row>
    <row r="708" spans="1:3" x14ac:dyDescent="0.15">
      <c r="A708">
        <v>121249</v>
      </c>
      <c r="B708" t="s">
        <v>2217</v>
      </c>
      <c r="C708" t="s">
        <v>2466</v>
      </c>
    </row>
    <row r="709" spans="1:3" x14ac:dyDescent="0.15">
      <c r="A709">
        <v>121250</v>
      </c>
      <c r="B709" t="s">
        <v>2217</v>
      </c>
      <c r="C709" t="s">
        <v>2467</v>
      </c>
    </row>
    <row r="710" spans="1:3" x14ac:dyDescent="0.15">
      <c r="A710">
        <v>121251</v>
      </c>
      <c r="B710" t="s">
        <v>2217</v>
      </c>
      <c r="C710" t="s">
        <v>2468</v>
      </c>
    </row>
    <row r="711" spans="1:3" x14ac:dyDescent="0.15">
      <c r="A711">
        <v>121252</v>
      </c>
      <c r="B711" t="s">
        <v>2217</v>
      </c>
      <c r="C711" t="s">
        <v>2469</v>
      </c>
    </row>
    <row r="712" spans="1:3" x14ac:dyDescent="0.15">
      <c r="A712">
        <v>121253</v>
      </c>
      <c r="B712" t="s">
        <v>2217</v>
      </c>
      <c r="C712" t="s">
        <v>2470</v>
      </c>
    </row>
    <row r="713" spans="1:3" x14ac:dyDescent="0.15">
      <c r="A713">
        <v>121254</v>
      </c>
      <c r="B713" t="s">
        <v>2217</v>
      </c>
      <c r="C713" t="s">
        <v>2471</v>
      </c>
    </row>
    <row r="714" spans="1:3" x14ac:dyDescent="0.15">
      <c r="A714">
        <v>121255</v>
      </c>
      <c r="B714" t="s">
        <v>2217</v>
      </c>
      <c r="C714" t="s">
        <v>2472</v>
      </c>
    </row>
    <row r="715" spans="1:3" x14ac:dyDescent="0.15">
      <c r="A715">
        <v>121256</v>
      </c>
      <c r="B715" t="s">
        <v>2217</v>
      </c>
      <c r="C715" t="s">
        <v>2473</v>
      </c>
    </row>
    <row r="716" spans="1:3" x14ac:dyDescent="0.15">
      <c r="A716">
        <v>121257</v>
      </c>
      <c r="B716" t="s">
        <v>2217</v>
      </c>
      <c r="C716" t="s">
        <v>2474</v>
      </c>
    </row>
    <row r="717" spans="1:3" x14ac:dyDescent="0.15">
      <c r="A717">
        <v>121258</v>
      </c>
      <c r="B717" t="s">
        <v>2217</v>
      </c>
      <c r="C717" t="s">
        <v>2475</v>
      </c>
    </row>
    <row r="718" spans="1:3" x14ac:dyDescent="0.15">
      <c r="A718">
        <v>121259</v>
      </c>
      <c r="B718" t="s">
        <v>2217</v>
      </c>
      <c r="C718" t="s">
        <v>2476</v>
      </c>
    </row>
    <row r="719" spans="1:3" x14ac:dyDescent="0.15">
      <c r="A719">
        <v>121260</v>
      </c>
      <c r="B719" t="s">
        <v>2217</v>
      </c>
      <c r="C719" t="s">
        <v>2477</v>
      </c>
    </row>
    <row r="720" spans="1:3" x14ac:dyDescent="0.15">
      <c r="A720">
        <v>121261</v>
      </c>
      <c r="B720" t="s">
        <v>2217</v>
      </c>
      <c r="C720" t="s">
        <v>2478</v>
      </c>
    </row>
    <row r="721" spans="1:3" x14ac:dyDescent="0.15">
      <c r="A721">
        <v>121262</v>
      </c>
      <c r="B721" t="s">
        <v>2217</v>
      </c>
      <c r="C721" t="s">
        <v>2479</v>
      </c>
    </row>
    <row r="722" spans="1:3" x14ac:dyDescent="0.15">
      <c r="A722">
        <v>121263</v>
      </c>
      <c r="B722" t="s">
        <v>2217</v>
      </c>
      <c r="C722" t="s">
        <v>2480</v>
      </c>
    </row>
    <row r="723" spans="1:3" x14ac:dyDescent="0.15">
      <c r="A723">
        <v>121264</v>
      </c>
      <c r="B723" t="s">
        <v>2217</v>
      </c>
      <c r="C723" t="s">
        <v>2481</v>
      </c>
    </row>
    <row r="724" spans="1:3" x14ac:dyDescent="0.15">
      <c r="A724">
        <v>121265</v>
      </c>
      <c r="B724" t="s">
        <v>2217</v>
      </c>
      <c r="C724" t="s">
        <v>2482</v>
      </c>
    </row>
    <row r="725" spans="1:3" x14ac:dyDescent="0.15">
      <c r="A725">
        <v>121266</v>
      </c>
      <c r="B725" t="s">
        <v>2217</v>
      </c>
      <c r="C725" t="s">
        <v>2483</v>
      </c>
    </row>
    <row r="726" spans="1:3" x14ac:dyDescent="0.15">
      <c r="A726">
        <v>121267</v>
      </c>
      <c r="B726" t="s">
        <v>2217</v>
      </c>
      <c r="C726" t="s">
        <v>2484</v>
      </c>
    </row>
    <row r="727" spans="1:3" x14ac:dyDescent="0.15">
      <c r="A727">
        <v>121268</v>
      </c>
      <c r="B727" t="s">
        <v>2217</v>
      </c>
      <c r="C727" t="s">
        <v>2485</v>
      </c>
    </row>
    <row r="728" spans="1:3" x14ac:dyDescent="0.15">
      <c r="A728">
        <v>121269</v>
      </c>
      <c r="B728" t="s">
        <v>2217</v>
      </c>
      <c r="C728" t="s">
        <v>2486</v>
      </c>
    </row>
    <row r="729" spans="1:3" x14ac:dyDescent="0.15">
      <c r="A729">
        <v>121270</v>
      </c>
      <c r="B729" t="s">
        <v>2217</v>
      </c>
      <c r="C729" t="s">
        <v>2487</v>
      </c>
    </row>
    <row r="730" spans="1:3" x14ac:dyDescent="0.15">
      <c r="A730">
        <v>121271</v>
      </c>
      <c r="B730" t="s">
        <v>2217</v>
      </c>
      <c r="C730" t="s">
        <v>2488</v>
      </c>
    </row>
    <row r="731" spans="1:3" x14ac:dyDescent="0.15">
      <c r="A731">
        <v>121272</v>
      </c>
      <c r="B731" t="s">
        <v>2217</v>
      </c>
      <c r="C731" t="s">
        <v>2489</v>
      </c>
    </row>
    <row r="732" spans="1:3" x14ac:dyDescent="0.15">
      <c r="A732">
        <v>121273</v>
      </c>
      <c r="B732" t="s">
        <v>2217</v>
      </c>
      <c r="C732" t="s">
        <v>2490</v>
      </c>
    </row>
    <row r="733" spans="1:3" x14ac:dyDescent="0.15">
      <c r="A733">
        <v>121274</v>
      </c>
      <c r="B733" t="s">
        <v>2217</v>
      </c>
      <c r="C733" t="s">
        <v>2491</v>
      </c>
    </row>
    <row r="734" spans="1:3" x14ac:dyDescent="0.15">
      <c r="A734">
        <v>121275</v>
      </c>
      <c r="B734" t="s">
        <v>2217</v>
      </c>
      <c r="C734" t="s">
        <v>2492</v>
      </c>
    </row>
    <row r="735" spans="1:3" x14ac:dyDescent="0.15">
      <c r="A735">
        <v>121276</v>
      </c>
      <c r="B735" t="s">
        <v>2217</v>
      </c>
      <c r="C735" t="s">
        <v>2493</v>
      </c>
    </row>
    <row r="736" spans="1:3" x14ac:dyDescent="0.15">
      <c r="A736">
        <v>121277</v>
      </c>
      <c r="B736" t="s">
        <v>2217</v>
      </c>
      <c r="C736" t="s">
        <v>2494</v>
      </c>
    </row>
    <row r="737" spans="1:3" x14ac:dyDescent="0.15">
      <c r="A737">
        <v>121278</v>
      </c>
      <c r="B737" t="s">
        <v>2217</v>
      </c>
      <c r="C737" t="s">
        <v>2495</v>
      </c>
    </row>
    <row r="738" spans="1:3" x14ac:dyDescent="0.15">
      <c r="A738">
        <v>121279</v>
      </c>
      <c r="B738" t="s">
        <v>2217</v>
      </c>
      <c r="C738" t="s">
        <v>2496</v>
      </c>
    </row>
    <row r="739" spans="1:3" x14ac:dyDescent="0.15">
      <c r="A739">
        <v>121280</v>
      </c>
      <c r="B739" t="s">
        <v>2217</v>
      </c>
      <c r="C739" t="s">
        <v>2497</v>
      </c>
    </row>
    <row r="740" spans="1:3" x14ac:dyDescent="0.15">
      <c r="A740">
        <v>121281</v>
      </c>
      <c r="B740" t="s">
        <v>2217</v>
      </c>
      <c r="C740" t="s">
        <v>2498</v>
      </c>
    </row>
    <row r="741" spans="1:3" x14ac:dyDescent="0.15">
      <c r="A741">
        <v>121282</v>
      </c>
      <c r="B741" t="s">
        <v>2217</v>
      </c>
      <c r="C741" t="s">
        <v>2499</v>
      </c>
    </row>
    <row r="742" spans="1:3" x14ac:dyDescent="0.15">
      <c r="A742">
        <v>121283</v>
      </c>
      <c r="B742" t="s">
        <v>2217</v>
      </c>
      <c r="C742" t="s">
        <v>2500</v>
      </c>
    </row>
    <row r="743" spans="1:3" x14ac:dyDescent="0.15">
      <c r="A743">
        <v>121284</v>
      </c>
      <c r="B743" t="s">
        <v>2217</v>
      </c>
      <c r="C743" t="s">
        <v>2501</v>
      </c>
    </row>
    <row r="744" spans="1:3" x14ac:dyDescent="0.15">
      <c r="A744">
        <v>121285</v>
      </c>
      <c r="B744" t="s">
        <v>2217</v>
      </c>
      <c r="C744" t="s">
        <v>2502</v>
      </c>
    </row>
    <row r="745" spans="1:3" x14ac:dyDescent="0.15">
      <c r="A745">
        <v>121286</v>
      </c>
      <c r="B745" t="s">
        <v>2217</v>
      </c>
      <c r="C745" t="s">
        <v>2503</v>
      </c>
    </row>
    <row r="746" spans="1:3" x14ac:dyDescent="0.15">
      <c r="A746">
        <v>121287</v>
      </c>
      <c r="B746" t="s">
        <v>2217</v>
      </c>
      <c r="C746" t="s">
        <v>2504</v>
      </c>
    </row>
    <row r="747" spans="1:3" x14ac:dyDescent="0.15">
      <c r="A747">
        <v>121288</v>
      </c>
      <c r="B747" t="s">
        <v>2217</v>
      </c>
      <c r="C747" t="s">
        <v>2505</v>
      </c>
    </row>
    <row r="748" spans="1:3" x14ac:dyDescent="0.15">
      <c r="A748">
        <v>121289</v>
      </c>
      <c r="B748" t="s">
        <v>2217</v>
      </c>
      <c r="C748" t="s">
        <v>2506</v>
      </c>
    </row>
    <row r="749" spans="1:3" x14ac:dyDescent="0.15">
      <c r="A749">
        <v>121290</v>
      </c>
      <c r="B749" t="s">
        <v>2217</v>
      </c>
      <c r="C749" t="s">
        <v>2507</v>
      </c>
    </row>
    <row r="750" spans="1:3" x14ac:dyDescent="0.15">
      <c r="A750">
        <v>121291</v>
      </c>
      <c r="B750" t="s">
        <v>2217</v>
      </c>
      <c r="C750" t="s">
        <v>2508</v>
      </c>
    </row>
    <row r="751" spans="1:3" x14ac:dyDescent="0.15">
      <c r="A751">
        <v>121292</v>
      </c>
      <c r="B751" t="s">
        <v>2217</v>
      </c>
      <c r="C751" t="s">
        <v>2509</v>
      </c>
    </row>
    <row r="752" spans="1:3" x14ac:dyDescent="0.15">
      <c r="A752">
        <v>121293</v>
      </c>
      <c r="B752" t="s">
        <v>2217</v>
      </c>
      <c r="C752" t="s">
        <v>2510</v>
      </c>
    </row>
    <row r="753" spans="1:3" x14ac:dyDescent="0.15">
      <c r="A753">
        <v>121294</v>
      </c>
      <c r="B753" t="s">
        <v>2217</v>
      </c>
      <c r="C753" t="s">
        <v>2511</v>
      </c>
    </row>
    <row r="754" spans="1:3" x14ac:dyDescent="0.15">
      <c r="A754">
        <v>121295</v>
      </c>
      <c r="B754" t="s">
        <v>2217</v>
      </c>
      <c r="C754" t="s">
        <v>2512</v>
      </c>
    </row>
    <row r="755" spans="1:3" x14ac:dyDescent="0.15">
      <c r="A755">
        <v>121296</v>
      </c>
      <c r="B755" t="s">
        <v>2217</v>
      </c>
      <c r="C755" t="s">
        <v>2513</v>
      </c>
    </row>
    <row r="756" spans="1:3" x14ac:dyDescent="0.15">
      <c r="A756">
        <v>121297</v>
      </c>
      <c r="B756" t="s">
        <v>2217</v>
      </c>
      <c r="C756" t="s">
        <v>2514</v>
      </c>
    </row>
    <row r="757" spans="1:3" x14ac:dyDescent="0.15">
      <c r="A757">
        <v>121298</v>
      </c>
      <c r="B757" t="s">
        <v>2217</v>
      </c>
      <c r="C757" t="s">
        <v>2515</v>
      </c>
    </row>
    <row r="758" spans="1:3" x14ac:dyDescent="0.15">
      <c r="A758">
        <v>121299</v>
      </c>
      <c r="B758" t="s">
        <v>2217</v>
      </c>
      <c r="C758" t="s">
        <v>2516</v>
      </c>
    </row>
    <row r="759" spans="1:3" x14ac:dyDescent="0.15">
      <c r="A759">
        <v>121300</v>
      </c>
      <c r="B759" t="s">
        <v>2217</v>
      </c>
      <c r="C759" t="s">
        <v>2517</v>
      </c>
    </row>
    <row r="760" spans="1:3" x14ac:dyDescent="0.15">
      <c r="A760">
        <v>121301</v>
      </c>
      <c r="B760" t="s">
        <v>2217</v>
      </c>
      <c r="C760" t="s">
        <v>2518</v>
      </c>
    </row>
    <row r="761" spans="1:3" x14ac:dyDescent="0.15">
      <c r="A761">
        <v>121302</v>
      </c>
      <c r="B761" t="s">
        <v>2217</v>
      </c>
      <c r="C761" t="s">
        <v>2519</v>
      </c>
    </row>
    <row r="762" spans="1:3" x14ac:dyDescent="0.15">
      <c r="A762">
        <v>121303</v>
      </c>
      <c r="B762" t="s">
        <v>2217</v>
      </c>
      <c r="C762" t="s">
        <v>2520</v>
      </c>
    </row>
    <row r="763" spans="1:3" x14ac:dyDescent="0.15">
      <c r="A763">
        <v>121304</v>
      </c>
      <c r="B763" t="s">
        <v>2217</v>
      </c>
      <c r="C763" t="s">
        <v>2521</v>
      </c>
    </row>
    <row r="764" spans="1:3" x14ac:dyDescent="0.15">
      <c r="A764">
        <v>121305</v>
      </c>
      <c r="B764" t="s">
        <v>2217</v>
      </c>
      <c r="C764" t="s">
        <v>2522</v>
      </c>
    </row>
    <row r="765" spans="1:3" x14ac:dyDescent="0.15">
      <c r="A765">
        <v>121306</v>
      </c>
      <c r="B765" t="s">
        <v>2217</v>
      </c>
      <c r="C765" t="s">
        <v>2523</v>
      </c>
    </row>
    <row r="766" spans="1:3" x14ac:dyDescent="0.15">
      <c r="A766">
        <v>121307</v>
      </c>
      <c r="B766" t="s">
        <v>2217</v>
      </c>
      <c r="C766" t="s">
        <v>2524</v>
      </c>
    </row>
    <row r="767" spans="1:3" x14ac:dyDescent="0.15">
      <c r="A767">
        <v>121308</v>
      </c>
      <c r="B767" t="s">
        <v>2217</v>
      </c>
      <c r="C767" t="s">
        <v>2525</v>
      </c>
    </row>
    <row r="768" spans="1:3" x14ac:dyDescent="0.15">
      <c r="A768">
        <v>121309</v>
      </c>
      <c r="B768" t="s">
        <v>2217</v>
      </c>
      <c r="C768" t="s">
        <v>2526</v>
      </c>
    </row>
    <row r="769" spans="1:3" x14ac:dyDescent="0.15">
      <c r="A769">
        <v>121310</v>
      </c>
      <c r="B769" t="s">
        <v>2217</v>
      </c>
      <c r="C769" t="s">
        <v>2527</v>
      </c>
    </row>
    <row r="770" spans="1:3" x14ac:dyDescent="0.15">
      <c r="A770">
        <v>121311</v>
      </c>
      <c r="B770" t="s">
        <v>2217</v>
      </c>
      <c r="C770" t="s">
        <v>2528</v>
      </c>
    </row>
    <row r="771" spans="1:3" x14ac:dyDescent="0.15">
      <c r="A771">
        <v>121312</v>
      </c>
      <c r="B771" t="s">
        <v>2217</v>
      </c>
      <c r="C771" t="s">
        <v>2529</v>
      </c>
    </row>
    <row r="772" spans="1:3" x14ac:dyDescent="0.15">
      <c r="A772">
        <v>121313</v>
      </c>
      <c r="B772" t="s">
        <v>2217</v>
      </c>
      <c r="C772" t="s">
        <v>2530</v>
      </c>
    </row>
    <row r="773" spans="1:3" x14ac:dyDescent="0.15">
      <c r="A773">
        <v>121314</v>
      </c>
      <c r="B773" t="s">
        <v>2217</v>
      </c>
      <c r="C773" t="s">
        <v>2531</v>
      </c>
    </row>
    <row r="774" spans="1:3" x14ac:dyDescent="0.15">
      <c r="A774">
        <v>121315</v>
      </c>
      <c r="B774" t="s">
        <v>2217</v>
      </c>
      <c r="C774" t="s">
        <v>2532</v>
      </c>
    </row>
    <row r="775" spans="1:3" x14ac:dyDescent="0.15">
      <c r="A775">
        <v>121316</v>
      </c>
      <c r="B775" t="s">
        <v>2217</v>
      </c>
      <c r="C775" t="s">
        <v>2533</v>
      </c>
    </row>
    <row r="776" spans="1:3" x14ac:dyDescent="0.15">
      <c r="A776">
        <v>121317</v>
      </c>
      <c r="B776" t="s">
        <v>2217</v>
      </c>
      <c r="C776" t="s">
        <v>2534</v>
      </c>
    </row>
    <row r="777" spans="1:3" x14ac:dyDescent="0.15">
      <c r="A777">
        <v>121318</v>
      </c>
      <c r="B777" t="s">
        <v>2217</v>
      </c>
      <c r="C777" t="s">
        <v>2535</v>
      </c>
    </row>
    <row r="778" spans="1:3" x14ac:dyDescent="0.15">
      <c r="A778">
        <v>121319</v>
      </c>
      <c r="B778" t="s">
        <v>2217</v>
      </c>
      <c r="C778" t="s">
        <v>2536</v>
      </c>
    </row>
    <row r="779" spans="1:3" x14ac:dyDescent="0.15">
      <c r="A779">
        <v>121320</v>
      </c>
      <c r="B779" t="s">
        <v>2217</v>
      </c>
      <c r="C779" t="s">
        <v>2537</v>
      </c>
    </row>
    <row r="780" spans="1:3" x14ac:dyDescent="0.15">
      <c r="A780">
        <v>121321</v>
      </c>
      <c r="B780" t="s">
        <v>2217</v>
      </c>
      <c r="C780" t="s">
        <v>2538</v>
      </c>
    </row>
    <row r="781" spans="1:3" x14ac:dyDescent="0.15">
      <c r="A781">
        <v>121322</v>
      </c>
      <c r="B781" t="s">
        <v>2217</v>
      </c>
      <c r="C781" t="s">
        <v>2539</v>
      </c>
    </row>
    <row r="782" spans="1:3" x14ac:dyDescent="0.15">
      <c r="A782">
        <v>121323</v>
      </c>
      <c r="B782" t="s">
        <v>2217</v>
      </c>
      <c r="C782" t="s">
        <v>2540</v>
      </c>
    </row>
    <row r="783" spans="1:3" x14ac:dyDescent="0.15">
      <c r="A783">
        <v>121324</v>
      </c>
      <c r="B783" t="s">
        <v>2217</v>
      </c>
      <c r="C783" t="s">
        <v>2541</v>
      </c>
    </row>
    <row r="784" spans="1:3" x14ac:dyDescent="0.15">
      <c r="A784">
        <v>121325</v>
      </c>
      <c r="B784" t="s">
        <v>2217</v>
      </c>
      <c r="C784" t="s">
        <v>2542</v>
      </c>
    </row>
    <row r="785" spans="1:3" x14ac:dyDescent="0.15">
      <c r="A785">
        <v>121326</v>
      </c>
      <c r="B785" t="s">
        <v>2217</v>
      </c>
      <c r="C785" t="s">
        <v>2543</v>
      </c>
    </row>
    <row r="786" spans="1:3" x14ac:dyDescent="0.15">
      <c r="A786">
        <v>121327</v>
      </c>
      <c r="B786" t="s">
        <v>2217</v>
      </c>
      <c r="C786" t="s">
        <v>2544</v>
      </c>
    </row>
    <row r="787" spans="1:3" x14ac:dyDescent="0.15">
      <c r="A787">
        <v>121328</v>
      </c>
      <c r="B787" t="s">
        <v>2217</v>
      </c>
      <c r="C787" t="s">
        <v>2545</v>
      </c>
    </row>
    <row r="788" spans="1:3" x14ac:dyDescent="0.15">
      <c r="A788">
        <v>121329</v>
      </c>
      <c r="B788" t="s">
        <v>2217</v>
      </c>
      <c r="C788" t="s">
        <v>2546</v>
      </c>
    </row>
    <row r="789" spans="1:3" x14ac:dyDescent="0.15">
      <c r="A789">
        <v>121330</v>
      </c>
      <c r="B789" t="s">
        <v>2217</v>
      </c>
      <c r="C789" t="s">
        <v>2547</v>
      </c>
    </row>
    <row r="790" spans="1:3" x14ac:dyDescent="0.15">
      <c r="A790">
        <v>121331</v>
      </c>
      <c r="B790" t="s">
        <v>2217</v>
      </c>
      <c r="C790" t="s">
        <v>2548</v>
      </c>
    </row>
    <row r="791" spans="1:3" x14ac:dyDescent="0.15">
      <c r="A791">
        <v>121332</v>
      </c>
      <c r="B791" t="s">
        <v>2217</v>
      </c>
      <c r="C791" t="s">
        <v>2549</v>
      </c>
    </row>
    <row r="792" spans="1:3" x14ac:dyDescent="0.15">
      <c r="A792">
        <v>121333</v>
      </c>
      <c r="B792" t="s">
        <v>2217</v>
      </c>
      <c r="C792" t="s">
        <v>2550</v>
      </c>
    </row>
    <row r="793" spans="1:3" x14ac:dyDescent="0.15">
      <c r="A793">
        <v>121334</v>
      </c>
      <c r="B793" t="s">
        <v>2217</v>
      </c>
      <c r="C793" t="s">
        <v>2551</v>
      </c>
    </row>
    <row r="794" spans="1:3" x14ac:dyDescent="0.15">
      <c r="A794">
        <v>121335</v>
      </c>
      <c r="B794" t="s">
        <v>2217</v>
      </c>
      <c r="C794" t="s">
        <v>2552</v>
      </c>
    </row>
    <row r="795" spans="1:3" x14ac:dyDescent="0.15">
      <c r="A795">
        <v>121336</v>
      </c>
      <c r="B795" t="s">
        <v>2217</v>
      </c>
      <c r="C795" t="s">
        <v>2553</v>
      </c>
    </row>
    <row r="796" spans="1:3" x14ac:dyDescent="0.15">
      <c r="A796">
        <v>121337</v>
      </c>
      <c r="B796" t="s">
        <v>2217</v>
      </c>
      <c r="C796" t="s">
        <v>2554</v>
      </c>
    </row>
    <row r="797" spans="1:3" x14ac:dyDescent="0.15">
      <c r="A797">
        <v>121338</v>
      </c>
      <c r="B797" t="s">
        <v>2217</v>
      </c>
      <c r="C797" t="s">
        <v>2555</v>
      </c>
    </row>
    <row r="798" spans="1:3" x14ac:dyDescent="0.15">
      <c r="A798">
        <v>121339</v>
      </c>
      <c r="B798" t="s">
        <v>2217</v>
      </c>
      <c r="C798" t="s">
        <v>2556</v>
      </c>
    </row>
    <row r="799" spans="1:3" x14ac:dyDescent="0.15">
      <c r="A799">
        <v>121340</v>
      </c>
      <c r="B799" t="s">
        <v>2217</v>
      </c>
      <c r="C799" t="s">
        <v>2557</v>
      </c>
    </row>
    <row r="800" spans="1:3" x14ac:dyDescent="0.15">
      <c r="A800">
        <v>121341</v>
      </c>
      <c r="B800" t="s">
        <v>2217</v>
      </c>
      <c r="C800" t="s">
        <v>2558</v>
      </c>
    </row>
    <row r="801" spans="1:3" x14ac:dyDescent="0.15">
      <c r="A801">
        <v>121342</v>
      </c>
      <c r="B801" t="s">
        <v>2217</v>
      </c>
      <c r="C801" t="s">
        <v>2559</v>
      </c>
    </row>
    <row r="802" spans="1:3" x14ac:dyDescent="0.15">
      <c r="A802">
        <v>121343</v>
      </c>
      <c r="B802" t="s">
        <v>2217</v>
      </c>
      <c r="C802" t="s">
        <v>2560</v>
      </c>
    </row>
    <row r="803" spans="1:3" x14ac:dyDescent="0.15">
      <c r="A803">
        <v>121344</v>
      </c>
      <c r="B803" t="s">
        <v>2217</v>
      </c>
      <c r="C803" t="s">
        <v>2561</v>
      </c>
    </row>
    <row r="804" spans="1:3" x14ac:dyDescent="0.15">
      <c r="A804">
        <v>121345</v>
      </c>
      <c r="B804" t="s">
        <v>2217</v>
      </c>
      <c r="C804" t="s">
        <v>2562</v>
      </c>
    </row>
    <row r="805" spans="1:3" x14ac:dyDescent="0.15">
      <c r="A805">
        <v>121346</v>
      </c>
      <c r="B805" t="s">
        <v>2217</v>
      </c>
      <c r="C805" t="s">
        <v>2563</v>
      </c>
    </row>
    <row r="806" spans="1:3" x14ac:dyDescent="0.15">
      <c r="A806">
        <v>121347</v>
      </c>
      <c r="B806" t="s">
        <v>2217</v>
      </c>
      <c r="C806" t="s">
        <v>2564</v>
      </c>
    </row>
    <row r="807" spans="1:3" x14ac:dyDescent="0.15">
      <c r="A807">
        <v>121348</v>
      </c>
      <c r="B807" t="s">
        <v>2217</v>
      </c>
      <c r="C807" t="s">
        <v>2565</v>
      </c>
    </row>
    <row r="808" spans="1:3" x14ac:dyDescent="0.15">
      <c r="A808">
        <v>121349</v>
      </c>
      <c r="B808" t="s">
        <v>2217</v>
      </c>
      <c r="C808" t="s">
        <v>2566</v>
      </c>
    </row>
    <row r="809" spans="1:3" x14ac:dyDescent="0.15">
      <c r="A809">
        <v>121350</v>
      </c>
      <c r="B809" t="s">
        <v>2217</v>
      </c>
      <c r="C809" t="s">
        <v>2567</v>
      </c>
    </row>
    <row r="810" spans="1:3" x14ac:dyDescent="0.15">
      <c r="A810">
        <v>121351</v>
      </c>
      <c r="B810" t="s">
        <v>2217</v>
      </c>
      <c r="C810" t="s">
        <v>2568</v>
      </c>
    </row>
    <row r="811" spans="1:3" x14ac:dyDescent="0.15">
      <c r="A811">
        <v>121352</v>
      </c>
      <c r="B811" t="s">
        <v>2217</v>
      </c>
      <c r="C811" t="s">
        <v>2569</v>
      </c>
    </row>
    <row r="812" spans="1:3" x14ac:dyDescent="0.15">
      <c r="A812">
        <v>121353</v>
      </c>
      <c r="B812" t="s">
        <v>2217</v>
      </c>
      <c r="C812" t="s">
        <v>2570</v>
      </c>
    </row>
    <row r="813" spans="1:3" x14ac:dyDescent="0.15">
      <c r="A813">
        <v>121354</v>
      </c>
      <c r="B813" t="s">
        <v>2217</v>
      </c>
      <c r="C813" t="s">
        <v>2571</v>
      </c>
    </row>
    <row r="814" spans="1:3" x14ac:dyDescent="0.15">
      <c r="A814">
        <v>121355</v>
      </c>
      <c r="B814" t="s">
        <v>2217</v>
      </c>
      <c r="C814" t="s">
        <v>2572</v>
      </c>
    </row>
    <row r="815" spans="1:3" x14ac:dyDescent="0.15">
      <c r="A815">
        <v>121356</v>
      </c>
      <c r="B815" t="s">
        <v>2217</v>
      </c>
      <c r="C815" t="s">
        <v>2573</v>
      </c>
    </row>
    <row r="816" spans="1:3" x14ac:dyDescent="0.15">
      <c r="A816">
        <v>121357</v>
      </c>
      <c r="B816" t="s">
        <v>2217</v>
      </c>
      <c r="C816" t="s">
        <v>2574</v>
      </c>
    </row>
    <row r="817" spans="1:3" x14ac:dyDescent="0.15">
      <c r="A817">
        <v>121358</v>
      </c>
      <c r="B817" t="s">
        <v>2217</v>
      </c>
      <c r="C817" t="s">
        <v>2575</v>
      </c>
    </row>
    <row r="818" spans="1:3" x14ac:dyDescent="0.15">
      <c r="A818">
        <v>121359</v>
      </c>
      <c r="B818" t="s">
        <v>2217</v>
      </c>
      <c r="C818" t="s">
        <v>2576</v>
      </c>
    </row>
    <row r="819" spans="1:3" x14ac:dyDescent="0.15">
      <c r="A819">
        <v>121360</v>
      </c>
      <c r="B819" t="s">
        <v>2217</v>
      </c>
      <c r="C819" t="s">
        <v>2577</v>
      </c>
    </row>
    <row r="820" spans="1:3" x14ac:dyDescent="0.15">
      <c r="A820">
        <v>121361</v>
      </c>
      <c r="B820" t="s">
        <v>2217</v>
      </c>
      <c r="C820" t="s">
        <v>2578</v>
      </c>
    </row>
    <row r="821" spans="1:3" x14ac:dyDescent="0.15">
      <c r="A821">
        <v>121362</v>
      </c>
      <c r="B821" t="s">
        <v>2217</v>
      </c>
      <c r="C821" t="s">
        <v>2579</v>
      </c>
    </row>
    <row r="822" spans="1:3" x14ac:dyDescent="0.15">
      <c r="A822">
        <v>121363</v>
      </c>
      <c r="B822" t="s">
        <v>2217</v>
      </c>
      <c r="C822" t="s">
        <v>2580</v>
      </c>
    </row>
    <row r="823" spans="1:3" x14ac:dyDescent="0.15">
      <c r="A823">
        <v>121364</v>
      </c>
      <c r="B823" t="s">
        <v>2217</v>
      </c>
      <c r="C823" t="s">
        <v>2581</v>
      </c>
    </row>
    <row r="824" spans="1:3" x14ac:dyDescent="0.15">
      <c r="A824">
        <v>121365</v>
      </c>
      <c r="B824" t="s">
        <v>2217</v>
      </c>
      <c r="C824" t="s">
        <v>2582</v>
      </c>
    </row>
    <row r="825" spans="1:3" x14ac:dyDescent="0.15">
      <c r="A825">
        <v>121366</v>
      </c>
      <c r="B825" t="s">
        <v>2217</v>
      </c>
      <c r="C825" t="s">
        <v>2583</v>
      </c>
    </row>
    <row r="826" spans="1:3" x14ac:dyDescent="0.15">
      <c r="A826">
        <v>121367</v>
      </c>
      <c r="B826" t="s">
        <v>2217</v>
      </c>
      <c r="C826" t="s">
        <v>2584</v>
      </c>
    </row>
    <row r="827" spans="1:3" x14ac:dyDescent="0.15">
      <c r="A827">
        <v>121368</v>
      </c>
      <c r="B827" t="s">
        <v>2217</v>
      </c>
      <c r="C827" t="s">
        <v>2585</v>
      </c>
    </row>
    <row r="828" spans="1:3" x14ac:dyDescent="0.15">
      <c r="A828">
        <v>121369</v>
      </c>
      <c r="B828" t="s">
        <v>2217</v>
      </c>
      <c r="C828" t="s">
        <v>2586</v>
      </c>
    </row>
    <row r="829" spans="1:3" x14ac:dyDescent="0.15">
      <c r="A829">
        <v>121370</v>
      </c>
      <c r="B829" t="s">
        <v>2217</v>
      </c>
      <c r="C829" t="s">
        <v>2587</v>
      </c>
    </row>
    <row r="830" spans="1:3" x14ac:dyDescent="0.15">
      <c r="A830">
        <v>121371</v>
      </c>
      <c r="B830" t="s">
        <v>2217</v>
      </c>
      <c r="C830" t="s">
        <v>2588</v>
      </c>
    </row>
    <row r="831" spans="1:3" x14ac:dyDescent="0.15">
      <c r="A831">
        <v>121372</v>
      </c>
      <c r="B831" t="s">
        <v>2217</v>
      </c>
      <c r="C831" t="s">
        <v>2589</v>
      </c>
    </row>
    <row r="832" spans="1:3" x14ac:dyDescent="0.15">
      <c r="A832">
        <v>121373</v>
      </c>
      <c r="B832" t="s">
        <v>2217</v>
      </c>
      <c r="C832" t="s">
        <v>2590</v>
      </c>
    </row>
    <row r="833" spans="1:3" x14ac:dyDescent="0.15">
      <c r="A833">
        <v>121374</v>
      </c>
      <c r="B833" t="s">
        <v>2217</v>
      </c>
      <c r="C833" t="s">
        <v>2591</v>
      </c>
    </row>
    <row r="834" spans="1:3" x14ac:dyDescent="0.15">
      <c r="A834">
        <v>121375</v>
      </c>
      <c r="B834" t="s">
        <v>2217</v>
      </c>
      <c r="C834" t="s">
        <v>2592</v>
      </c>
    </row>
    <row r="835" spans="1:3" x14ac:dyDescent="0.15">
      <c r="A835">
        <v>121376</v>
      </c>
      <c r="B835" t="s">
        <v>2217</v>
      </c>
      <c r="C835" t="s">
        <v>2593</v>
      </c>
    </row>
    <row r="836" spans="1:3" x14ac:dyDescent="0.15">
      <c r="A836">
        <v>121377</v>
      </c>
      <c r="B836" t="s">
        <v>2217</v>
      </c>
      <c r="C836" t="s">
        <v>2594</v>
      </c>
    </row>
    <row r="837" spans="1:3" x14ac:dyDescent="0.15">
      <c r="A837">
        <v>121378</v>
      </c>
      <c r="B837" t="s">
        <v>2217</v>
      </c>
      <c r="C837" t="s">
        <v>2595</v>
      </c>
    </row>
    <row r="838" spans="1:3" x14ac:dyDescent="0.15">
      <c r="A838">
        <v>121379</v>
      </c>
      <c r="B838" t="s">
        <v>2217</v>
      </c>
      <c r="C838" t="s">
        <v>2596</v>
      </c>
    </row>
    <row r="839" spans="1:3" x14ac:dyDescent="0.15">
      <c r="A839">
        <v>121380</v>
      </c>
      <c r="B839" t="s">
        <v>2217</v>
      </c>
      <c r="C839" t="s">
        <v>2597</v>
      </c>
    </row>
    <row r="840" spans="1:3" x14ac:dyDescent="0.15">
      <c r="A840">
        <v>121381</v>
      </c>
      <c r="B840" t="s">
        <v>2217</v>
      </c>
      <c r="C840" t="s">
        <v>2598</v>
      </c>
    </row>
    <row r="841" spans="1:3" x14ac:dyDescent="0.15">
      <c r="A841">
        <v>121382</v>
      </c>
      <c r="B841" t="s">
        <v>2217</v>
      </c>
      <c r="C841" t="s">
        <v>2599</v>
      </c>
    </row>
    <row r="842" spans="1:3" x14ac:dyDescent="0.15">
      <c r="A842">
        <v>121383</v>
      </c>
      <c r="B842" t="s">
        <v>2217</v>
      </c>
      <c r="C842" t="s">
        <v>2600</v>
      </c>
    </row>
    <row r="843" spans="1:3" x14ac:dyDescent="0.15">
      <c r="A843">
        <v>121384</v>
      </c>
      <c r="B843" t="s">
        <v>2217</v>
      </c>
      <c r="C843" t="s">
        <v>2601</v>
      </c>
    </row>
    <row r="844" spans="1:3" x14ac:dyDescent="0.15">
      <c r="A844">
        <v>121385</v>
      </c>
      <c r="B844" t="s">
        <v>2217</v>
      </c>
      <c r="C844" t="s">
        <v>2602</v>
      </c>
    </row>
    <row r="845" spans="1:3" x14ac:dyDescent="0.15">
      <c r="A845">
        <v>121386</v>
      </c>
      <c r="B845" t="s">
        <v>2217</v>
      </c>
      <c r="C845" t="s">
        <v>2603</v>
      </c>
    </row>
    <row r="846" spans="1:3" x14ac:dyDescent="0.15">
      <c r="A846">
        <v>121387</v>
      </c>
      <c r="B846" t="s">
        <v>2217</v>
      </c>
      <c r="C846" t="s">
        <v>2604</v>
      </c>
    </row>
    <row r="847" spans="1:3" x14ac:dyDescent="0.15">
      <c r="A847">
        <v>121388</v>
      </c>
      <c r="B847" t="s">
        <v>2217</v>
      </c>
      <c r="C847" t="s">
        <v>2605</v>
      </c>
    </row>
    <row r="848" spans="1:3" x14ac:dyDescent="0.15">
      <c r="A848">
        <v>121389</v>
      </c>
      <c r="B848" t="s">
        <v>2217</v>
      </c>
      <c r="C848" t="s">
        <v>2606</v>
      </c>
    </row>
    <row r="849" spans="1:3" x14ac:dyDescent="0.15">
      <c r="A849">
        <v>121390</v>
      </c>
      <c r="B849" t="s">
        <v>2217</v>
      </c>
      <c r="C849" t="s">
        <v>2607</v>
      </c>
    </row>
    <row r="850" spans="1:3" x14ac:dyDescent="0.15">
      <c r="A850">
        <v>121391</v>
      </c>
      <c r="B850" t="s">
        <v>2217</v>
      </c>
      <c r="C850" t="s">
        <v>2608</v>
      </c>
    </row>
    <row r="851" spans="1:3" x14ac:dyDescent="0.15">
      <c r="A851">
        <v>121392</v>
      </c>
      <c r="B851" t="s">
        <v>2217</v>
      </c>
      <c r="C851" t="s">
        <v>2609</v>
      </c>
    </row>
    <row r="852" spans="1:3" x14ac:dyDescent="0.15">
      <c r="A852">
        <v>121393</v>
      </c>
      <c r="B852" t="s">
        <v>2217</v>
      </c>
      <c r="C852" t="s">
        <v>2610</v>
      </c>
    </row>
    <row r="853" spans="1:3" x14ac:dyDescent="0.15">
      <c r="A853">
        <v>121394</v>
      </c>
      <c r="B853" t="s">
        <v>2217</v>
      </c>
      <c r="C853" t="s">
        <v>2611</v>
      </c>
    </row>
    <row r="854" spans="1:3" x14ac:dyDescent="0.15">
      <c r="A854">
        <v>121395</v>
      </c>
      <c r="B854" t="s">
        <v>2217</v>
      </c>
      <c r="C854" t="s">
        <v>2612</v>
      </c>
    </row>
    <row r="855" spans="1:3" x14ac:dyDescent="0.15">
      <c r="A855">
        <v>121396</v>
      </c>
      <c r="B855" t="s">
        <v>2217</v>
      </c>
      <c r="C855" t="s">
        <v>2613</v>
      </c>
    </row>
    <row r="856" spans="1:3" x14ac:dyDescent="0.15">
      <c r="A856">
        <v>121397</v>
      </c>
      <c r="B856" t="s">
        <v>2217</v>
      </c>
      <c r="C856" t="s">
        <v>2614</v>
      </c>
    </row>
    <row r="857" spans="1:3" x14ac:dyDescent="0.15">
      <c r="A857">
        <v>121398</v>
      </c>
      <c r="B857" t="s">
        <v>2217</v>
      </c>
      <c r="C857" t="s">
        <v>2615</v>
      </c>
    </row>
    <row r="858" spans="1:3" x14ac:dyDescent="0.15">
      <c r="A858">
        <v>121399</v>
      </c>
      <c r="B858" t="s">
        <v>2217</v>
      </c>
      <c r="C858" t="s">
        <v>2616</v>
      </c>
    </row>
    <row r="859" spans="1:3" x14ac:dyDescent="0.15">
      <c r="A859">
        <v>121400</v>
      </c>
      <c r="B859" t="s">
        <v>2217</v>
      </c>
      <c r="C859" t="s">
        <v>2617</v>
      </c>
    </row>
    <row r="860" spans="1:3" x14ac:dyDescent="0.15">
      <c r="A860">
        <v>121401</v>
      </c>
      <c r="B860" t="s">
        <v>2217</v>
      </c>
      <c r="C860" t="s">
        <v>2618</v>
      </c>
    </row>
    <row r="861" spans="1:3" x14ac:dyDescent="0.15">
      <c r="A861">
        <v>121402</v>
      </c>
      <c r="B861" t="s">
        <v>2217</v>
      </c>
      <c r="C861" t="s">
        <v>2619</v>
      </c>
    </row>
    <row r="862" spans="1:3" x14ac:dyDescent="0.15">
      <c r="A862">
        <v>121403</v>
      </c>
      <c r="B862" t="s">
        <v>2217</v>
      </c>
      <c r="C862" t="s">
        <v>2620</v>
      </c>
    </row>
    <row r="863" spans="1:3" x14ac:dyDescent="0.15">
      <c r="A863">
        <v>121404</v>
      </c>
      <c r="B863" t="s">
        <v>2217</v>
      </c>
      <c r="C863" t="s">
        <v>2621</v>
      </c>
    </row>
    <row r="864" spans="1:3" x14ac:dyDescent="0.15">
      <c r="A864">
        <v>121405</v>
      </c>
      <c r="B864" t="s">
        <v>2217</v>
      </c>
      <c r="C864" t="s">
        <v>2622</v>
      </c>
    </row>
    <row r="865" spans="1:3" x14ac:dyDescent="0.15">
      <c r="A865">
        <v>121406</v>
      </c>
      <c r="B865" t="s">
        <v>2217</v>
      </c>
      <c r="C865" t="s">
        <v>2623</v>
      </c>
    </row>
    <row r="866" spans="1:3" x14ac:dyDescent="0.15">
      <c r="A866">
        <v>121407</v>
      </c>
      <c r="B866" t="s">
        <v>2217</v>
      </c>
      <c r="C866" t="s">
        <v>2624</v>
      </c>
    </row>
    <row r="867" spans="1:3" x14ac:dyDescent="0.15">
      <c r="A867">
        <v>121408</v>
      </c>
      <c r="B867" t="s">
        <v>2217</v>
      </c>
      <c r="C867" t="s">
        <v>2625</v>
      </c>
    </row>
    <row r="868" spans="1:3" x14ac:dyDescent="0.15">
      <c r="A868">
        <v>121409</v>
      </c>
      <c r="B868" t="s">
        <v>2217</v>
      </c>
      <c r="C868" t="s">
        <v>2626</v>
      </c>
    </row>
    <row r="869" spans="1:3" x14ac:dyDescent="0.15">
      <c r="A869">
        <v>121410</v>
      </c>
      <c r="B869" t="s">
        <v>2217</v>
      </c>
      <c r="C869" t="s">
        <v>2627</v>
      </c>
    </row>
    <row r="870" spans="1:3" x14ac:dyDescent="0.15">
      <c r="A870">
        <v>121411</v>
      </c>
      <c r="B870" t="s">
        <v>2217</v>
      </c>
      <c r="C870" t="s">
        <v>2628</v>
      </c>
    </row>
    <row r="871" spans="1:3" x14ac:dyDescent="0.15">
      <c r="A871">
        <v>121412</v>
      </c>
      <c r="B871" t="s">
        <v>2217</v>
      </c>
      <c r="C871" t="s">
        <v>2629</v>
      </c>
    </row>
    <row r="872" spans="1:3" x14ac:dyDescent="0.15">
      <c r="A872">
        <v>121413</v>
      </c>
      <c r="B872" t="s">
        <v>2217</v>
      </c>
      <c r="C872" t="s">
        <v>2630</v>
      </c>
    </row>
    <row r="873" spans="1:3" x14ac:dyDescent="0.15">
      <c r="A873">
        <v>121414</v>
      </c>
      <c r="B873" t="s">
        <v>2217</v>
      </c>
      <c r="C873" t="s">
        <v>2631</v>
      </c>
    </row>
    <row r="874" spans="1:3" x14ac:dyDescent="0.15">
      <c r="A874">
        <v>121415</v>
      </c>
      <c r="B874" t="s">
        <v>2217</v>
      </c>
      <c r="C874" t="s">
        <v>2632</v>
      </c>
    </row>
    <row r="875" spans="1:3" x14ac:dyDescent="0.15">
      <c r="A875">
        <v>121416</v>
      </c>
      <c r="B875" t="s">
        <v>2217</v>
      </c>
      <c r="C875" t="s">
        <v>2633</v>
      </c>
    </row>
    <row r="876" spans="1:3" x14ac:dyDescent="0.15">
      <c r="A876">
        <v>121417</v>
      </c>
      <c r="B876" t="s">
        <v>2217</v>
      </c>
      <c r="C876" t="s">
        <v>2634</v>
      </c>
    </row>
    <row r="877" spans="1:3" x14ac:dyDescent="0.15">
      <c r="A877">
        <v>121418</v>
      </c>
      <c r="B877" t="s">
        <v>2217</v>
      </c>
      <c r="C877" t="s">
        <v>2635</v>
      </c>
    </row>
    <row r="878" spans="1:3" x14ac:dyDescent="0.15">
      <c r="A878">
        <v>121419</v>
      </c>
      <c r="B878" t="s">
        <v>2217</v>
      </c>
      <c r="C878" t="s">
        <v>2636</v>
      </c>
    </row>
    <row r="879" spans="1:3" x14ac:dyDescent="0.15">
      <c r="A879">
        <v>121420</v>
      </c>
      <c r="B879" t="s">
        <v>2217</v>
      </c>
      <c r="C879" t="s">
        <v>2637</v>
      </c>
    </row>
    <row r="880" spans="1:3" x14ac:dyDescent="0.15">
      <c r="A880">
        <v>121421</v>
      </c>
      <c r="B880" t="s">
        <v>2217</v>
      </c>
      <c r="C880" t="s">
        <v>2638</v>
      </c>
    </row>
    <row r="881" spans="1:3" x14ac:dyDescent="0.15">
      <c r="A881">
        <v>121422</v>
      </c>
      <c r="B881" t="s">
        <v>2217</v>
      </c>
      <c r="C881" t="s">
        <v>2639</v>
      </c>
    </row>
    <row r="882" spans="1:3" x14ac:dyDescent="0.15">
      <c r="A882">
        <v>121423</v>
      </c>
      <c r="B882" t="s">
        <v>2217</v>
      </c>
      <c r="C882" t="s">
        <v>2640</v>
      </c>
    </row>
    <row r="883" spans="1:3" x14ac:dyDescent="0.15">
      <c r="A883">
        <v>121424</v>
      </c>
      <c r="B883" t="s">
        <v>2217</v>
      </c>
      <c r="C883" t="s">
        <v>2641</v>
      </c>
    </row>
    <row r="884" spans="1:3" x14ac:dyDescent="0.15">
      <c r="A884">
        <v>121425</v>
      </c>
      <c r="B884" t="s">
        <v>2217</v>
      </c>
      <c r="C884" t="s">
        <v>2642</v>
      </c>
    </row>
    <row r="885" spans="1:3" x14ac:dyDescent="0.15">
      <c r="A885">
        <v>121426</v>
      </c>
      <c r="B885" t="s">
        <v>2217</v>
      </c>
      <c r="C885" t="s">
        <v>2643</v>
      </c>
    </row>
    <row r="886" spans="1:3" x14ac:dyDescent="0.15">
      <c r="A886">
        <v>121427</v>
      </c>
      <c r="B886" t="s">
        <v>2217</v>
      </c>
      <c r="C886" t="s">
        <v>2644</v>
      </c>
    </row>
    <row r="887" spans="1:3" x14ac:dyDescent="0.15">
      <c r="A887">
        <v>121428</v>
      </c>
      <c r="B887" t="s">
        <v>2217</v>
      </c>
      <c r="C887" t="s">
        <v>2645</v>
      </c>
    </row>
    <row r="888" spans="1:3" x14ac:dyDescent="0.15">
      <c r="A888">
        <v>121429</v>
      </c>
      <c r="B888" t="s">
        <v>2217</v>
      </c>
      <c r="C888" t="s">
        <v>2646</v>
      </c>
    </row>
    <row r="889" spans="1:3" x14ac:dyDescent="0.15">
      <c r="A889">
        <v>121430</v>
      </c>
      <c r="B889" t="s">
        <v>2217</v>
      </c>
      <c r="C889" t="s">
        <v>2647</v>
      </c>
    </row>
    <row r="890" spans="1:3" x14ac:dyDescent="0.15">
      <c r="A890">
        <v>121431</v>
      </c>
      <c r="B890" t="s">
        <v>2217</v>
      </c>
      <c r="C890" t="s">
        <v>2648</v>
      </c>
    </row>
    <row r="891" spans="1:3" x14ac:dyDescent="0.15">
      <c r="A891">
        <v>121432</v>
      </c>
      <c r="B891" t="s">
        <v>2217</v>
      </c>
      <c r="C891" t="s">
        <v>2649</v>
      </c>
    </row>
    <row r="892" spans="1:3" x14ac:dyDescent="0.15">
      <c r="A892">
        <v>121433</v>
      </c>
      <c r="B892" t="s">
        <v>2217</v>
      </c>
      <c r="C892" t="s">
        <v>2650</v>
      </c>
    </row>
    <row r="893" spans="1:3" x14ac:dyDescent="0.15">
      <c r="A893">
        <v>121434</v>
      </c>
      <c r="B893" t="s">
        <v>2217</v>
      </c>
      <c r="C893" t="s">
        <v>2651</v>
      </c>
    </row>
    <row r="894" spans="1:3" x14ac:dyDescent="0.15">
      <c r="A894">
        <v>121435</v>
      </c>
      <c r="B894" t="s">
        <v>2217</v>
      </c>
      <c r="C894" t="s">
        <v>2652</v>
      </c>
    </row>
    <row r="895" spans="1:3" x14ac:dyDescent="0.15">
      <c r="A895">
        <v>121436</v>
      </c>
      <c r="B895" t="s">
        <v>2217</v>
      </c>
      <c r="C895" t="s">
        <v>2653</v>
      </c>
    </row>
    <row r="896" spans="1:3" x14ac:dyDescent="0.15">
      <c r="A896">
        <v>121437</v>
      </c>
      <c r="B896" t="s">
        <v>2217</v>
      </c>
      <c r="C896" t="s">
        <v>2654</v>
      </c>
    </row>
    <row r="897" spans="1:3" x14ac:dyDescent="0.15">
      <c r="A897">
        <v>121438</v>
      </c>
      <c r="B897" t="s">
        <v>2217</v>
      </c>
      <c r="C897" t="s">
        <v>2655</v>
      </c>
    </row>
    <row r="898" spans="1:3" x14ac:dyDescent="0.15">
      <c r="A898">
        <v>121439</v>
      </c>
      <c r="B898" t="s">
        <v>2217</v>
      </c>
      <c r="C898" t="s">
        <v>2656</v>
      </c>
    </row>
    <row r="899" spans="1:3" x14ac:dyDescent="0.15">
      <c r="A899">
        <v>121440</v>
      </c>
      <c r="B899" t="s">
        <v>2217</v>
      </c>
      <c r="C899" t="s">
        <v>2657</v>
      </c>
    </row>
    <row r="900" spans="1:3" x14ac:dyDescent="0.15">
      <c r="A900">
        <v>121441</v>
      </c>
      <c r="B900" t="s">
        <v>2217</v>
      </c>
      <c r="C900" t="s">
        <v>2658</v>
      </c>
    </row>
    <row r="901" spans="1:3" x14ac:dyDescent="0.15">
      <c r="A901">
        <v>121442</v>
      </c>
      <c r="B901" t="s">
        <v>2217</v>
      </c>
      <c r="C901" t="s">
        <v>2659</v>
      </c>
    </row>
    <row r="902" spans="1:3" x14ac:dyDescent="0.15">
      <c r="A902">
        <v>121443</v>
      </c>
      <c r="B902" t="s">
        <v>2217</v>
      </c>
      <c r="C902" t="s">
        <v>2660</v>
      </c>
    </row>
    <row r="903" spans="1:3" x14ac:dyDescent="0.15">
      <c r="A903">
        <v>121444</v>
      </c>
      <c r="B903" t="s">
        <v>2217</v>
      </c>
      <c r="C903" t="s">
        <v>2661</v>
      </c>
    </row>
    <row r="904" spans="1:3" x14ac:dyDescent="0.15">
      <c r="A904">
        <v>121445</v>
      </c>
      <c r="B904" t="s">
        <v>2217</v>
      </c>
      <c r="C904" t="s">
        <v>2662</v>
      </c>
    </row>
    <row r="905" spans="1:3" x14ac:dyDescent="0.15">
      <c r="A905">
        <v>121446</v>
      </c>
      <c r="B905" t="s">
        <v>2217</v>
      </c>
      <c r="C905" t="s">
        <v>2663</v>
      </c>
    </row>
    <row r="906" spans="1:3" x14ac:dyDescent="0.15">
      <c r="A906">
        <v>121447</v>
      </c>
      <c r="B906" t="s">
        <v>2217</v>
      </c>
      <c r="C906" t="s">
        <v>2664</v>
      </c>
    </row>
    <row r="907" spans="1:3" x14ac:dyDescent="0.15">
      <c r="A907">
        <v>121448</v>
      </c>
      <c r="B907" t="s">
        <v>2217</v>
      </c>
      <c r="C907" t="s">
        <v>2665</v>
      </c>
    </row>
    <row r="908" spans="1:3" x14ac:dyDescent="0.15">
      <c r="A908">
        <v>121449</v>
      </c>
      <c r="B908" t="s">
        <v>2217</v>
      </c>
      <c r="C908" t="s">
        <v>2666</v>
      </c>
    </row>
    <row r="909" spans="1:3" x14ac:dyDescent="0.15">
      <c r="A909">
        <v>121450</v>
      </c>
      <c r="B909" t="s">
        <v>2217</v>
      </c>
      <c r="C909" t="s">
        <v>2667</v>
      </c>
    </row>
    <row r="910" spans="1:3" x14ac:dyDescent="0.15">
      <c r="A910">
        <v>121451</v>
      </c>
      <c r="B910" t="s">
        <v>2217</v>
      </c>
      <c r="C910" t="s">
        <v>2668</v>
      </c>
    </row>
    <row r="911" spans="1:3" x14ac:dyDescent="0.15">
      <c r="A911">
        <v>121452</v>
      </c>
      <c r="B911" t="s">
        <v>2217</v>
      </c>
      <c r="C911" t="s">
        <v>2669</v>
      </c>
    </row>
    <row r="912" spans="1:3" x14ac:dyDescent="0.15">
      <c r="A912">
        <v>121453</v>
      </c>
      <c r="B912" t="s">
        <v>2217</v>
      </c>
      <c r="C912" t="s">
        <v>2670</v>
      </c>
    </row>
    <row r="913" spans="1:3" x14ac:dyDescent="0.15">
      <c r="A913">
        <v>121454</v>
      </c>
      <c r="B913" t="s">
        <v>2217</v>
      </c>
      <c r="C913" t="s">
        <v>2671</v>
      </c>
    </row>
    <row r="914" spans="1:3" x14ac:dyDescent="0.15">
      <c r="A914">
        <v>121455</v>
      </c>
      <c r="B914" t="s">
        <v>2217</v>
      </c>
      <c r="C914" t="s">
        <v>2672</v>
      </c>
    </row>
    <row r="915" spans="1:3" x14ac:dyDescent="0.15">
      <c r="A915">
        <v>121456</v>
      </c>
      <c r="B915" t="s">
        <v>2217</v>
      </c>
      <c r="C915" t="s">
        <v>2673</v>
      </c>
    </row>
    <row r="916" spans="1:3" x14ac:dyDescent="0.15">
      <c r="A916">
        <v>121457</v>
      </c>
      <c r="B916" t="s">
        <v>2217</v>
      </c>
      <c r="C916" t="s">
        <v>2674</v>
      </c>
    </row>
    <row r="917" spans="1:3" x14ac:dyDescent="0.15">
      <c r="A917">
        <v>121458</v>
      </c>
      <c r="B917" t="s">
        <v>2217</v>
      </c>
      <c r="C917" t="s">
        <v>2675</v>
      </c>
    </row>
    <row r="918" spans="1:3" x14ac:dyDescent="0.15">
      <c r="A918">
        <v>121459</v>
      </c>
      <c r="B918" t="s">
        <v>2217</v>
      </c>
      <c r="C918" t="s">
        <v>2676</v>
      </c>
    </row>
    <row r="919" spans="1:3" x14ac:dyDescent="0.15">
      <c r="A919">
        <v>121460</v>
      </c>
      <c r="B919" t="s">
        <v>2217</v>
      </c>
      <c r="C919" t="s">
        <v>2677</v>
      </c>
    </row>
    <row r="920" spans="1:3" x14ac:dyDescent="0.15">
      <c r="A920">
        <v>121461</v>
      </c>
      <c r="B920" t="s">
        <v>2217</v>
      </c>
      <c r="C920" t="s">
        <v>2678</v>
      </c>
    </row>
    <row r="921" spans="1:3" x14ac:dyDescent="0.15">
      <c r="A921">
        <v>121462</v>
      </c>
      <c r="B921" t="s">
        <v>2217</v>
      </c>
      <c r="C921" t="s">
        <v>2679</v>
      </c>
    </row>
    <row r="922" spans="1:3" x14ac:dyDescent="0.15">
      <c r="A922">
        <v>121463</v>
      </c>
      <c r="B922" t="s">
        <v>2217</v>
      </c>
      <c r="C922" t="s">
        <v>2680</v>
      </c>
    </row>
    <row r="923" spans="1:3" x14ac:dyDescent="0.15">
      <c r="A923">
        <v>121464</v>
      </c>
      <c r="B923" t="s">
        <v>2217</v>
      </c>
      <c r="C923" t="s">
        <v>2681</v>
      </c>
    </row>
    <row r="924" spans="1:3" x14ac:dyDescent="0.15">
      <c r="A924">
        <v>121465</v>
      </c>
      <c r="B924" t="s">
        <v>2217</v>
      </c>
      <c r="C924" t="s">
        <v>2682</v>
      </c>
    </row>
    <row r="925" spans="1:3" x14ac:dyDescent="0.15">
      <c r="A925">
        <v>121466</v>
      </c>
      <c r="B925" t="s">
        <v>2217</v>
      </c>
      <c r="C925" t="s">
        <v>2683</v>
      </c>
    </row>
    <row r="926" spans="1:3" x14ac:dyDescent="0.15">
      <c r="A926">
        <v>121467</v>
      </c>
      <c r="B926" t="s">
        <v>2217</v>
      </c>
      <c r="C926" t="s">
        <v>2684</v>
      </c>
    </row>
    <row r="927" spans="1:3" x14ac:dyDescent="0.15">
      <c r="A927">
        <v>121468</v>
      </c>
      <c r="B927" t="s">
        <v>2217</v>
      </c>
      <c r="C927" t="s">
        <v>2685</v>
      </c>
    </row>
    <row r="928" spans="1:3" x14ac:dyDescent="0.15">
      <c r="A928">
        <v>121469</v>
      </c>
      <c r="B928" t="s">
        <v>2217</v>
      </c>
      <c r="C928" t="s">
        <v>2686</v>
      </c>
    </row>
    <row r="929" spans="1:3" x14ac:dyDescent="0.15">
      <c r="A929">
        <v>121470</v>
      </c>
      <c r="B929" t="s">
        <v>2217</v>
      </c>
      <c r="C929" t="s">
        <v>2687</v>
      </c>
    </row>
    <row r="930" spans="1:3" x14ac:dyDescent="0.15">
      <c r="A930">
        <v>121471</v>
      </c>
      <c r="B930" t="s">
        <v>2217</v>
      </c>
      <c r="C930" t="s">
        <v>2688</v>
      </c>
    </row>
    <row r="931" spans="1:3" x14ac:dyDescent="0.15">
      <c r="A931">
        <v>121472</v>
      </c>
      <c r="B931" t="s">
        <v>2217</v>
      </c>
      <c r="C931" t="s">
        <v>2689</v>
      </c>
    </row>
    <row r="932" spans="1:3" x14ac:dyDescent="0.15">
      <c r="A932">
        <v>121473</v>
      </c>
      <c r="B932" t="s">
        <v>2217</v>
      </c>
      <c r="C932" t="s">
        <v>2690</v>
      </c>
    </row>
    <row r="933" spans="1:3" x14ac:dyDescent="0.15">
      <c r="A933">
        <v>121474</v>
      </c>
      <c r="B933" t="s">
        <v>2217</v>
      </c>
      <c r="C933" t="s">
        <v>2691</v>
      </c>
    </row>
    <row r="934" spans="1:3" x14ac:dyDescent="0.15">
      <c r="A934">
        <v>121475</v>
      </c>
      <c r="B934" t="s">
        <v>2217</v>
      </c>
      <c r="C934" t="s">
        <v>2692</v>
      </c>
    </row>
    <row r="935" spans="1:3" x14ac:dyDescent="0.15">
      <c r="A935">
        <v>121476</v>
      </c>
      <c r="B935" t="s">
        <v>2217</v>
      </c>
      <c r="C935" t="s">
        <v>2693</v>
      </c>
    </row>
    <row r="936" spans="1:3" x14ac:dyDescent="0.15">
      <c r="A936">
        <v>121477</v>
      </c>
      <c r="B936" t="s">
        <v>2217</v>
      </c>
      <c r="C936" t="s">
        <v>2694</v>
      </c>
    </row>
    <row r="937" spans="1:3" x14ac:dyDescent="0.15">
      <c r="A937">
        <v>121478</v>
      </c>
      <c r="B937" t="s">
        <v>2217</v>
      </c>
      <c r="C937" t="s">
        <v>2695</v>
      </c>
    </row>
    <row r="938" spans="1:3" x14ac:dyDescent="0.15">
      <c r="A938">
        <v>121479</v>
      </c>
      <c r="B938" t="s">
        <v>2217</v>
      </c>
      <c r="C938" t="s">
        <v>2696</v>
      </c>
    </row>
    <row r="939" spans="1:3" x14ac:dyDescent="0.15">
      <c r="A939">
        <v>121480</v>
      </c>
      <c r="B939" t="s">
        <v>2217</v>
      </c>
      <c r="C939" t="s">
        <v>2697</v>
      </c>
    </row>
    <row r="940" spans="1:3" x14ac:dyDescent="0.15">
      <c r="A940">
        <v>121481</v>
      </c>
      <c r="B940" t="s">
        <v>2217</v>
      </c>
      <c r="C940" t="s">
        <v>2698</v>
      </c>
    </row>
    <row r="941" spans="1:3" x14ac:dyDescent="0.15">
      <c r="A941">
        <v>121482</v>
      </c>
      <c r="B941" t="s">
        <v>2217</v>
      </c>
      <c r="C941" t="s">
        <v>2699</v>
      </c>
    </row>
    <row r="942" spans="1:3" x14ac:dyDescent="0.15">
      <c r="A942">
        <v>121483</v>
      </c>
      <c r="B942" t="s">
        <v>2217</v>
      </c>
      <c r="C942" t="s">
        <v>2700</v>
      </c>
    </row>
    <row r="943" spans="1:3" x14ac:dyDescent="0.15">
      <c r="A943">
        <v>121484</v>
      </c>
      <c r="B943" t="s">
        <v>2217</v>
      </c>
      <c r="C943" t="s">
        <v>2701</v>
      </c>
    </row>
    <row r="944" spans="1:3" x14ac:dyDescent="0.15">
      <c r="A944">
        <v>121485</v>
      </c>
      <c r="B944" t="s">
        <v>2217</v>
      </c>
      <c r="C944" t="s">
        <v>2702</v>
      </c>
    </row>
    <row r="945" spans="1:3" x14ac:dyDescent="0.15">
      <c r="A945">
        <v>121486</v>
      </c>
      <c r="B945" t="s">
        <v>2217</v>
      </c>
      <c r="C945" t="s">
        <v>2703</v>
      </c>
    </row>
    <row r="946" spans="1:3" x14ac:dyDescent="0.15">
      <c r="A946">
        <v>121487</v>
      </c>
      <c r="B946" t="s">
        <v>2217</v>
      </c>
      <c r="C946" t="s">
        <v>2704</v>
      </c>
    </row>
    <row r="947" spans="1:3" x14ac:dyDescent="0.15">
      <c r="A947">
        <v>121488</v>
      </c>
      <c r="B947" t="s">
        <v>2217</v>
      </c>
      <c r="C947" t="s">
        <v>2705</v>
      </c>
    </row>
    <row r="948" spans="1:3" x14ac:dyDescent="0.15">
      <c r="A948">
        <v>121489</v>
      </c>
      <c r="B948" t="s">
        <v>2217</v>
      </c>
      <c r="C948" t="s">
        <v>2706</v>
      </c>
    </row>
    <row r="949" spans="1:3" x14ac:dyDescent="0.15">
      <c r="A949">
        <v>121490</v>
      </c>
      <c r="B949" t="s">
        <v>2217</v>
      </c>
      <c r="C949" t="s">
        <v>2707</v>
      </c>
    </row>
    <row r="950" spans="1:3" x14ac:dyDescent="0.15">
      <c r="A950">
        <v>121491</v>
      </c>
      <c r="B950" t="s">
        <v>2217</v>
      </c>
      <c r="C950" t="s">
        <v>2708</v>
      </c>
    </row>
    <row r="951" spans="1:3" x14ac:dyDescent="0.15">
      <c r="A951">
        <v>121492</v>
      </c>
      <c r="B951" t="s">
        <v>2217</v>
      </c>
      <c r="C951" t="s">
        <v>2709</v>
      </c>
    </row>
    <row r="952" spans="1:3" x14ac:dyDescent="0.15">
      <c r="A952">
        <v>121493</v>
      </c>
      <c r="B952" t="s">
        <v>2217</v>
      </c>
      <c r="C952" t="s">
        <v>2710</v>
      </c>
    </row>
    <row r="953" spans="1:3" x14ac:dyDescent="0.15">
      <c r="A953">
        <v>121494</v>
      </c>
      <c r="B953" t="s">
        <v>2217</v>
      </c>
      <c r="C953" t="s">
        <v>2711</v>
      </c>
    </row>
    <row r="954" spans="1:3" x14ac:dyDescent="0.15">
      <c r="A954">
        <v>121495</v>
      </c>
      <c r="B954" t="s">
        <v>2217</v>
      </c>
      <c r="C954" t="s">
        <v>2712</v>
      </c>
    </row>
    <row r="955" spans="1:3" x14ac:dyDescent="0.15">
      <c r="A955">
        <v>121496</v>
      </c>
      <c r="B955" t="s">
        <v>2217</v>
      </c>
      <c r="C955" t="s">
        <v>2713</v>
      </c>
    </row>
    <row r="956" spans="1:3" x14ac:dyDescent="0.15">
      <c r="A956">
        <v>121497</v>
      </c>
      <c r="B956" t="s">
        <v>2217</v>
      </c>
      <c r="C956" t="s">
        <v>2714</v>
      </c>
    </row>
    <row r="957" spans="1:3" x14ac:dyDescent="0.15">
      <c r="A957">
        <v>121498</v>
      </c>
      <c r="B957" t="s">
        <v>2217</v>
      </c>
      <c r="C957" t="s">
        <v>2715</v>
      </c>
    </row>
    <row r="958" spans="1:3" x14ac:dyDescent="0.15">
      <c r="A958">
        <v>121499</v>
      </c>
      <c r="B958" t="s">
        <v>2217</v>
      </c>
      <c r="C958" t="s">
        <v>2716</v>
      </c>
    </row>
    <row r="959" spans="1:3" x14ac:dyDescent="0.15">
      <c r="A959">
        <v>121500</v>
      </c>
      <c r="B959" t="s">
        <v>2217</v>
      </c>
      <c r="C959" t="s">
        <v>2717</v>
      </c>
    </row>
    <row r="960" spans="1:3" x14ac:dyDescent="0.15">
      <c r="A960">
        <v>121501</v>
      </c>
      <c r="B960" t="s">
        <v>2217</v>
      </c>
      <c r="C960" t="s">
        <v>2718</v>
      </c>
    </row>
    <row r="961" spans="1:3" x14ac:dyDescent="0.15">
      <c r="A961">
        <v>121502</v>
      </c>
      <c r="B961" t="s">
        <v>2217</v>
      </c>
      <c r="C961" t="s">
        <v>2719</v>
      </c>
    </row>
    <row r="962" spans="1:3" x14ac:dyDescent="0.15">
      <c r="A962">
        <v>121503</v>
      </c>
      <c r="B962" t="s">
        <v>2217</v>
      </c>
      <c r="C962" t="s">
        <v>2720</v>
      </c>
    </row>
    <row r="963" spans="1:3" x14ac:dyDescent="0.15">
      <c r="A963">
        <v>121504</v>
      </c>
      <c r="B963" t="s">
        <v>2217</v>
      </c>
      <c r="C963" t="s">
        <v>2721</v>
      </c>
    </row>
    <row r="964" spans="1:3" x14ac:dyDescent="0.15">
      <c r="A964">
        <v>121505</v>
      </c>
      <c r="B964" t="s">
        <v>2217</v>
      </c>
      <c r="C964" t="s">
        <v>2722</v>
      </c>
    </row>
    <row r="965" spans="1:3" x14ac:dyDescent="0.15">
      <c r="A965">
        <v>121506</v>
      </c>
      <c r="B965" t="s">
        <v>2217</v>
      </c>
      <c r="C965" t="s">
        <v>2723</v>
      </c>
    </row>
    <row r="966" spans="1:3" x14ac:dyDescent="0.15">
      <c r="A966">
        <v>121507</v>
      </c>
      <c r="B966" t="s">
        <v>2217</v>
      </c>
      <c r="C966" t="s">
        <v>2724</v>
      </c>
    </row>
    <row r="967" spans="1:3" x14ac:dyDescent="0.15">
      <c r="A967">
        <v>121508</v>
      </c>
      <c r="B967" t="s">
        <v>2217</v>
      </c>
      <c r="C967" t="s">
        <v>2725</v>
      </c>
    </row>
    <row r="968" spans="1:3" x14ac:dyDescent="0.15">
      <c r="A968">
        <v>121509</v>
      </c>
      <c r="B968" t="s">
        <v>2217</v>
      </c>
      <c r="C968" t="s">
        <v>2726</v>
      </c>
    </row>
    <row r="969" spans="1:3" x14ac:dyDescent="0.15">
      <c r="A969">
        <v>121510</v>
      </c>
      <c r="B969" t="s">
        <v>2217</v>
      </c>
      <c r="C969" t="s">
        <v>2727</v>
      </c>
    </row>
    <row r="970" spans="1:3" x14ac:dyDescent="0.15">
      <c r="A970">
        <v>121511</v>
      </c>
      <c r="B970" t="s">
        <v>2217</v>
      </c>
      <c r="C970" t="s">
        <v>2728</v>
      </c>
    </row>
    <row r="971" spans="1:3" x14ac:dyDescent="0.15">
      <c r="A971">
        <v>121512</v>
      </c>
      <c r="B971" t="s">
        <v>2217</v>
      </c>
      <c r="C971" t="s">
        <v>2729</v>
      </c>
    </row>
    <row r="972" spans="1:3" x14ac:dyDescent="0.15">
      <c r="A972">
        <v>121513</v>
      </c>
      <c r="B972" t="s">
        <v>2217</v>
      </c>
      <c r="C972" t="s">
        <v>2730</v>
      </c>
    </row>
    <row r="973" spans="1:3" x14ac:dyDescent="0.15">
      <c r="A973">
        <v>121514</v>
      </c>
      <c r="B973" t="s">
        <v>2217</v>
      </c>
      <c r="C973" t="s">
        <v>2731</v>
      </c>
    </row>
    <row r="974" spans="1:3" x14ac:dyDescent="0.15">
      <c r="A974">
        <v>121515</v>
      </c>
      <c r="B974" t="s">
        <v>2217</v>
      </c>
      <c r="C974" t="s">
        <v>2732</v>
      </c>
    </row>
    <row r="975" spans="1:3" x14ac:dyDescent="0.15">
      <c r="A975">
        <v>121516</v>
      </c>
      <c r="B975" t="s">
        <v>2217</v>
      </c>
      <c r="C975" t="s">
        <v>2733</v>
      </c>
    </row>
    <row r="976" spans="1:3" x14ac:dyDescent="0.15">
      <c r="A976">
        <v>121517</v>
      </c>
      <c r="B976" t="s">
        <v>2217</v>
      </c>
      <c r="C976" t="s">
        <v>2734</v>
      </c>
    </row>
    <row r="977" spans="1:3" x14ac:dyDescent="0.15">
      <c r="A977">
        <v>121518</v>
      </c>
      <c r="B977" t="s">
        <v>2217</v>
      </c>
      <c r="C977" t="s">
        <v>2735</v>
      </c>
    </row>
    <row r="978" spans="1:3" x14ac:dyDescent="0.15">
      <c r="A978">
        <v>121519</v>
      </c>
      <c r="B978" t="s">
        <v>2217</v>
      </c>
      <c r="C978" t="s">
        <v>2736</v>
      </c>
    </row>
    <row r="979" spans="1:3" x14ac:dyDescent="0.15">
      <c r="A979">
        <v>121520</v>
      </c>
      <c r="B979" t="s">
        <v>2217</v>
      </c>
      <c r="C979" t="s">
        <v>2737</v>
      </c>
    </row>
    <row r="980" spans="1:3" x14ac:dyDescent="0.15">
      <c r="A980">
        <v>121521</v>
      </c>
      <c r="B980" t="s">
        <v>2217</v>
      </c>
      <c r="C980" t="s">
        <v>2738</v>
      </c>
    </row>
    <row r="981" spans="1:3" x14ac:dyDescent="0.15">
      <c r="A981">
        <v>121522</v>
      </c>
      <c r="B981" t="s">
        <v>2217</v>
      </c>
      <c r="C981" t="s">
        <v>2739</v>
      </c>
    </row>
    <row r="982" spans="1:3" x14ac:dyDescent="0.15">
      <c r="A982">
        <v>121523</v>
      </c>
      <c r="B982" t="s">
        <v>2217</v>
      </c>
      <c r="C982" t="s">
        <v>2740</v>
      </c>
    </row>
    <row r="983" spans="1:3" x14ac:dyDescent="0.15">
      <c r="A983">
        <v>121524</v>
      </c>
      <c r="B983" t="s">
        <v>2217</v>
      </c>
      <c r="C983" t="s">
        <v>2741</v>
      </c>
    </row>
    <row r="984" spans="1:3" x14ac:dyDescent="0.15">
      <c r="A984">
        <v>121525</v>
      </c>
      <c r="B984" t="s">
        <v>2217</v>
      </c>
      <c r="C984" t="s">
        <v>2742</v>
      </c>
    </row>
    <row r="985" spans="1:3" x14ac:dyDescent="0.15">
      <c r="A985">
        <v>121526</v>
      </c>
      <c r="B985" t="s">
        <v>2217</v>
      </c>
      <c r="C985" t="s">
        <v>2743</v>
      </c>
    </row>
    <row r="986" spans="1:3" x14ac:dyDescent="0.15">
      <c r="A986">
        <v>121527</v>
      </c>
      <c r="B986" t="s">
        <v>2217</v>
      </c>
      <c r="C986" t="s">
        <v>2744</v>
      </c>
    </row>
    <row r="987" spans="1:3" x14ac:dyDescent="0.15">
      <c r="A987">
        <v>121528</v>
      </c>
      <c r="B987" t="s">
        <v>2217</v>
      </c>
      <c r="C987" t="s">
        <v>2745</v>
      </c>
    </row>
    <row r="988" spans="1:3" x14ac:dyDescent="0.15">
      <c r="A988">
        <v>121529</v>
      </c>
      <c r="B988" t="s">
        <v>2217</v>
      </c>
      <c r="C988" t="s">
        <v>2746</v>
      </c>
    </row>
    <row r="989" spans="1:3" x14ac:dyDescent="0.15">
      <c r="A989">
        <v>121530</v>
      </c>
      <c r="B989" t="s">
        <v>2217</v>
      </c>
      <c r="C989" t="s">
        <v>2747</v>
      </c>
    </row>
    <row r="990" spans="1:3" x14ac:dyDescent="0.15">
      <c r="A990">
        <v>121531</v>
      </c>
      <c r="B990" t="s">
        <v>2217</v>
      </c>
      <c r="C990" t="s">
        <v>2748</v>
      </c>
    </row>
    <row r="991" spans="1:3" x14ac:dyDescent="0.15">
      <c r="A991">
        <v>121532</v>
      </c>
      <c r="B991" t="s">
        <v>2217</v>
      </c>
      <c r="C991" t="s">
        <v>2749</v>
      </c>
    </row>
    <row r="992" spans="1:3" x14ac:dyDescent="0.15">
      <c r="A992">
        <v>121533</v>
      </c>
      <c r="B992" t="s">
        <v>2217</v>
      </c>
      <c r="C992" t="s">
        <v>2750</v>
      </c>
    </row>
    <row r="993" spans="1:3" x14ac:dyDescent="0.15">
      <c r="A993">
        <v>121534</v>
      </c>
      <c r="B993" t="s">
        <v>2217</v>
      </c>
      <c r="C993" t="s">
        <v>2751</v>
      </c>
    </row>
    <row r="994" spans="1:3" x14ac:dyDescent="0.15">
      <c r="A994">
        <v>121535</v>
      </c>
      <c r="B994" t="s">
        <v>2217</v>
      </c>
      <c r="C994" t="s">
        <v>2752</v>
      </c>
    </row>
    <row r="995" spans="1:3" x14ac:dyDescent="0.15">
      <c r="A995">
        <v>121536</v>
      </c>
      <c r="B995" t="s">
        <v>2217</v>
      </c>
      <c r="C995" t="s">
        <v>2753</v>
      </c>
    </row>
    <row r="996" spans="1:3" x14ac:dyDescent="0.15">
      <c r="A996">
        <v>121537</v>
      </c>
      <c r="B996" t="s">
        <v>2217</v>
      </c>
      <c r="C996" t="s">
        <v>2754</v>
      </c>
    </row>
    <row r="997" spans="1:3" x14ac:dyDescent="0.15">
      <c r="A997">
        <v>121538</v>
      </c>
      <c r="B997" t="s">
        <v>2217</v>
      </c>
      <c r="C997" t="s">
        <v>2755</v>
      </c>
    </row>
    <row r="998" spans="1:3" x14ac:dyDescent="0.15">
      <c r="A998">
        <v>121539</v>
      </c>
      <c r="B998" t="s">
        <v>2217</v>
      </c>
      <c r="C998" t="s">
        <v>2756</v>
      </c>
    </row>
    <row r="999" spans="1:3" x14ac:dyDescent="0.15">
      <c r="A999">
        <v>121540</v>
      </c>
      <c r="B999" t="s">
        <v>2217</v>
      </c>
      <c r="C999" t="s">
        <v>2757</v>
      </c>
    </row>
    <row r="1000" spans="1:3" x14ac:dyDescent="0.15">
      <c r="A1000">
        <v>121541</v>
      </c>
      <c r="B1000" t="s">
        <v>2217</v>
      </c>
      <c r="C1000" t="s">
        <v>2758</v>
      </c>
    </row>
    <row r="1001" spans="1:3" x14ac:dyDescent="0.15">
      <c r="A1001">
        <v>121542</v>
      </c>
      <c r="B1001" t="s">
        <v>2217</v>
      </c>
      <c r="C1001" t="s">
        <v>2759</v>
      </c>
    </row>
    <row r="1002" spans="1:3" x14ac:dyDescent="0.15">
      <c r="A1002">
        <v>121543</v>
      </c>
      <c r="B1002" t="s">
        <v>2217</v>
      </c>
      <c r="C1002" t="s">
        <v>2760</v>
      </c>
    </row>
    <row r="1003" spans="1:3" x14ac:dyDescent="0.15">
      <c r="A1003">
        <v>121544</v>
      </c>
      <c r="B1003" t="s">
        <v>2217</v>
      </c>
      <c r="C1003" t="s">
        <v>2761</v>
      </c>
    </row>
    <row r="1004" spans="1:3" x14ac:dyDescent="0.15">
      <c r="A1004">
        <v>121545</v>
      </c>
      <c r="B1004" t="s">
        <v>2217</v>
      </c>
      <c r="C1004" t="s">
        <v>2762</v>
      </c>
    </row>
    <row r="1005" spans="1:3" x14ac:dyDescent="0.15">
      <c r="A1005">
        <v>121546</v>
      </c>
      <c r="B1005" t="s">
        <v>2217</v>
      </c>
      <c r="C1005" t="s">
        <v>2763</v>
      </c>
    </row>
    <row r="1006" spans="1:3" x14ac:dyDescent="0.15">
      <c r="A1006">
        <v>121547</v>
      </c>
      <c r="B1006" t="s">
        <v>2217</v>
      </c>
      <c r="C1006" t="s">
        <v>2764</v>
      </c>
    </row>
    <row r="1007" spans="1:3" x14ac:dyDescent="0.15">
      <c r="A1007">
        <v>121548</v>
      </c>
      <c r="B1007" t="s">
        <v>2217</v>
      </c>
      <c r="C1007" t="s">
        <v>2765</v>
      </c>
    </row>
    <row r="1008" spans="1:3" x14ac:dyDescent="0.15">
      <c r="A1008">
        <v>121549</v>
      </c>
      <c r="B1008" t="s">
        <v>2217</v>
      </c>
      <c r="C1008" t="s">
        <v>2766</v>
      </c>
    </row>
    <row r="1009" spans="1:3" x14ac:dyDescent="0.15">
      <c r="A1009">
        <v>121550</v>
      </c>
      <c r="B1009" t="s">
        <v>2217</v>
      </c>
      <c r="C1009" t="s">
        <v>2767</v>
      </c>
    </row>
    <row r="1010" spans="1:3" x14ac:dyDescent="0.15">
      <c r="A1010">
        <v>121551</v>
      </c>
      <c r="B1010" t="s">
        <v>2217</v>
      </c>
      <c r="C1010" t="s">
        <v>2768</v>
      </c>
    </row>
    <row r="1011" spans="1:3" x14ac:dyDescent="0.15">
      <c r="A1011">
        <v>121552</v>
      </c>
      <c r="B1011" t="s">
        <v>2217</v>
      </c>
      <c r="C1011" t="s">
        <v>2769</v>
      </c>
    </row>
    <row r="1012" spans="1:3" x14ac:dyDescent="0.15">
      <c r="A1012">
        <v>121553</v>
      </c>
      <c r="B1012" t="s">
        <v>2217</v>
      </c>
      <c r="C1012" t="s">
        <v>2770</v>
      </c>
    </row>
    <row r="1013" spans="1:3" x14ac:dyDescent="0.15">
      <c r="A1013">
        <v>121554</v>
      </c>
      <c r="B1013" t="s">
        <v>2217</v>
      </c>
      <c r="C1013" t="s">
        <v>2771</v>
      </c>
    </row>
    <row r="1014" spans="1:3" x14ac:dyDescent="0.15">
      <c r="A1014">
        <v>121555</v>
      </c>
      <c r="B1014" t="s">
        <v>2217</v>
      </c>
      <c r="C1014" t="s">
        <v>2772</v>
      </c>
    </row>
    <row r="1015" spans="1:3" x14ac:dyDescent="0.15">
      <c r="A1015">
        <v>121556</v>
      </c>
      <c r="B1015" t="s">
        <v>2217</v>
      </c>
      <c r="C1015" t="s">
        <v>2773</v>
      </c>
    </row>
    <row r="1016" spans="1:3" x14ac:dyDescent="0.15">
      <c r="A1016">
        <v>121557</v>
      </c>
      <c r="B1016" t="s">
        <v>2217</v>
      </c>
      <c r="C1016" t="s">
        <v>2774</v>
      </c>
    </row>
    <row r="1017" spans="1:3" x14ac:dyDescent="0.15">
      <c r="A1017">
        <v>121558</v>
      </c>
      <c r="B1017" t="s">
        <v>2217</v>
      </c>
      <c r="C1017" t="s">
        <v>2775</v>
      </c>
    </row>
    <row r="1018" spans="1:3" x14ac:dyDescent="0.15">
      <c r="A1018">
        <v>121559</v>
      </c>
      <c r="B1018" t="s">
        <v>2217</v>
      </c>
      <c r="C1018" t="s">
        <v>2776</v>
      </c>
    </row>
    <row r="1019" spans="1:3" x14ac:dyDescent="0.15">
      <c r="A1019">
        <v>121560</v>
      </c>
      <c r="B1019" t="s">
        <v>2217</v>
      </c>
      <c r="C1019" t="s">
        <v>2777</v>
      </c>
    </row>
    <row r="1020" spans="1:3" x14ac:dyDescent="0.15">
      <c r="A1020">
        <v>121561</v>
      </c>
      <c r="B1020" t="s">
        <v>2217</v>
      </c>
      <c r="C1020" t="s">
        <v>2778</v>
      </c>
    </row>
    <row r="1021" spans="1:3" x14ac:dyDescent="0.15">
      <c r="A1021">
        <v>121562</v>
      </c>
      <c r="B1021" t="s">
        <v>2217</v>
      </c>
      <c r="C1021" t="s">
        <v>2779</v>
      </c>
    </row>
    <row r="1022" spans="1:3" x14ac:dyDescent="0.15">
      <c r="A1022">
        <v>121563</v>
      </c>
      <c r="B1022" t="s">
        <v>2217</v>
      </c>
      <c r="C1022" t="s">
        <v>2780</v>
      </c>
    </row>
    <row r="1023" spans="1:3" x14ac:dyDescent="0.15">
      <c r="A1023">
        <v>121564</v>
      </c>
      <c r="B1023" t="s">
        <v>2217</v>
      </c>
      <c r="C1023" t="s">
        <v>2781</v>
      </c>
    </row>
    <row r="1024" spans="1:3" x14ac:dyDescent="0.15">
      <c r="A1024">
        <v>121565</v>
      </c>
      <c r="B1024" t="s">
        <v>2217</v>
      </c>
      <c r="C1024" t="s">
        <v>2782</v>
      </c>
    </row>
    <row r="1025" spans="1:3" x14ac:dyDescent="0.15">
      <c r="A1025">
        <v>121566</v>
      </c>
      <c r="B1025" t="s">
        <v>2217</v>
      </c>
      <c r="C1025" t="s">
        <v>2783</v>
      </c>
    </row>
    <row r="1026" spans="1:3" x14ac:dyDescent="0.15">
      <c r="A1026">
        <v>121567</v>
      </c>
      <c r="B1026" t="s">
        <v>2217</v>
      </c>
      <c r="C1026" t="s">
        <v>2784</v>
      </c>
    </row>
    <row r="1027" spans="1:3" x14ac:dyDescent="0.15">
      <c r="A1027">
        <v>121568</v>
      </c>
      <c r="B1027" t="s">
        <v>2217</v>
      </c>
      <c r="C1027" t="s">
        <v>2785</v>
      </c>
    </row>
    <row r="1028" spans="1:3" x14ac:dyDescent="0.15">
      <c r="A1028">
        <v>121569</v>
      </c>
      <c r="B1028" t="s">
        <v>2217</v>
      </c>
      <c r="C1028" t="s">
        <v>2786</v>
      </c>
    </row>
    <row r="1029" spans="1:3" x14ac:dyDescent="0.15">
      <c r="A1029">
        <v>121570</v>
      </c>
      <c r="B1029" t="s">
        <v>2217</v>
      </c>
      <c r="C1029" t="s">
        <v>2787</v>
      </c>
    </row>
    <row r="1030" spans="1:3" x14ac:dyDescent="0.15">
      <c r="A1030">
        <v>121571</v>
      </c>
      <c r="B1030" t="s">
        <v>2217</v>
      </c>
      <c r="C1030" t="s">
        <v>2788</v>
      </c>
    </row>
    <row r="1031" spans="1:3" x14ac:dyDescent="0.15">
      <c r="A1031">
        <v>121572</v>
      </c>
      <c r="B1031" t="s">
        <v>2217</v>
      </c>
      <c r="C1031" t="s">
        <v>2789</v>
      </c>
    </row>
    <row r="1032" spans="1:3" x14ac:dyDescent="0.15">
      <c r="A1032">
        <v>121573</v>
      </c>
      <c r="B1032" t="s">
        <v>2217</v>
      </c>
      <c r="C1032" t="s">
        <v>2790</v>
      </c>
    </row>
    <row r="1033" spans="1:3" x14ac:dyDescent="0.15">
      <c r="A1033">
        <v>121574</v>
      </c>
      <c r="B1033" t="s">
        <v>2217</v>
      </c>
      <c r="C1033" t="s">
        <v>2791</v>
      </c>
    </row>
    <row r="1034" spans="1:3" x14ac:dyDescent="0.15">
      <c r="A1034">
        <v>121575</v>
      </c>
      <c r="B1034" t="s">
        <v>2217</v>
      </c>
      <c r="C1034" t="s">
        <v>2792</v>
      </c>
    </row>
    <row r="1035" spans="1:3" x14ac:dyDescent="0.15">
      <c r="A1035">
        <v>121576</v>
      </c>
      <c r="B1035" t="s">
        <v>2217</v>
      </c>
      <c r="C1035" t="s">
        <v>2793</v>
      </c>
    </row>
    <row r="1036" spans="1:3" x14ac:dyDescent="0.15">
      <c r="A1036">
        <v>121577</v>
      </c>
      <c r="B1036" t="s">
        <v>2217</v>
      </c>
      <c r="C1036" t="s">
        <v>2794</v>
      </c>
    </row>
    <row r="1037" spans="1:3" x14ac:dyDescent="0.15">
      <c r="A1037">
        <v>121578</v>
      </c>
      <c r="B1037" t="s">
        <v>2217</v>
      </c>
      <c r="C1037" t="s">
        <v>2795</v>
      </c>
    </row>
    <row r="1038" spans="1:3" x14ac:dyDescent="0.15">
      <c r="A1038">
        <v>121579</v>
      </c>
      <c r="B1038" t="s">
        <v>2217</v>
      </c>
      <c r="C1038" t="s">
        <v>2796</v>
      </c>
    </row>
    <row r="1039" spans="1:3" x14ac:dyDescent="0.15">
      <c r="A1039">
        <v>121580</v>
      </c>
      <c r="B1039" t="s">
        <v>2217</v>
      </c>
      <c r="C1039" t="s">
        <v>2797</v>
      </c>
    </row>
    <row r="1040" spans="1:3" x14ac:dyDescent="0.15">
      <c r="A1040">
        <v>121581</v>
      </c>
      <c r="B1040" t="s">
        <v>2217</v>
      </c>
      <c r="C1040" t="s">
        <v>2798</v>
      </c>
    </row>
    <row r="1041" spans="1:3" x14ac:dyDescent="0.15">
      <c r="A1041">
        <v>121582</v>
      </c>
      <c r="B1041" t="s">
        <v>2217</v>
      </c>
      <c r="C1041" t="s">
        <v>2799</v>
      </c>
    </row>
    <row r="1042" spans="1:3" x14ac:dyDescent="0.15">
      <c r="A1042">
        <v>121583</v>
      </c>
      <c r="B1042" t="s">
        <v>2217</v>
      </c>
      <c r="C1042" t="s">
        <v>2800</v>
      </c>
    </row>
    <row r="1043" spans="1:3" x14ac:dyDescent="0.15">
      <c r="A1043">
        <v>121584</v>
      </c>
      <c r="B1043" t="s">
        <v>2217</v>
      </c>
      <c r="C1043" t="s">
        <v>2801</v>
      </c>
    </row>
    <row r="1044" spans="1:3" x14ac:dyDescent="0.15">
      <c r="A1044">
        <v>121585</v>
      </c>
      <c r="B1044" t="s">
        <v>2217</v>
      </c>
      <c r="C1044" t="s">
        <v>2802</v>
      </c>
    </row>
    <row r="1045" spans="1:3" x14ac:dyDescent="0.15">
      <c r="A1045">
        <v>121586</v>
      </c>
      <c r="B1045" t="s">
        <v>2217</v>
      </c>
      <c r="C1045" t="s">
        <v>2803</v>
      </c>
    </row>
    <row r="1046" spans="1:3" x14ac:dyDescent="0.15">
      <c r="A1046">
        <v>121587</v>
      </c>
      <c r="B1046" t="s">
        <v>2217</v>
      </c>
      <c r="C1046" t="s">
        <v>2804</v>
      </c>
    </row>
    <row r="1047" spans="1:3" x14ac:dyDescent="0.15">
      <c r="A1047">
        <v>121588</v>
      </c>
      <c r="B1047" t="s">
        <v>2217</v>
      </c>
      <c r="C1047" t="s">
        <v>2805</v>
      </c>
    </row>
    <row r="1048" spans="1:3" x14ac:dyDescent="0.15">
      <c r="A1048">
        <v>121589</v>
      </c>
      <c r="B1048" t="s">
        <v>2217</v>
      </c>
      <c r="C1048" t="s">
        <v>2806</v>
      </c>
    </row>
    <row r="1049" spans="1:3" x14ac:dyDescent="0.15">
      <c r="A1049">
        <v>121590</v>
      </c>
      <c r="B1049" t="s">
        <v>2217</v>
      </c>
      <c r="C1049" t="s">
        <v>2807</v>
      </c>
    </row>
    <row r="1050" spans="1:3" x14ac:dyDescent="0.15">
      <c r="A1050">
        <v>121591</v>
      </c>
      <c r="B1050" t="s">
        <v>2217</v>
      </c>
      <c r="C1050" t="s">
        <v>2808</v>
      </c>
    </row>
    <row r="1051" spans="1:3" x14ac:dyDescent="0.15">
      <c r="A1051">
        <v>121592</v>
      </c>
      <c r="B1051" t="s">
        <v>2217</v>
      </c>
      <c r="C1051" t="s">
        <v>2809</v>
      </c>
    </row>
    <row r="1052" spans="1:3" x14ac:dyDescent="0.15">
      <c r="A1052">
        <v>121593</v>
      </c>
      <c r="B1052" t="s">
        <v>2217</v>
      </c>
      <c r="C1052" t="s">
        <v>2810</v>
      </c>
    </row>
    <row r="1053" spans="1:3" x14ac:dyDescent="0.15">
      <c r="A1053">
        <v>121594</v>
      </c>
      <c r="B1053" t="s">
        <v>2217</v>
      </c>
      <c r="C1053" t="s">
        <v>2811</v>
      </c>
    </row>
    <row r="1054" spans="1:3" x14ac:dyDescent="0.15">
      <c r="A1054">
        <v>121595</v>
      </c>
      <c r="B1054" t="s">
        <v>2217</v>
      </c>
      <c r="C1054" t="s">
        <v>2812</v>
      </c>
    </row>
    <row r="1055" spans="1:3" x14ac:dyDescent="0.15">
      <c r="A1055">
        <v>121596</v>
      </c>
      <c r="B1055" t="s">
        <v>2217</v>
      </c>
      <c r="C1055" t="s">
        <v>2813</v>
      </c>
    </row>
    <row r="1056" spans="1:3" x14ac:dyDescent="0.15">
      <c r="A1056">
        <v>121597</v>
      </c>
      <c r="B1056" t="s">
        <v>2217</v>
      </c>
      <c r="C1056" t="s">
        <v>2814</v>
      </c>
    </row>
    <row r="1057" spans="1:3" x14ac:dyDescent="0.15">
      <c r="A1057">
        <v>121598</v>
      </c>
      <c r="B1057" t="s">
        <v>2217</v>
      </c>
      <c r="C1057" t="s">
        <v>2815</v>
      </c>
    </row>
    <row r="1058" spans="1:3" x14ac:dyDescent="0.15">
      <c r="A1058">
        <v>121599</v>
      </c>
      <c r="B1058" t="s">
        <v>2217</v>
      </c>
      <c r="C1058" t="s">
        <v>2816</v>
      </c>
    </row>
    <row r="1059" spans="1:3" x14ac:dyDescent="0.15">
      <c r="A1059">
        <v>121600</v>
      </c>
      <c r="B1059" t="s">
        <v>2217</v>
      </c>
      <c r="C1059" t="s">
        <v>2817</v>
      </c>
    </row>
    <row r="1060" spans="1:3" x14ac:dyDescent="0.15">
      <c r="A1060">
        <v>121601</v>
      </c>
      <c r="B1060" t="s">
        <v>2217</v>
      </c>
      <c r="C1060" t="s">
        <v>2818</v>
      </c>
    </row>
    <row r="1061" spans="1:3" x14ac:dyDescent="0.15">
      <c r="A1061">
        <v>121602</v>
      </c>
      <c r="B1061" t="s">
        <v>2217</v>
      </c>
      <c r="C1061" t="s">
        <v>2819</v>
      </c>
    </row>
    <row r="1062" spans="1:3" x14ac:dyDescent="0.15">
      <c r="A1062">
        <v>121603</v>
      </c>
      <c r="B1062" t="s">
        <v>2217</v>
      </c>
      <c r="C1062" t="s">
        <v>2820</v>
      </c>
    </row>
    <row r="1063" spans="1:3" x14ac:dyDescent="0.15">
      <c r="A1063">
        <v>121604</v>
      </c>
      <c r="B1063" t="s">
        <v>2217</v>
      </c>
      <c r="C1063" t="s">
        <v>2821</v>
      </c>
    </row>
    <row r="1064" spans="1:3" x14ac:dyDescent="0.15">
      <c r="A1064">
        <v>121605</v>
      </c>
      <c r="B1064" t="s">
        <v>2217</v>
      </c>
      <c r="C1064" t="s">
        <v>2822</v>
      </c>
    </row>
    <row r="1065" spans="1:3" x14ac:dyDescent="0.15">
      <c r="A1065">
        <v>121606</v>
      </c>
      <c r="B1065" t="s">
        <v>2217</v>
      </c>
      <c r="C1065" t="s">
        <v>2823</v>
      </c>
    </row>
    <row r="1066" spans="1:3" x14ac:dyDescent="0.15">
      <c r="A1066">
        <v>121607</v>
      </c>
      <c r="B1066" t="s">
        <v>2217</v>
      </c>
      <c r="C1066" t="s">
        <v>2824</v>
      </c>
    </row>
    <row r="1067" spans="1:3" x14ac:dyDescent="0.15">
      <c r="A1067">
        <v>121608</v>
      </c>
      <c r="B1067" t="s">
        <v>2217</v>
      </c>
      <c r="C1067" t="s">
        <v>2825</v>
      </c>
    </row>
    <row r="1068" spans="1:3" x14ac:dyDescent="0.15">
      <c r="A1068">
        <v>121609</v>
      </c>
      <c r="B1068" t="s">
        <v>2217</v>
      </c>
      <c r="C1068" t="s">
        <v>2826</v>
      </c>
    </row>
    <row r="1069" spans="1:3" x14ac:dyDescent="0.15">
      <c r="A1069">
        <v>121610</v>
      </c>
      <c r="B1069" t="s">
        <v>2217</v>
      </c>
      <c r="C1069" t="s">
        <v>2827</v>
      </c>
    </row>
    <row r="1070" spans="1:3" x14ac:dyDescent="0.15">
      <c r="A1070">
        <v>121611</v>
      </c>
      <c r="B1070" t="s">
        <v>2217</v>
      </c>
      <c r="C1070" t="s">
        <v>2828</v>
      </c>
    </row>
    <row r="1071" spans="1:3" x14ac:dyDescent="0.15">
      <c r="A1071">
        <v>121612</v>
      </c>
      <c r="B1071" t="s">
        <v>2217</v>
      </c>
      <c r="C1071" t="s">
        <v>2829</v>
      </c>
    </row>
    <row r="1072" spans="1:3" x14ac:dyDescent="0.15">
      <c r="A1072">
        <v>121613</v>
      </c>
      <c r="B1072" t="s">
        <v>2217</v>
      </c>
      <c r="C1072" t="s">
        <v>2830</v>
      </c>
    </row>
    <row r="1073" spans="1:3" x14ac:dyDescent="0.15">
      <c r="A1073">
        <v>121614</v>
      </c>
      <c r="B1073" t="s">
        <v>2217</v>
      </c>
      <c r="C1073" t="s">
        <v>2831</v>
      </c>
    </row>
    <row r="1074" spans="1:3" x14ac:dyDescent="0.15">
      <c r="A1074">
        <v>121615</v>
      </c>
      <c r="B1074" t="s">
        <v>2217</v>
      </c>
      <c r="C1074" t="s">
        <v>2832</v>
      </c>
    </row>
    <row r="1075" spans="1:3" x14ac:dyDescent="0.15">
      <c r="A1075">
        <v>121616</v>
      </c>
      <c r="B1075" t="s">
        <v>2217</v>
      </c>
      <c r="C1075" t="s">
        <v>2833</v>
      </c>
    </row>
    <row r="1076" spans="1:3" x14ac:dyDescent="0.15">
      <c r="A1076">
        <v>121617</v>
      </c>
      <c r="B1076" t="s">
        <v>2217</v>
      </c>
      <c r="C1076" t="s">
        <v>2834</v>
      </c>
    </row>
    <row r="1077" spans="1:3" x14ac:dyDescent="0.15">
      <c r="A1077">
        <v>121618</v>
      </c>
      <c r="B1077" t="s">
        <v>2217</v>
      </c>
      <c r="C1077" t="s">
        <v>2835</v>
      </c>
    </row>
    <row r="1078" spans="1:3" x14ac:dyDescent="0.15">
      <c r="A1078">
        <v>121619</v>
      </c>
      <c r="B1078" t="s">
        <v>2217</v>
      </c>
      <c r="C1078" t="s">
        <v>2836</v>
      </c>
    </row>
    <row r="1079" spans="1:3" x14ac:dyDescent="0.15">
      <c r="A1079">
        <v>121620</v>
      </c>
      <c r="B1079" t="s">
        <v>2217</v>
      </c>
      <c r="C1079" t="s">
        <v>2837</v>
      </c>
    </row>
    <row r="1080" spans="1:3" x14ac:dyDescent="0.15">
      <c r="A1080">
        <v>121621</v>
      </c>
      <c r="B1080" t="s">
        <v>2217</v>
      </c>
      <c r="C1080" t="s">
        <v>2838</v>
      </c>
    </row>
    <row r="1081" spans="1:3" x14ac:dyDescent="0.15">
      <c r="A1081">
        <v>121622</v>
      </c>
      <c r="B1081" t="s">
        <v>2217</v>
      </c>
      <c r="C1081" t="s">
        <v>2839</v>
      </c>
    </row>
    <row r="1082" spans="1:3" x14ac:dyDescent="0.15">
      <c r="A1082">
        <v>121623</v>
      </c>
      <c r="B1082" t="s">
        <v>2217</v>
      </c>
      <c r="C1082" t="s">
        <v>2840</v>
      </c>
    </row>
    <row r="1083" spans="1:3" x14ac:dyDescent="0.15">
      <c r="A1083">
        <v>121624</v>
      </c>
      <c r="B1083" t="s">
        <v>2217</v>
      </c>
      <c r="C1083" t="s">
        <v>2841</v>
      </c>
    </row>
    <row r="1084" spans="1:3" x14ac:dyDescent="0.15">
      <c r="A1084">
        <v>121625</v>
      </c>
      <c r="B1084" t="s">
        <v>2217</v>
      </c>
      <c r="C1084" t="s">
        <v>2842</v>
      </c>
    </row>
    <row r="1085" spans="1:3" x14ac:dyDescent="0.15">
      <c r="A1085">
        <v>121626</v>
      </c>
      <c r="B1085" t="s">
        <v>2217</v>
      </c>
      <c r="C1085" t="s">
        <v>2843</v>
      </c>
    </row>
    <row r="1086" spans="1:3" x14ac:dyDescent="0.15">
      <c r="A1086">
        <v>121627</v>
      </c>
      <c r="B1086" t="s">
        <v>2217</v>
      </c>
      <c r="C1086" t="s">
        <v>2844</v>
      </c>
    </row>
    <row r="1087" spans="1:3" x14ac:dyDescent="0.15">
      <c r="A1087">
        <v>121628</v>
      </c>
      <c r="B1087" t="s">
        <v>2217</v>
      </c>
      <c r="C1087" t="s">
        <v>2845</v>
      </c>
    </row>
    <row r="1088" spans="1:3" x14ac:dyDescent="0.15">
      <c r="A1088">
        <v>121629</v>
      </c>
      <c r="B1088" t="s">
        <v>2217</v>
      </c>
      <c r="C1088" t="s">
        <v>2846</v>
      </c>
    </row>
    <row r="1089" spans="1:3" x14ac:dyDescent="0.15">
      <c r="A1089">
        <v>121630</v>
      </c>
      <c r="B1089" t="s">
        <v>2217</v>
      </c>
      <c r="C1089" t="s">
        <v>2847</v>
      </c>
    </row>
    <row r="1090" spans="1:3" x14ac:dyDescent="0.15">
      <c r="A1090">
        <v>121631</v>
      </c>
      <c r="B1090" t="s">
        <v>2217</v>
      </c>
      <c r="C1090" t="s">
        <v>2848</v>
      </c>
    </row>
    <row r="1091" spans="1:3" x14ac:dyDescent="0.15">
      <c r="A1091">
        <v>121632</v>
      </c>
      <c r="B1091" t="s">
        <v>2217</v>
      </c>
      <c r="C1091" t="s">
        <v>2849</v>
      </c>
    </row>
    <row r="1092" spans="1:3" x14ac:dyDescent="0.15">
      <c r="A1092">
        <v>121633</v>
      </c>
      <c r="B1092" t="s">
        <v>2217</v>
      </c>
      <c r="C1092" t="s">
        <v>2850</v>
      </c>
    </row>
    <row r="1093" spans="1:3" x14ac:dyDescent="0.15">
      <c r="A1093">
        <v>121634</v>
      </c>
      <c r="B1093" t="s">
        <v>2217</v>
      </c>
      <c r="C1093" t="s">
        <v>2851</v>
      </c>
    </row>
    <row r="1094" spans="1:3" x14ac:dyDescent="0.15">
      <c r="A1094">
        <v>121635</v>
      </c>
      <c r="B1094" t="s">
        <v>2217</v>
      </c>
      <c r="C1094" t="s">
        <v>2852</v>
      </c>
    </row>
    <row r="1095" spans="1:3" x14ac:dyDescent="0.15">
      <c r="A1095">
        <v>121636</v>
      </c>
      <c r="B1095" t="s">
        <v>2217</v>
      </c>
      <c r="C1095" t="s">
        <v>2853</v>
      </c>
    </row>
    <row r="1096" spans="1:3" x14ac:dyDescent="0.15">
      <c r="A1096">
        <v>121637</v>
      </c>
      <c r="B1096" t="s">
        <v>2217</v>
      </c>
      <c r="C1096" t="s">
        <v>2854</v>
      </c>
    </row>
    <row r="1097" spans="1:3" x14ac:dyDescent="0.15">
      <c r="A1097">
        <v>121638</v>
      </c>
      <c r="B1097" t="s">
        <v>2217</v>
      </c>
      <c r="C1097" t="s">
        <v>2855</v>
      </c>
    </row>
    <row r="1098" spans="1:3" x14ac:dyDescent="0.15">
      <c r="A1098">
        <v>121639</v>
      </c>
      <c r="B1098" t="s">
        <v>2217</v>
      </c>
      <c r="C1098" t="s">
        <v>2856</v>
      </c>
    </row>
    <row r="1099" spans="1:3" x14ac:dyDescent="0.15">
      <c r="A1099">
        <v>121640</v>
      </c>
      <c r="B1099" t="s">
        <v>2217</v>
      </c>
      <c r="C1099" t="s">
        <v>2857</v>
      </c>
    </row>
    <row r="1100" spans="1:3" x14ac:dyDescent="0.15">
      <c r="A1100">
        <v>121641</v>
      </c>
      <c r="B1100" t="s">
        <v>2217</v>
      </c>
      <c r="C1100" t="s">
        <v>2858</v>
      </c>
    </row>
    <row r="1101" spans="1:3" x14ac:dyDescent="0.15">
      <c r="A1101">
        <v>121642</v>
      </c>
      <c r="B1101" t="s">
        <v>2217</v>
      </c>
      <c r="C1101" t="s">
        <v>2859</v>
      </c>
    </row>
    <row r="1102" spans="1:3" x14ac:dyDescent="0.15">
      <c r="A1102">
        <v>121643</v>
      </c>
      <c r="B1102" t="s">
        <v>2217</v>
      </c>
      <c r="C1102" t="s">
        <v>2860</v>
      </c>
    </row>
    <row r="1103" spans="1:3" x14ac:dyDescent="0.15">
      <c r="A1103">
        <v>121644</v>
      </c>
      <c r="B1103" t="s">
        <v>2217</v>
      </c>
      <c r="C1103" t="s">
        <v>2861</v>
      </c>
    </row>
    <row r="1104" spans="1:3" x14ac:dyDescent="0.15">
      <c r="A1104">
        <v>121645</v>
      </c>
      <c r="B1104" t="s">
        <v>2217</v>
      </c>
      <c r="C1104" t="s">
        <v>2862</v>
      </c>
    </row>
    <row r="1105" spans="1:3" x14ac:dyDescent="0.15">
      <c r="A1105">
        <v>121646</v>
      </c>
      <c r="B1105" t="s">
        <v>2217</v>
      </c>
      <c r="C1105" t="s">
        <v>2863</v>
      </c>
    </row>
    <row r="1106" spans="1:3" x14ac:dyDescent="0.15">
      <c r="A1106">
        <v>121647</v>
      </c>
      <c r="B1106" t="s">
        <v>2217</v>
      </c>
      <c r="C1106" t="s">
        <v>2864</v>
      </c>
    </row>
    <row r="1107" spans="1:3" x14ac:dyDescent="0.15">
      <c r="A1107">
        <v>121648</v>
      </c>
      <c r="B1107" t="s">
        <v>2217</v>
      </c>
      <c r="C1107" t="s">
        <v>2865</v>
      </c>
    </row>
    <row r="1108" spans="1:3" x14ac:dyDescent="0.15">
      <c r="A1108">
        <v>121649</v>
      </c>
      <c r="B1108" t="s">
        <v>2217</v>
      </c>
      <c r="C1108" t="s">
        <v>2866</v>
      </c>
    </row>
    <row r="1109" spans="1:3" x14ac:dyDescent="0.15">
      <c r="A1109">
        <v>122001</v>
      </c>
      <c r="B1109" t="s">
        <v>2217</v>
      </c>
      <c r="C1109" t="s">
        <v>2867</v>
      </c>
    </row>
    <row r="1110" spans="1:3" x14ac:dyDescent="0.15">
      <c r="A1110">
        <v>122002</v>
      </c>
      <c r="B1110" t="s">
        <v>2217</v>
      </c>
      <c r="C1110" t="s">
        <v>2868</v>
      </c>
    </row>
    <row r="1111" spans="1:3" x14ac:dyDescent="0.15">
      <c r="A1111">
        <v>122003</v>
      </c>
      <c r="B1111" t="s">
        <v>2217</v>
      </c>
      <c r="C1111" t="s">
        <v>2869</v>
      </c>
    </row>
    <row r="1112" spans="1:3" x14ac:dyDescent="0.15">
      <c r="A1112">
        <v>122004</v>
      </c>
      <c r="B1112" t="s">
        <v>2217</v>
      </c>
      <c r="C1112" t="s">
        <v>2870</v>
      </c>
    </row>
    <row r="1113" spans="1:3" x14ac:dyDescent="0.15">
      <c r="A1113">
        <v>122005</v>
      </c>
      <c r="B1113" t="s">
        <v>2217</v>
      </c>
      <c r="C1113" t="s">
        <v>2871</v>
      </c>
    </row>
    <row r="1114" spans="1:3" x14ac:dyDescent="0.15">
      <c r="A1114">
        <v>122006</v>
      </c>
      <c r="B1114" t="s">
        <v>2217</v>
      </c>
      <c r="C1114" t="s">
        <v>2872</v>
      </c>
    </row>
    <row r="1115" spans="1:3" x14ac:dyDescent="0.15">
      <c r="A1115">
        <v>122007</v>
      </c>
      <c r="B1115" t="s">
        <v>2217</v>
      </c>
      <c r="C1115" t="s">
        <v>2873</v>
      </c>
    </row>
    <row r="1116" spans="1:3" x14ac:dyDescent="0.15">
      <c r="A1116">
        <v>122008</v>
      </c>
      <c r="B1116" t="s">
        <v>2217</v>
      </c>
      <c r="C1116" t="s">
        <v>2874</v>
      </c>
    </row>
    <row r="1117" spans="1:3" x14ac:dyDescent="0.15">
      <c r="A1117">
        <v>122009</v>
      </c>
      <c r="B1117" t="s">
        <v>2217</v>
      </c>
      <c r="C1117" t="s">
        <v>2875</v>
      </c>
    </row>
    <row r="1118" spans="1:3" x14ac:dyDescent="0.15">
      <c r="A1118">
        <v>122010</v>
      </c>
      <c r="B1118" t="s">
        <v>2217</v>
      </c>
      <c r="C1118" t="s">
        <v>2876</v>
      </c>
    </row>
    <row r="1119" spans="1:3" x14ac:dyDescent="0.15">
      <c r="A1119">
        <v>122011</v>
      </c>
      <c r="B1119" t="s">
        <v>2217</v>
      </c>
      <c r="C1119" t="s">
        <v>2877</v>
      </c>
    </row>
    <row r="1120" spans="1:3" x14ac:dyDescent="0.15">
      <c r="A1120">
        <v>122012</v>
      </c>
      <c r="B1120" t="s">
        <v>2217</v>
      </c>
      <c r="C1120" t="s">
        <v>2878</v>
      </c>
    </row>
    <row r="1121" spans="1:3" x14ac:dyDescent="0.15">
      <c r="A1121">
        <v>122013</v>
      </c>
      <c r="B1121" t="s">
        <v>2217</v>
      </c>
      <c r="C1121" t="s">
        <v>2879</v>
      </c>
    </row>
    <row r="1122" spans="1:3" x14ac:dyDescent="0.15">
      <c r="A1122">
        <v>122014</v>
      </c>
      <c r="B1122" t="s">
        <v>2217</v>
      </c>
      <c r="C1122" t="s">
        <v>2880</v>
      </c>
    </row>
    <row r="1123" spans="1:3" x14ac:dyDescent="0.15">
      <c r="A1123">
        <v>122015</v>
      </c>
      <c r="B1123" t="s">
        <v>2217</v>
      </c>
      <c r="C1123" t="s">
        <v>2881</v>
      </c>
    </row>
    <row r="1124" spans="1:3" x14ac:dyDescent="0.15">
      <c r="A1124">
        <v>122016</v>
      </c>
      <c r="B1124" t="s">
        <v>2217</v>
      </c>
      <c r="C1124" t="s">
        <v>2882</v>
      </c>
    </row>
    <row r="1125" spans="1:3" x14ac:dyDescent="0.15">
      <c r="A1125">
        <v>122017</v>
      </c>
      <c r="B1125" t="s">
        <v>2217</v>
      </c>
      <c r="C1125" t="s">
        <v>2883</v>
      </c>
    </row>
    <row r="1126" spans="1:3" x14ac:dyDescent="0.15">
      <c r="A1126">
        <v>122018</v>
      </c>
      <c r="B1126" t="s">
        <v>2217</v>
      </c>
      <c r="C1126" t="s">
        <v>2884</v>
      </c>
    </row>
    <row r="1127" spans="1:3" x14ac:dyDescent="0.15">
      <c r="A1127">
        <v>122019</v>
      </c>
      <c r="B1127" t="s">
        <v>2217</v>
      </c>
      <c r="C1127" t="s">
        <v>2885</v>
      </c>
    </row>
    <row r="1128" spans="1:3" x14ac:dyDescent="0.15">
      <c r="A1128">
        <v>122020</v>
      </c>
      <c r="B1128" t="s">
        <v>2217</v>
      </c>
      <c r="C1128" t="s">
        <v>2886</v>
      </c>
    </row>
    <row r="1129" spans="1:3" x14ac:dyDescent="0.15">
      <c r="A1129">
        <v>122021</v>
      </c>
      <c r="B1129" t="s">
        <v>2217</v>
      </c>
      <c r="C1129" t="s">
        <v>2887</v>
      </c>
    </row>
    <row r="1130" spans="1:3" x14ac:dyDescent="0.15">
      <c r="A1130">
        <v>122022</v>
      </c>
      <c r="B1130" t="s">
        <v>2217</v>
      </c>
      <c r="C1130" t="s">
        <v>2888</v>
      </c>
    </row>
    <row r="1131" spans="1:3" x14ac:dyDescent="0.15">
      <c r="A1131">
        <v>122023</v>
      </c>
      <c r="B1131" t="s">
        <v>2217</v>
      </c>
      <c r="C1131" t="s">
        <v>2889</v>
      </c>
    </row>
    <row r="1132" spans="1:3" x14ac:dyDescent="0.15">
      <c r="A1132">
        <v>122024</v>
      </c>
      <c r="B1132" t="s">
        <v>2217</v>
      </c>
      <c r="C1132" t="s">
        <v>2890</v>
      </c>
    </row>
    <row r="1133" spans="1:3" x14ac:dyDescent="0.15">
      <c r="A1133">
        <v>122025</v>
      </c>
      <c r="B1133" t="s">
        <v>2217</v>
      </c>
      <c r="C1133" t="s">
        <v>2891</v>
      </c>
    </row>
    <row r="1134" spans="1:3" x14ac:dyDescent="0.15">
      <c r="A1134">
        <v>122026</v>
      </c>
      <c r="B1134" t="s">
        <v>2217</v>
      </c>
      <c r="C1134" t="s">
        <v>2892</v>
      </c>
    </row>
    <row r="1135" spans="1:3" x14ac:dyDescent="0.15">
      <c r="A1135">
        <v>122027</v>
      </c>
      <c r="B1135" t="s">
        <v>2217</v>
      </c>
      <c r="C1135" t="s">
        <v>2893</v>
      </c>
    </row>
    <row r="1136" spans="1:3" x14ac:dyDescent="0.15">
      <c r="A1136">
        <v>122028</v>
      </c>
      <c r="B1136" t="s">
        <v>2217</v>
      </c>
      <c r="C1136" t="s">
        <v>2894</v>
      </c>
    </row>
    <row r="1137" spans="1:3" x14ac:dyDescent="0.15">
      <c r="A1137">
        <v>122029</v>
      </c>
      <c r="B1137" t="s">
        <v>2217</v>
      </c>
      <c r="C1137" t="s">
        <v>2895</v>
      </c>
    </row>
    <row r="1138" spans="1:3" x14ac:dyDescent="0.15">
      <c r="A1138">
        <v>122030</v>
      </c>
      <c r="B1138" t="s">
        <v>2217</v>
      </c>
      <c r="C1138" t="s">
        <v>2896</v>
      </c>
    </row>
    <row r="1139" spans="1:3" x14ac:dyDescent="0.15">
      <c r="A1139">
        <v>122031</v>
      </c>
      <c r="B1139" t="s">
        <v>2217</v>
      </c>
      <c r="C1139" t="s">
        <v>2897</v>
      </c>
    </row>
    <row r="1140" spans="1:3" x14ac:dyDescent="0.15">
      <c r="A1140">
        <v>122032</v>
      </c>
      <c r="B1140" t="s">
        <v>2217</v>
      </c>
      <c r="C1140" t="s">
        <v>2898</v>
      </c>
    </row>
    <row r="1141" spans="1:3" x14ac:dyDescent="0.15">
      <c r="A1141">
        <v>122033</v>
      </c>
      <c r="B1141" t="s">
        <v>2217</v>
      </c>
      <c r="C1141" t="s">
        <v>2899</v>
      </c>
    </row>
    <row r="1142" spans="1:3" x14ac:dyDescent="0.15">
      <c r="A1142">
        <v>122034</v>
      </c>
      <c r="B1142" t="s">
        <v>2217</v>
      </c>
      <c r="C1142" t="s">
        <v>2900</v>
      </c>
    </row>
    <row r="1143" spans="1:3" x14ac:dyDescent="0.15">
      <c r="A1143">
        <v>122035</v>
      </c>
      <c r="B1143" t="s">
        <v>2217</v>
      </c>
      <c r="C1143" t="s">
        <v>2901</v>
      </c>
    </row>
    <row r="1144" spans="1:3" x14ac:dyDescent="0.15">
      <c r="A1144">
        <v>122036</v>
      </c>
      <c r="B1144" t="s">
        <v>2217</v>
      </c>
      <c r="C1144" t="s">
        <v>2902</v>
      </c>
    </row>
    <row r="1145" spans="1:3" x14ac:dyDescent="0.15">
      <c r="A1145">
        <v>122037</v>
      </c>
      <c r="B1145" t="s">
        <v>2217</v>
      </c>
      <c r="C1145" t="s">
        <v>2903</v>
      </c>
    </row>
    <row r="1146" spans="1:3" x14ac:dyDescent="0.15">
      <c r="A1146">
        <v>122038</v>
      </c>
      <c r="B1146" t="s">
        <v>2217</v>
      </c>
      <c r="C1146" t="s">
        <v>2904</v>
      </c>
    </row>
    <row r="1147" spans="1:3" x14ac:dyDescent="0.15">
      <c r="A1147">
        <v>122039</v>
      </c>
      <c r="B1147" t="s">
        <v>2217</v>
      </c>
      <c r="C1147" t="s">
        <v>2905</v>
      </c>
    </row>
    <row r="1148" spans="1:3" x14ac:dyDescent="0.15">
      <c r="A1148">
        <v>122040</v>
      </c>
      <c r="B1148" t="s">
        <v>2217</v>
      </c>
      <c r="C1148" t="s">
        <v>2906</v>
      </c>
    </row>
    <row r="1149" spans="1:3" x14ac:dyDescent="0.15">
      <c r="A1149">
        <v>122041</v>
      </c>
      <c r="B1149" t="s">
        <v>2217</v>
      </c>
      <c r="C1149" t="s">
        <v>2907</v>
      </c>
    </row>
    <row r="1150" spans="1:3" x14ac:dyDescent="0.15">
      <c r="A1150">
        <v>122042</v>
      </c>
      <c r="B1150" t="s">
        <v>2217</v>
      </c>
      <c r="C1150" t="s">
        <v>2908</v>
      </c>
    </row>
    <row r="1151" spans="1:3" x14ac:dyDescent="0.15">
      <c r="A1151">
        <v>122043</v>
      </c>
      <c r="B1151" t="s">
        <v>2217</v>
      </c>
      <c r="C1151" t="s">
        <v>2909</v>
      </c>
    </row>
    <row r="1152" spans="1:3" x14ac:dyDescent="0.15">
      <c r="A1152">
        <v>122044</v>
      </c>
      <c r="B1152" t="s">
        <v>2217</v>
      </c>
      <c r="C1152" t="s">
        <v>2910</v>
      </c>
    </row>
    <row r="1153" spans="1:3" x14ac:dyDescent="0.15">
      <c r="A1153">
        <v>122045</v>
      </c>
      <c r="B1153" t="s">
        <v>2217</v>
      </c>
      <c r="C1153" t="s">
        <v>2911</v>
      </c>
    </row>
    <row r="1154" spans="1:3" x14ac:dyDescent="0.15">
      <c r="A1154">
        <v>122046</v>
      </c>
      <c r="B1154" t="s">
        <v>2217</v>
      </c>
      <c r="C1154" t="s">
        <v>2912</v>
      </c>
    </row>
    <row r="1155" spans="1:3" x14ac:dyDescent="0.15">
      <c r="A1155">
        <v>122047</v>
      </c>
      <c r="B1155" t="s">
        <v>2217</v>
      </c>
      <c r="C1155" t="s">
        <v>2913</v>
      </c>
    </row>
    <row r="1156" spans="1:3" x14ac:dyDescent="0.15">
      <c r="A1156">
        <v>122048</v>
      </c>
      <c r="B1156" t="s">
        <v>2217</v>
      </c>
      <c r="C1156" t="s">
        <v>2914</v>
      </c>
    </row>
    <row r="1157" spans="1:3" x14ac:dyDescent="0.15">
      <c r="A1157">
        <v>122049</v>
      </c>
      <c r="B1157" t="s">
        <v>2217</v>
      </c>
      <c r="C1157" t="s">
        <v>2915</v>
      </c>
    </row>
    <row r="1158" spans="1:3" x14ac:dyDescent="0.15">
      <c r="A1158">
        <v>122050</v>
      </c>
      <c r="B1158" t="s">
        <v>2217</v>
      </c>
      <c r="C1158" t="s">
        <v>2916</v>
      </c>
    </row>
    <row r="1159" spans="1:3" x14ac:dyDescent="0.15">
      <c r="A1159">
        <v>122051</v>
      </c>
      <c r="B1159" t="s">
        <v>2217</v>
      </c>
      <c r="C1159" t="s">
        <v>2917</v>
      </c>
    </row>
    <row r="1160" spans="1:3" x14ac:dyDescent="0.15">
      <c r="A1160">
        <v>122052</v>
      </c>
      <c r="B1160" t="s">
        <v>2217</v>
      </c>
      <c r="C1160" t="s">
        <v>2918</v>
      </c>
    </row>
    <row r="1161" spans="1:3" x14ac:dyDescent="0.15">
      <c r="A1161">
        <v>122053</v>
      </c>
      <c r="B1161" t="s">
        <v>2217</v>
      </c>
      <c r="C1161" t="s">
        <v>2919</v>
      </c>
    </row>
    <row r="1162" spans="1:3" x14ac:dyDescent="0.15">
      <c r="A1162">
        <v>122054</v>
      </c>
      <c r="B1162" t="s">
        <v>2217</v>
      </c>
      <c r="C1162" t="s">
        <v>2920</v>
      </c>
    </row>
    <row r="1163" spans="1:3" x14ac:dyDescent="0.15">
      <c r="A1163">
        <v>122055</v>
      </c>
      <c r="B1163" t="s">
        <v>2217</v>
      </c>
      <c r="C1163" t="s">
        <v>2921</v>
      </c>
    </row>
    <row r="1164" spans="1:3" x14ac:dyDescent="0.15">
      <c r="A1164">
        <v>122056</v>
      </c>
      <c r="B1164" t="s">
        <v>2217</v>
      </c>
      <c r="C1164" t="s">
        <v>2922</v>
      </c>
    </row>
    <row r="1165" spans="1:3" x14ac:dyDescent="0.15">
      <c r="A1165">
        <v>122057</v>
      </c>
      <c r="B1165" t="s">
        <v>2217</v>
      </c>
      <c r="C1165" t="s">
        <v>2923</v>
      </c>
    </row>
    <row r="1166" spans="1:3" x14ac:dyDescent="0.15">
      <c r="A1166">
        <v>122058</v>
      </c>
      <c r="B1166" t="s">
        <v>2217</v>
      </c>
      <c r="C1166" t="s">
        <v>2924</v>
      </c>
    </row>
    <row r="1167" spans="1:3" x14ac:dyDescent="0.15">
      <c r="A1167">
        <v>122059</v>
      </c>
      <c r="B1167" t="s">
        <v>2217</v>
      </c>
      <c r="C1167" t="s">
        <v>2925</v>
      </c>
    </row>
    <row r="1168" spans="1:3" x14ac:dyDescent="0.15">
      <c r="A1168">
        <v>122060</v>
      </c>
      <c r="B1168" t="s">
        <v>2217</v>
      </c>
      <c r="C1168" t="s">
        <v>2926</v>
      </c>
    </row>
    <row r="1169" spans="1:3" x14ac:dyDescent="0.15">
      <c r="A1169">
        <v>122061</v>
      </c>
      <c r="B1169" t="s">
        <v>2217</v>
      </c>
      <c r="C1169" t="s">
        <v>2927</v>
      </c>
    </row>
    <row r="1170" spans="1:3" x14ac:dyDescent="0.15">
      <c r="A1170">
        <v>122062</v>
      </c>
      <c r="B1170" t="s">
        <v>2217</v>
      </c>
      <c r="C1170" t="s">
        <v>2928</v>
      </c>
    </row>
    <row r="1171" spans="1:3" x14ac:dyDescent="0.15">
      <c r="A1171">
        <v>122063</v>
      </c>
      <c r="B1171" t="s">
        <v>2217</v>
      </c>
      <c r="C1171" t="s">
        <v>2929</v>
      </c>
    </row>
    <row r="1172" spans="1:3" x14ac:dyDescent="0.15">
      <c r="A1172">
        <v>122064</v>
      </c>
      <c r="B1172" t="s">
        <v>2217</v>
      </c>
      <c r="C1172" t="s">
        <v>2930</v>
      </c>
    </row>
    <row r="1173" spans="1:3" x14ac:dyDescent="0.15">
      <c r="A1173">
        <v>122065</v>
      </c>
      <c r="B1173" t="s">
        <v>2217</v>
      </c>
      <c r="C1173" t="s">
        <v>2931</v>
      </c>
    </row>
    <row r="1174" spans="1:3" x14ac:dyDescent="0.15">
      <c r="A1174">
        <v>122066</v>
      </c>
      <c r="B1174" t="s">
        <v>2217</v>
      </c>
      <c r="C1174" t="s">
        <v>2932</v>
      </c>
    </row>
    <row r="1175" spans="1:3" x14ac:dyDescent="0.15">
      <c r="A1175">
        <v>122067</v>
      </c>
      <c r="B1175" t="s">
        <v>2217</v>
      </c>
      <c r="C1175" t="s">
        <v>2933</v>
      </c>
    </row>
    <row r="1176" spans="1:3" x14ac:dyDescent="0.15">
      <c r="A1176">
        <v>122068</v>
      </c>
      <c r="B1176" t="s">
        <v>2217</v>
      </c>
      <c r="C1176" t="s">
        <v>2934</v>
      </c>
    </row>
    <row r="1177" spans="1:3" x14ac:dyDescent="0.15">
      <c r="A1177">
        <v>122069</v>
      </c>
      <c r="B1177" t="s">
        <v>2217</v>
      </c>
      <c r="C1177" t="s">
        <v>2935</v>
      </c>
    </row>
    <row r="1178" spans="1:3" x14ac:dyDescent="0.15">
      <c r="A1178">
        <v>122070</v>
      </c>
      <c r="B1178" t="s">
        <v>2217</v>
      </c>
      <c r="C1178" t="s">
        <v>2936</v>
      </c>
    </row>
    <row r="1179" spans="1:3" x14ac:dyDescent="0.15">
      <c r="A1179">
        <v>122071</v>
      </c>
      <c r="B1179" t="s">
        <v>2217</v>
      </c>
      <c r="C1179" t="s">
        <v>2937</v>
      </c>
    </row>
    <row r="1180" spans="1:3" x14ac:dyDescent="0.15">
      <c r="A1180">
        <v>122072</v>
      </c>
      <c r="B1180" t="s">
        <v>2217</v>
      </c>
      <c r="C1180" t="s">
        <v>2938</v>
      </c>
    </row>
    <row r="1181" spans="1:3" x14ac:dyDescent="0.15">
      <c r="A1181">
        <v>122073</v>
      </c>
      <c r="B1181" t="s">
        <v>2217</v>
      </c>
      <c r="C1181" t="s">
        <v>2939</v>
      </c>
    </row>
    <row r="1182" spans="1:3" x14ac:dyDescent="0.15">
      <c r="A1182">
        <v>122074</v>
      </c>
      <c r="B1182" t="s">
        <v>2217</v>
      </c>
      <c r="C1182" t="s">
        <v>2940</v>
      </c>
    </row>
    <row r="1183" spans="1:3" x14ac:dyDescent="0.15">
      <c r="A1183">
        <v>122075</v>
      </c>
      <c r="B1183" t="s">
        <v>2217</v>
      </c>
      <c r="C1183" t="s">
        <v>2941</v>
      </c>
    </row>
    <row r="1184" spans="1:3" x14ac:dyDescent="0.15">
      <c r="A1184">
        <v>122076</v>
      </c>
      <c r="B1184" t="s">
        <v>2217</v>
      </c>
      <c r="C1184" t="s">
        <v>2942</v>
      </c>
    </row>
    <row r="1185" spans="1:3" x14ac:dyDescent="0.15">
      <c r="A1185">
        <v>122077</v>
      </c>
      <c r="B1185" t="s">
        <v>2217</v>
      </c>
      <c r="C1185" t="s">
        <v>2943</v>
      </c>
    </row>
    <row r="1186" spans="1:3" x14ac:dyDescent="0.15">
      <c r="A1186">
        <v>122078</v>
      </c>
      <c r="B1186" t="s">
        <v>2217</v>
      </c>
      <c r="C1186" t="s">
        <v>2944</v>
      </c>
    </row>
    <row r="1187" spans="1:3" x14ac:dyDescent="0.15">
      <c r="A1187">
        <v>122079</v>
      </c>
      <c r="B1187" t="s">
        <v>2217</v>
      </c>
      <c r="C1187" t="s">
        <v>2945</v>
      </c>
    </row>
    <row r="1188" spans="1:3" x14ac:dyDescent="0.15">
      <c r="A1188">
        <v>122080</v>
      </c>
      <c r="B1188" t="s">
        <v>2217</v>
      </c>
      <c r="C1188" t="s">
        <v>2946</v>
      </c>
    </row>
    <row r="1189" spans="1:3" x14ac:dyDescent="0.15">
      <c r="A1189">
        <v>122081</v>
      </c>
      <c r="B1189" t="s">
        <v>2217</v>
      </c>
      <c r="C1189" t="s">
        <v>2947</v>
      </c>
    </row>
    <row r="1190" spans="1:3" x14ac:dyDescent="0.15">
      <c r="A1190">
        <v>122082</v>
      </c>
      <c r="B1190" t="s">
        <v>2217</v>
      </c>
      <c r="C1190" t="s">
        <v>2948</v>
      </c>
    </row>
    <row r="1191" spans="1:3" x14ac:dyDescent="0.15">
      <c r="A1191">
        <v>122083</v>
      </c>
      <c r="B1191" t="s">
        <v>2217</v>
      </c>
      <c r="C1191" t="s">
        <v>2949</v>
      </c>
    </row>
    <row r="1192" spans="1:3" x14ac:dyDescent="0.15">
      <c r="A1192">
        <v>122084</v>
      </c>
      <c r="B1192" t="s">
        <v>2217</v>
      </c>
      <c r="C1192" t="s">
        <v>2950</v>
      </c>
    </row>
    <row r="1193" spans="1:3" x14ac:dyDescent="0.15">
      <c r="A1193">
        <v>122085</v>
      </c>
      <c r="B1193" t="s">
        <v>2217</v>
      </c>
      <c r="C1193" t="s">
        <v>2951</v>
      </c>
    </row>
    <row r="1194" spans="1:3" x14ac:dyDescent="0.15">
      <c r="A1194">
        <v>122086</v>
      </c>
      <c r="B1194" t="s">
        <v>2217</v>
      </c>
      <c r="C1194" t="s">
        <v>2952</v>
      </c>
    </row>
    <row r="1195" spans="1:3" x14ac:dyDescent="0.15">
      <c r="A1195">
        <v>122087</v>
      </c>
      <c r="B1195" t="s">
        <v>2217</v>
      </c>
      <c r="C1195" t="s">
        <v>2953</v>
      </c>
    </row>
    <row r="1196" spans="1:3" x14ac:dyDescent="0.15">
      <c r="A1196">
        <v>122088</v>
      </c>
      <c r="B1196" t="s">
        <v>2217</v>
      </c>
      <c r="C1196" t="s">
        <v>2954</v>
      </c>
    </row>
    <row r="1197" spans="1:3" x14ac:dyDescent="0.15">
      <c r="A1197">
        <v>122089</v>
      </c>
      <c r="B1197" t="s">
        <v>2217</v>
      </c>
      <c r="C1197" t="s">
        <v>2955</v>
      </c>
    </row>
    <row r="1198" spans="1:3" x14ac:dyDescent="0.15">
      <c r="A1198">
        <v>122090</v>
      </c>
      <c r="B1198" t="s">
        <v>2217</v>
      </c>
      <c r="C1198" t="s">
        <v>2956</v>
      </c>
    </row>
    <row r="1199" spans="1:3" x14ac:dyDescent="0.15">
      <c r="A1199">
        <v>122091</v>
      </c>
      <c r="B1199" t="s">
        <v>2217</v>
      </c>
      <c r="C1199" t="s">
        <v>2957</v>
      </c>
    </row>
    <row r="1200" spans="1:3" x14ac:dyDescent="0.15">
      <c r="A1200">
        <v>122092</v>
      </c>
      <c r="B1200" t="s">
        <v>2217</v>
      </c>
      <c r="C1200" t="s">
        <v>2958</v>
      </c>
    </row>
    <row r="1201" spans="1:3" x14ac:dyDescent="0.15">
      <c r="A1201">
        <v>122093</v>
      </c>
      <c r="B1201" t="s">
        <v>2217</v>
      </c>
      <c r="C1201" t="s">
        <v>2959</v>
      </c>
    </row>
    <row r="1202" spans="1:3" x14ac:dyDescent="0.15">
      <c r="A1202">
        <v>122094</v>
      </c>
      <c r="B1202" t="s">
        <v>2217</v>
      </c>
      <c r="C1202" t="s">
        <v>2960</v>
      </c>
    </row>
    <row r="1203" spans="1:3" x14ac:dyDescent="0.15">
      <c r="A1203">
        <v>122095</v>
      </c>
      <c r="B1203" t="s">
        <v>2217</v>
      </c>
      <c r="C1203" t="s">
        <v>2961</v>
      </c>
    </row>
    <row r="1204" spans="1:3" x14ac:dyDescent="0.15">
      <c r="A1204">
        <v>122096</v>
      </c>
      <c r="B1204" t="s">
        <v>2217</v>
      </c>
      <c r="C1204" t="s">
        <v>2962</v>
      </c>
    </row>
    <row r="1205" spans="1:3" x14ac:dyDescent="0.15">
      <c r="A1205">
        <v>122097</v>
      </c>
      <c r="B1205" t="s">
        <v>2217</v>
      </c>
      <c r="C1205" t="s">
        <v>2963</v>
      </c>
    </row>
    <row r="1206" spans="1:3" x14ac:dyDescent="0.15">
      <c r="A1206">
        <v>122098</v>
      </c>
      <c r="B1206" t="s">
        <v>2217</v>
      </c>
      <c r="C1206" t="s">
        <v>2964</v>
      </c>
    </row>
    <row r="1207" spans="1:3" x14ac:dyDescent="0.15">
      <c r="A1207">
        <v>122099</v>
      </c>
      <c r="B1207" t="s">
        <v>2217</v>
      </c>
      <c r="C1207" t="s">
        <v>2965</v>
      </c>
    </row>
    <row r="1208" spans="1:3" x14ac:dyDescent="0.15">
      <c r="A1208">
        <v>122100</v>
      </c>
      <c r="B1208" t="s">
        <v>2217</v>
      </c>
      <c r="C1208" t="s">
        <v>2966</v>
      </c>
    </row>
    <row r="1209" spans="1:3" x14ac:dyDescent="0.15">
      <c r="A1209">
        <v>122101</v>
      </c>
      <c r="B1209" t="s">
        <v>2217</v>
      </c>
      <c r="C1209" t="s">
        <v>2967</v>
      </c>
    </row>
    <row r="1210" spans="1:3" x14ac:dyDescent="0.15">
      <c r="A1210">
        <v>122102</v>
      </c>
      <c r="B1210" t="s">
        <v>2217</v>
      </c>
      <c r="C1210" t="s">
        <v>2968</v>
      </c>
    </row>
    <row r="1211" spans="1:3" x14ac:dyDescent="0.15">
      <c r="A1211">
        <v>122103</v>
      </c>
      <c r="B1211" t="s">
        <v>2217</v>
      </c>
      <c r="C1211" t="s">
        <v>2969</v>
      </c>
    </row>
    <row r="1212" spans="1:3" x14ac:dyDescent="0.15">
      <c r="A1212">
        <v>122104</v>
      </c>
      <c r="B1212" t="s">
        <v>2217</v>
      </c>
      <c r="C1212" t="s">
        <v>2970</v>
      </c>
    </row>
    <row r="1213" spans="1:3" x14ac:dyDescent="0.15">
      <c r="A1213">
        <v>122105</v>
      </c>
      <c r="B1213" t="s">
        <v>2217</v>
      </c>
      <c r="C1213" t="s">
        <v>2971</v>
      </c>
    </row>
    <row r="1214" spans="1:3" x14ac:dyDescent="0.15">
      <c r="A1214">
        <v>122106</v>
      </c>
      <c r="B1214" t="s">
        <v>2217</v>
      </c>
      <c r="C1214" t="s">
        <v>2972</v>
      </c>
    </row>
    <row r="1215" spans="1:3" x14ac:dyDescent="0.15">
      <c r="A1215">
        <v>122107</v>
      </c>
      <c r="B1215" t="s">
        <v>2217</v>
      </c>
      <c r="C1215" t="s">
        <v>2973</v>
      </c>
    </row>
    <row r="1216" spans="1:3" x14ac:dyDescent="0.15">
      <c r="A1216">
        <v>122108</v>
      </c>
      <c r="B1216" t="s">
        <v>2217</v>
      </c>
      <c r="C1216" t="s">
        <v>2974</v>
      </c>
    </row>
    <row r="1217" spans="1:3" x14ac:dyDescent="0.15">
      <c r="A1217">
        <v>122109</v>
      </c>
      <c r="B1217" t="s">
        <v>2217</v>
      </c>
      <c r="C1217" t="s">
        <v>2975</v>
      </c>
    </row>
    <row r="1218" spans="1:3" x14ac:dyDescent="0.15">
      <c r="A1218">
        <v>122110</v>
      </c>
      <c r="B1218" t="s">
        <v>2217</v>
      </c>
      <c r="C1218" t="s">
        <v>2976</v>
      </c>
    </row>
    <row r="1219" spans="1:3" x14ac:dyDescent="0.15">
      <c r="A1219">
        <v>122111</v>
      </c>
      <c r="B1219" t="s">
        <v>2217</v>
      </c>
      <c r="C1219" t="s">
        <v>2977</v>
      </c>
    </row>
    <row r="1220" spans="1:3" x14ac:dyDescent="0.15">
      <c r="A1220">
        <v>122112</v>
      </c>
      <c r="B1220" t="s">
        <v>2217</v>
      </c>
      <c r="C1220" t="s">
        <v>2978</v>
      </c>
    </row>
    <row r="1221" spans="1:3" x14ac:dyDescent="0.15">
      <c r="A1221">
        <v>122113</v>
      </c>
      <c r="B1221" t="s">
        <v>2217</v>
      </c>
      <c r="C1221" t="s">
        <v>2979</v>
      </c>
    </row>
    <row r="1222" spans="1:3" x14ac:dyDescent="0.15">
      <c r="A1222">
        <v>122114</v>
      </c>
      <c r="B1222" t="s">
        <v>2217</v>
      </c>
      <c r="C1222" t="s">
        <v>2980</v>
      </c>
    </row>
    <row r="1223" spans="1:3" x14ac:dyDescent="0.15">
      <c r="A1223">
        <v>122115</v>
      </c>
      <c r="B1223" t="s">
        <v>2217</v>
      </c>
      <c r="C1223" t="s">
        <v>2981</v>
      </c>
    </row>
    <row r="1224" spans="1:3" x14ac:dyDescent="0.15">
      <c r="A1224">
        <v>122116</v>
      </c>
      <c r="B1224" t="s">
        <v>2217</v>
      </c>
      <c r="C1224" t="s">
        <v>2982</v>
      </c>
    </row>
    <row r="1225" spans="1:3" x14ac:dyDescent="0.15">
      <c r="A1225">
        <v>122117</v>
      </c>
      <c r="B1225" t="s">
        <v>2217</v>
      </c>
      <c r="C1225" t="s">
        <v>2983</v>
      </c>
    </row>
    <row r="1226" spans="1:3" x14ac:dyDescent="0.15">
      <c r="A1226">
        <v>122118</v>
      </c>
      <c r="B1226" t="s">
        <v>2217</v>
      </c>
      <c r="C1226" t="s">
        <v>2984</v>
      </c>
    </row>
    <row r="1227" spans="1:3" x14ac:dyDescent="0.15">
      <c r="A1227">
        <v>122119</v>
      </c>
      <c r="B1227" t="s">
        <v>2217</v>
      </c>
      <c r="C1227" t="s">
        <v>2985</v>
      </c>
    </row>
    <row r="1228" spans="1:3" x14ac:dyDescent="0.15">
      <c r="A1228">
        <v>122120</v>
      </c>
      <c r="B1228" t="s">
        <v>2217</v>
      </c>
      <c r="C1228" t="s">
        <v>2986</v>
      </c>
    </row>
    <row r="1229" spans="1:3" x14ac:dyDescent="0.15">
      <c r="A1229">
        <v>122121</v>
      </c>
      <c r="B1229" t="s">
        <v>2217</v>
      </c>
      <c r="C1229" t="s">
        <v>2987</v>
      </c>
    </row>
    <row r="1230" spans="1:3" x14ac:dyDescent="0.15">
      <c r="A1230">
        <v>122122</v>
      </c>
      <c r="B1230" t="s">
        <v>2217</v>
      </c>
      <c r="C1230" t="s">
        <v>2988</v>
      </c>
    </row>
    <row r="1231" spans="1:3" x14ac:dyDescent="0.15">
      <c r="A1231">
        <v>122123</v>
      </c>
      <c r="B1231" t="s">
        <v>2217</v>
      </c>
      <c r="C1231" t="s">
        <v>2989</v>
      </c>
    </row>
    <row r="1232" spans="1:3" x14ac:dyDescent="0.15">
      <c r="A1232">
        <v>122124</v>
      </c>
      <c r="B1232" t="s">
        <v>2217</v>
      </c>
      <c r="C1232" t="s">
        <v>2990</v>
      </c>
    </row>
    <row r="1233" spans="1:3" x14ac:dyDescent="0.15">
      <c r="A1233">
        <v>122125</v>
      </c>
      <c r="B1233" t="s">
        <v>2217</v>
      </c>
      <c r="C1233" t="s">
        <v>2991</v>
      </c>
    </row>
    <row r="1234" spans="1:3" x14ac:dyDescent="0.15">
      <c r="A1234">
        <v>122126</v>
      </c>
      <c r="B1234" t="s">
        <v>2217</v>
      </c>
      <c r="C1234" t="s">
        <v>2992</v>
      </c>
    </row>
    <row r="1235" spans="1:3" x14ac:dyDescent="0.15">
      <c r="A1235">
        <v>122127</v>
      </c>
      <c r="B1235" t="s">
        <v>2217</v>
      </c>
      <c r="C1235" t="s">
        <v>2993</v>
      </c>
    </row>
    <row r="1236" spans="1:3" x14ac:dyDescent="0.15">
      <c r="A1236">
        <v>122128</v>
      </c>
      <c r="B1236" t="s">
        <v>2217</v>
      </c>
      <c r="C1236" t="s">
        <v>2994</v>
      </c>
    </row>
    <row r="1237" spans="1:3" x14ac:dyDescent="0.15">
      <c r="A1237">
        <v>122129</v>
      </c>
      <c r="B1237" t="s">
        <v>2217</v>
      </c>
      <c r="C1237" t="s">
        <v>2995</v>
      </c>
    </row>
    <row r="1238" spans="1:3" x14ac:dyDescent="0.15">
      <c r="A1238">
        <v>122130</v>
      </c>
      <c r="B1238" t="s">
        <v>2217</v>
      </c>
      <c r="C1238" t="s">
        <v>2996</v>
      </c>
    </row>
    <row r="1239" spans="1:3" x14ac:dyDescent="0.15">
      <c r="A1239">
        <v>122131</v>
      </c>
      <c r="B1239" t="s">
        <v>2217</v>
      </c>
      <c r="C1239" t="s">
        <v>2997</v>
      </c>
    </row>
    <row r="1240" spans="1:3" x14ac:dyDescent="0.15">
      <c r="A1240">
        <v>122132</v>
      </c>
      <c r="B1240" t="s">
        <v>2217</v>
      </c>
      <c r="C1240" t="s">
        <v>2998</v>
      </c>
    </row>
    <row r="1241" spans="1:3" x14ac:dyDescent="0.15">
      <c r="A1241">
        <v>122133</v>
      </c>
      <c r="B1241" t="s">
        <v>2217</v>
      </c>
      <c r="C1241" t="s">
        <v>2999</v>
      </c>
    </row>
    <row r="1242" spans="1:3" x14ac:dyDescent="0.15">
      <c r="A1242">
        <v>122134</v>
      </c>
      <c r="B1242" t="s">
        <v>2217</v>
      </c>
      <c r="C1242" t="s">
        <v>3000</v>
      </c>
    </row>
    <row r="1243" spans="1:3" x14ac:dyDescent="0.15">
      <c r="A1243">
        <v>122135</v>
      </c>
      <c r="B1243" t="s">
        <v>2217</v>
      </c>
      <c r="C1243" t="s">
        <v>3001</v>
      </c>
    </row>
    <row r="1244" spans="1:3" x14ac:dyDescent="0.15">
      <c r="A1244">
        <v>122136</v>
      </c>
      <c r="B1244" t="s">
        <v>2217</v>
      </c>
      <c r="C1244" t="s">
        <v>3002</v>
      </c>
    </row>
    <row r="1245" spans="1:3" x14ac:dyDescent="0.15">
      <c r="A1245">
        <v>122137</v>
      </c>
      <c r="B1245" t="s">
        <v>2217</v>
      </c>
      <c r="C1245" t="s">
        <v>3003</v>
      </c>
    </row>
    <row r="1246" spans="1:3" x14ac:dyDescent="0.15">
      <c r="A1246">
        <v>122138</v>
      </c>
      <c r="B1246" t="s">
        <v>2217</v>
      </c>
      <c r="C1246" t="s">
        <v>3004</v>
      </c>
    </row>
    <row r="1247" spans="1:3" x14ac:dyDescent="0.15">
      <c r="A1247">
        <v>122139</v>
      </c>
      <c r="B1247" t="s">
        <v>2217</v>
      </c>
      <c r="C1247" t="s">
        <v>3005</v>
      </c>
    </row>
    <row r="1248" spans="1:3" x14ac:dyDescent="0.15">
      <c r="A1248">
        <v>122140</v>
      </c>
      <c r="B1248" t="s">
        <v>2217</v>
      </c>
      <c r="C1248" t="s">
        <v>3006</v>
      </c>
    </row>
    <row r="1249" spans="1:3" x14ac:dyDescent="0.15">
      <c r="A1249">
        <v>122141</v>
      </c>
      <c r="B1249" t="s">
        <v>2217</v>
      </c>
      <c r="C1249" t="s">
        <v>3007</v>
      </c>
    </row>
    <row r="1250" spans="1:3" x14ac:dyDescent="0.15">
      <c r="A1250">
        <v>122142</v>
      </c>
      <c r="B1250" t="s">
        <v>2217</v>
      </c>
      <c r="C1250" t="s">
        <v>3008</v>
      </c>
    </row>
    <row r="1251" spans="1:3" x14ac:dyDescent="0.15">
      <c r="A1251">
        <v>122143</v>
      </c>
      <c r="B1251" t="s">
        <v>2217</v>
      </c>
      <c r="C1251" t="s">
        <v>3009</v>
      </c>
    </row>
    <row r="1252" spans="1:3" x14ac:dyDescent="0.15">
      <c r="A1252">
        <v>122144</v>
      </c>
      <c r="B1252" t="s">
        <v>2217</v>
      </c>
      <c r="C1252" t="s">
        <v>3010</v>
      </c>
    </row>
    <row r="1253" spans="1:3" x14ac:dyDescent="0.15">
      <c r="A1253">
        <v>122145</v>
      </c>
      <c r="B1253" t="s">
        <v>2217</v>
      </c>
      <c r="C1253" t="s">
        <v>3011</v>
      </c>
    </row>
    <row r="1254" spans="1:3" x14ac:dyDescent="0.15">
      <c r="A1254">
        <v>122146</v>
      </c>
      <c r="B1254" t="s">
        <v>2217</v>
      </c>
      <c r="C1254" t="s">
        <v>3012</v>
      </c>
    </row>
    <row r="1255" spans="1:3" x14ac:dyDescent="0.15">
      <c r="A1255">
        <v>122147</v>
      </c>
      <c r="B1255" t="s">
        <v>2217</v>
      </c>
      <c r="C1255" t="s">
        <v>3013</v>
      </c>
    </row>
    <row r="1256" spans="1:3" x14ac:dyDescent="0.15">
      <c r="A1256">
        <v>122148</v>
      </c>
      <c r="B1256" t="s">
        <v>2217</v>
      </c>
      <c r="C1256" t="s">
        <v>3014</v>
      </c>
    </row>
    <row r="1257" spans="1:3" x14ac:dyDescent="0.15">
      <c r="A1257">
        <v>122149</v>
      </c>
      <c r="B1257" t="s">
        <v>2217</v>
      </c>
      <c r="C1257" t="s">
        <v>3015</v>
      </c>
    </row>
    <row r="1258" spans="1:3" x14ac:dyDescent="0.15">
      <c r="A1258">
        <v>122150</v>
      </c>
      <c r="B1258" t="s">
        <v>2217</v>
      </c>
      <c r="C1258" t="s">
        <v>3016</v>
      </c>
    </row>
    <row r="1259" spans="1:3" x14ac:dyDescent="0.15">
      <c r="A1259">
        <v>122151</v>
      </c>
      <c r="B1259" t="s">
        <v>2217</v>
      </c>
      <c r="C1259" t="s">
        <v>3017</v>
      </c>
    </row>
    <row r="1260" spans="1:3" x14ac:dyDescent="0.15">
      <c r="A1260">
        <v>122152</v>
      </c>
      <c r="B1260" t="s">
        <v>2217</v>
      </c>
      <c r="C1260" t="s">
        <v>3018</v>
      </c>
    </row>
    <row r="1261" spans="1:3" x14ac:dyDescent="0.15">
      <c r="A1261">
        <v>122153</v>
      </c>
      <c r="B1261" t="s">
        <v>2217</v>
      </c>
      <c r="C1261" t="s">
        <v>3019</v>
      </c>
    </row>
    <row r="1262" spans="1:3" x14ac:dyDescent="0.15">
      <c r="A1262">
        <v>122154</v>
      </c>
      <c r="B1262" t="s">
        <v>2217</v>
      </c>
      <c r="C1262" t="s">
        <v>3020</v>
      </c>
    </row>
    <row r="1263" spans="1:3" x14ac:dyDescent="0.15">
      <c r="A1263">
        <v>122155</v>
      </c>
      <c r="B1263" t="s">
        <v>2217</v>
      </c>
      <c r="C1263" t="s">
        <v>3021</v>
      </c>
    </row>
    <row r="1264" spans="1:3" x14ac:dyDescent="0.15">
      <c r="A1264">
        <v>122156</v>
      </c>
      <c r="B1264" t="s">
        <v>2217</v>
      </c>
      <c r="C1264" t="s">
        <v>3022</v>
      </c>
    </row>
    <row r="1265" spans="1:3" x14ac:dyDescent="0.15">
      <c r="A1265">
        <v>122157</v>
      </c>
      <c r="B1265" t="s">
        <v>2217</v>
      </c>
      <c r="C1265" t="s">
        <v>3023</v>
      </c>
    </row>
    <row r="1266" spans="1:3" x14ac:dyDescent="0.15">
      <c r="A1266">
        <v>122158</v>
      </c>
      <c r="B1266" t="s">
        <v>2217</v>
      </c>
      <c r="C1266" t="s">
        <v>3024</v>
      </c>
    </row>
    <row r="1267" spans="1:3" x14ac:dyDescent="0.15">
      <c r="A1267">
        <v>122159</v>
      </c>
      <c r="B1267" t="s">
        <v>2217</v>
      </c>
      <c r="C1267" t="s">
        <v>3025</v>
      </c>
    </row>
    <row r="1268" spans="1:3" x14ac:dyDescent="0.15">
      <c r="A1268">
        <v>122160</v>
      </c>
      <c r="B1268" t="s">
        <v>2217</v>
      </c>
      <c r="C1268" t="s">
        <v>3026</v>
      </c>
    </row>
    <row r="1269" spans="1:3" x14ac:dyDescent="0.15">
      <c r="A1269">
        <v>122161</v>
      </c>
      <c r="B1269" t="s">
        <v>2217</v>
      </c>
      <c r="C1269" t="s">
        <v>3027</v>
      </c>
    </row>
    <row r="1270" spans="1:3" x14ac:dyDescent="0.15">
      <c r="A1270">
        <v>122162</v>
      </c>
      <c r="B1270" t="s">
        <v>2217</v>
      </c>
      <c r="C1270" t="s">
        <v>3028</v>
      </c>
    </row>
    <row r="1271" spans="1:3" x14ac:dyDescent="0.15">
      <c r="A1271">
        <v>122163</v>
      </c>
      <c r="B1271" t="s">
        <v>2217</v>
      </c>
      <c r="C1271" t="s">
        <v>3029</v>
      </c>
    </row>
    <row r="1272" spans="1:3" x14ac:dyDescent="0.15">
      <c r="A1272">
        <v>122164</v>
      </c>
      <c r="B1272" t="s">
        <v>2217</v>
      </c>
      <c r="C1272" t="s">
        <v>3030</v>
      </c>
    </row>
    <row r="1273" spans="1:3" x14ac:dyDescent="0.15">
      <c r="A1273">
        <v>122165</v>
      </c>
      <c r="B1273" t="s">
        <v>2217</v>
      </c>
      <c r="C1273" t="s">
        <v>3031</v>
      </c>
    </row>
    <row r="1274" spans="1:3" x14ac:dyDescent="0.15">
      <c r="A1274">
        <v>122166</v>
      </c>
      <c r="B1274" t="s">
        <v>2217</v>
      </c>
      <c r="C1274" t="s">
        <v>3032</v>
      </c>
    </row>
    <row r="1275" spans="1:3" x14ac:dyDescent="0.15">
      <c r="A1275">
        <v>122167</v>
      </c>
      <c r="B1275" t="s">
        <v>2217</v>
      </c>
      <c r="C1275" t="s">
        <v>3033</v>
      </c>
    </row>
    <row r="1276" spans="1:3" x14ac:dyDescent="0.15">
      <c r="A1276">
        <v>122168</v>
      </c>
      <c r="B1276" t="s">
        <v>2217</v>
      </c>
      <c r="C1276" t="s">
        <v>3034</v>
      </c>
    </row>
    <row r="1277" spans="1:3" x14ac:dyDescent="0.15">
      <c r="A1277">
        <v>122169</v>
      </c>
      <c r="B1277" t="s">
        <v>2217</v>
      </c>
      <c r="C1277" t="s">
        <v>3035</v>
      </c>
    </row>
    <row r="1278" spans="1:3" x14ac:dyDescent="0.15">
      <c r="A1278">
        <v>122170</v>
      </c>
      <c r="B1278" t="s">
        <v>2217</v>
      </c>
      <c r="C1278" t="s">
        <v>3036</v>
      </c>
    </row>
    <row r="1279" spans="1:3" x14ac:dyDescent="0.15">
      <c r="A1279">
        <v>122171</v>
      </c>
      <c r="B1279" t="s">
        <v>2217</v>
      </c>
      <c r="C1279" t="s">
        <v>3037</v>
      </c>
    </row>
    <row r="1280" spans="1:3" x14ac:dyDescent="0.15">
      <c r="A1280">
        <v>122172</v>
      </c>
      <c r="B1280" t="s">
        <v>2217</v>
      </c>
      <c r="C1280" t="s">
        <v>3038</v>
      </c>
    </row>
    <row r="1281" spans="1:3" x14ac:dyDescent="0.15">
      <c r="A1281">
        <v>122173</v>
      </c>
      <c r="B1281" t="s">
        <v>2217</v>
      </c>
      <c r="C1281" t="s">
        <v>3039</v>
      </c>
    </row>
    <row r="1282" spans="1:3" x14ac:dyDescent="0.15">
      <c r="A1282">
        <v>122174</v>
      </c>
      <c r="B1282" t="s">
        <v>2217</v>
      </c>
      <c r="C1282" t="s">
        <v>3040</v>
      </c>
    </row>
    <row r="1283" spans="1:3" x14ac:dyDescent="0.15">
      <c r="A1283">
        <v>122175</v>
      </c>
      <c r="B1283" t="s">
        <v>2217</v>
      </c>
      <c r="C1283" t="s">
        <v>3041</v>
      </c>
    </row>
    <row r="1284" spans="1:3" x14ac:dyDescent="0.15">
      <c r="A1284">
        <v>122176</v>
      </c>
      <c r="B1284" t="s">
        <v>2217</v>
      </c>
      <c r="C1284" t="s">
        <v>3042</v>
      </c>
    </row>
    <row r="1285" spans="1:3" x14ac:dyDescent="0.15">
      <c r="A1285">
        <v>122177</v>
      </c>
      <c r="B1285" t="s">
        <v>2217</v>
      </c>
      <c r="C1285" t="s">
        <v>3043</v>
      </c>
    </row>
    <row r="1286" spans="1:3" x14ac:dyDescent="0.15">
      <c r="A1286">
        <v>122178</v>
      </c>
      <c r="B1286" t="s">
        <v>2217</v>
      </c>
      <c r="C1286" t="s">
        <v>3044</v>
      </c>
    </row>
    <row r="1287" spans="1:3" x14ac:dyDescent="0.15">
      <c r="A1287">
        <v>122179</v>
      </c>
      <c r="B1287" t="s">
        <v>2217</v>
      </c>
      <c r="C1287" t="s">
        <v>3045</v>
      </c>
    </row>
    <row r="1288" spans="1:3" x14ac:dyDescent="0.15">
      <c r="A1288">
        <v>122180</v>
      </c>
      <c r="B1288" t="s">
        <v>2217</v>
      </c>
      <c r="C1288" t="s">
        <v>3046</v>
      </c>
    </row>
    <row r="1289" spans="1:3" x14ac:dyDescent="0.15">
      <c r="A1289">
        <v>122181</v>
      </c>
      <c r="B1289" t="s">
        <v>2217</v>
      </c>
      <c r="C1289" t="s">
        <v>3047</v>
      </c>
    </row>
    <row r="1290" spans="1:3" x14ac:dyDescent="0.15">
      <c r="A1290">
        <v>122182</v>
      </c>
      <c r="B1290" t="s">
        <v>2217</v>
      </c>
      <c r="C1290" t="s">
        <v>3048</v>
      </c>
    </row>
    <row r="1291" spans="1:3" x14ac:dyDescent="0.15">
      <c r="A1291">
        <v>122183</v>
      </c>
      <c r="B1291" t="s">
        <v>2217</v>
      </c>
      <c r="C1291" t="s">
        <v>3049</v>
      </c>
    </row>
    <row r="1292" spans="1:3" x14ac:dyDescent="0.15">
      <c r="A1292">
        <v>122184</v>
      </c>
      <c r="B1292" t="s">
        <v>2217</v>
      </c>
      <c r="C1292" t="s">
        <v>3050</v>
      </c>
    </row>
    <row r="1293" spans="1:3" x14ac:dyDescent="0.15">
      <c r="A1293">
        <v>122185</v>
      </c>
      <c r="B1293" t="s">
        <v>2217</v>
      </c>
      <c r="C1293" t="s">
        <v>3051</v>
      </c>
    </row>
    <row r="1294" spans="1:3" x14ac:dyDescent="0.15">
      <c r="A1294">
        <v>122186</v>
      </c>
      <c r="B1294" t="s">
        <v>2217</v>
      </c>
      <c r="C1294" t="s">
        <v>3052</v>
      </c>
    </row>
    <row r="1295" spans="1:3" x14ac:dyDescent="0.15">
      <c r="A1295">
        <v>122187</v>
      </c>
      <c r="B1295" t="s">
        <v>2217</v>
      </c>
      <c r="C1295" t="s">
        <v>3053</v>
      </c>
    </row>
    <row r="1296" spans="1:3" x14ac:dyDescent="0.15">
      <c r="A1296">
        <v>122188</v>
      </c>
      <c r="B1296" t="s">
        <v>2217</v>
      </c>
      <c r="C1296" t="s">
        <v>3054</v>
      </c>
    </row>
    <row r="1297" spans="1:3" x14ac:dyDescent="0.15">
      <c r="A1297">
        <v>122189</v>
      </c>
      <c r="B1297" t="s">
        <v>2217</v>
      </c>
      <c r="C1297" t="s">
        <v>3055</v>
      </c>
    </row>
    <row r="1298" spans="1:3" x14ac:dyDescent="0.15">
      <c r="A1298">
        <v>122190</v>
      </c>
      <c r="B1298" t="s">
        <v>2217</v>
      </c>
      <c r="C1298" t="s">
        <v>3056</v>
      </c>
    </row>
    <row r="1299" spans="1:3" x14ac:dyDescent="0.15">
      <c r="A1299">
        <v>122191</v>
      </c>
      <c r="B1299" t="s">
        <v>2217</v>
      </c>
      <c r="C1299" t="s">
        <v>3057</v>
      </c>
    </row>
    <row r="1300" spans="1:3" x14ac:dyDescent="0.15">
      <c r="A1300">
        <v>122192</v>
      </c>
      <c r="B1300" t="s">
        <v>2217</v>
      </c>
      <c r="C1300" t="s">
        <v>3058</v>
      </c>
    </row>
    <row r="1301" spans="1:3" x14ac:dyDescent="0.15">
      <c r="A1301">
        <v>122193</v>
      </c>
      <c r="B1301" t="s">
        <v>2217</v>
      </c>
      <c r="C1301" t="s">
        <v>3059</v>
      </c>
    </row>
    <row r="1302" spans="1:3" x14ac:dyDescent="0.15">
      <c r="A1302">
        <v>122194</v>
      </c>
      <c r="B1302" t="s">
        <v>2217</v>
      </c>
      <c r="C1302" t="s">
        <v>3060</v>
      </c>
    </row>
    <row r="1303" spans="1:3" x14ac:dyDescent="0.15">
      <c r="A1303">
        <v>122195</v>
      </c>
      <c r="B1303" t="s">
        <v>2217</v>
      </c>
      <c r="C1303" t="s">
        <v>3061</v>
      </c>
    </row>
    <row r="1304" spans="1:3" x14ac:dyDescent="0.15">
      <c r="A1304">
        <v>122196</v>
      </c>
      <c r="B1304" t="s">
        <v>2217</v>
      </c>
      <c r="C1304" t="s">
        <v>3062</v>
      </c>
    </row>
    <row r="1305" spans="1:3" x14ac:dyDescent="0.15">
      <c r="A1305">
        <v>122197</v>
      </c>
      <c r="B1305" t="s">
        <v>2217</v>
      </c>
      <c r="C1305" t="s">
        <v>3063</v>
      </c>
    </row>
    <row r="1306" spans="1:3" x14ac:dyDescent="0.15">
      <c r="A1306">
        <v>122198</v>
      </c>
      <c r="B1306" t="s">
        <v>2217</v>
      </c>
      <c r="C1306" t="s">
        <v>3064</v>
      </c>
    </row>
    <row r="1307" spans="1:3" x14ac:dyDescent="0.15">
      <c r="A1307">
        <v>122199</v>
      </c>
      <c r="B1307" t="s">
        <v>2217</v>
      </c>
      <c r="C1307" t="s">
        <v>3065</v>
      </c>
    </row>
    <row r="1308" spans="1:3" x14ac:dyDescent="0.15">
      <c r="A1308">
        <v>122200</v>
      </c>
      <c r="B1308" t="s">
        <v>2217</v>
      </c>
      <c r="C1308" t="s">
        <v>3066</v>
      </c>
    </row>
    <row r="1309" spans="1:3" x14ac:dyDescent="0.15">
      <c r="A1309">
        <v>122201</v>
      </c>
      <c r="B1309" t="s">
        <v>2217</v>
      </c>
      <c r="C1309" t="s">
        <v>3067</v>
      </c>
    </row>
    <row r="1310" spans="1:3" x14ac:dyDescent="0.15">
      <c r="A1310">
        <v>122202</v>
      </c>
      <c r="B1310" t="s">
        <v>2217</v>
      </c>
      <c r="C1310" t="s">
        <v>3068</v>
      </c>
    </row>
    <row r="1311" spans="1:3" x14ac:dyDescent="0.15">
      <c r="A1311">
        <v>122203</v>
      </c>
      <c r="B1311" t="s">
        <v>2217</v>
      </c>
      <c r="C1311" t="s">
        <v>3069</v>
      </c>
    </row>
    <row r="1312" spans="1:3" x14ac:dyDescent="0.15">
      <c r="A1312">
        <v>122204</v>
      </c>
      <c r="B1312" t="s">
        <v>2217</v>
      </c>
      <c r="C1312" t="s">
        <v>3070</v>
      </c>
    </row>
    <row r="1313" spans="1:3" x14ac:dyDescent="0.15">
      <c r="A1313">
        <v>122205</v>
      </c>
      <c r="B1313" t="s">
        <v>2217</v>
      </c>
      <c r="C1313" t="s">
        <v>3071</v>
      </c>
    </row>
    <row r="1314" spans="1:3" x14ac:dyDescent="0.15">
      <c r="A1314">
        <v>122206</v>
      </c>
      <c r="B1314" t="s">
        <v>2217</v>
      </c>
      <c r="C1314" t="s">
        <v>3072</v>
      </c>
    </row>
    <row r="1315" spans="1:3" x14ac:dyDescent="0.15">
      <c r="A1315">
        <v>122207</v>
      </c>
      <c r="B1315" t="s">
        <v>2217</v>
      </c>
      <c r="C1315" t="s">
        <v>3073</v>
      </c>
    </row>
    <row r="1316" spans="1:3" x14ac:dyDescent="0.15">
      <c r="A1316">
        <v>122208</v>
      </c>
      <c r="B1316" t="s">
        <v>2217</v>
      </c>
      <c r="C1316" t="s">
        <v>3074</v>
      </c>
    </row>
    <row r="1317" spans="1:3" x14ac:dyDescent="0.15">
      <c r="A1317">
        <v>122209</v>
      </c>
      <c r="B1317" t="s">
        <v>2217</v>
      </c>
      <c r="C1317" t="s">
        <v>3075</v>
      </c>
    </row>
    <row r="1318" spans="1:3" x14ac:dyDescent="0.15">
      <c r="A1318">
        <v>122210</v>
      </c>
      <c r="B1318" t="s">
        <v>2217</v>
      </c>
      <c r="C1318" t="s">
        <v>3076</v>
      </c>
    </row>
    <row r="1319" spans="1:3" x14ac:dyDescent="0.15">
      <c r="A1319">
        <v>122211</v>
      </c>
      <c r="B1319" t="s">
        <v>2217</v>
      </c>
      <c r="C1319" t="s">
        <v>3077</v>
      </c>
    </row>
    <row r="1320" spans="1:3" x14ac:dyDescent="0.15">
      <c r="A1320">
        <v>122212</v>
      </c>
      <c r="B1320" t="s">
        <v>2217</v>
      </c>
      <c r="C1320" t="s">
        <v>3078</v>
      </c>
    </row>
    <row r="1321" spans="1:3" x14ac:dyDescent="0.15">
      <c r="A1321">
        <v>122213</v>
      </c>
      <c r="B1321" t="s">
        <v>2217</v>
      </c>
      <c r="C1321" t="s">
        <v>3079</v>
      </c>
    </row>
    <row r="1322" spans="1:3" x14ac:dyDescent="0.15">
      <c r="A1322">
        <v>122214</v>
      </c>
      <c r="B1322" t="s">
        <v>2217</v>
      </c>
      <c r="C1322" t="s">
        <v>3080</v>
      </c>
    </row>
    <row r="1323" spans="1:3" x14ac:dyDescent="0.15">
      <c r="A1323">
        <v>122215</v>
      </c>
      <c r="B1323" t="s">
        <v>2217</v>
      </c>
      <c r="C1323" t="s">
        <v>3081</v>
      </c>
    </row>
    <row r="1324" spans="1:3" x14ac:dyDescent="0.15">
      <c r="A1324">
        <v>122216</v>
      </c>
      <c r="B1324" t="s">
        <v>2217</v>
      </c>
      <c r="C1324" t="s">
        <v>3082</v>
      </c>
    </row>
    <row r="1325" spans="1:3" x14ac:dyDescent="0.15">
      <c r="A1325">
        <v>122217</v>
      </c>
      <c r="B1325" t="s">
        <v>2217</v>
      </c>
      <c r="C1325" t="s">
        <v>3083</v>
      </c>
    </row>
    <row r="1326" spans="1:3" x14ac:dyDescent="0.15">
      <c r="A1326">
        <v>122218</v>
      </c>
      <c r="B1326" t="s">
        <v>2217</v>
      </c>
      <c r="C1326" t="s">
        <v>3084</v>
      </c>
    </row>
    <row r="1327" spans="1:3" x14ac:dyDescent="0.15">
      <c r="A1327">
        <v>122219</v>
      </c>
      <c r="B1327" t="s">
        <v>2217</v>
      </c>
      <c r="C1327" t="s">
        <v>3085</v>
      </c>
    </row>
    <row r="1328" spans="1:3" x14ac:dyDescent="0.15">
      <c r="A1328">
        <v>122220</v>
      </c>
      <c r="B1328" t="s">
        <v>2217</v>
      </c>
      <c r="C1328" t="s">
        <v>3086</v>
      </c>
    </row>
    <row r="1329" spans="1:3" x14ac:dyDescent="0.15">
      <c r="A1329">
        <v>122221</v>
      </c>
      <c r="B1329" t="s">
        <v>2217</v>
      </c>
      <c r="C1329" t="s">
        <v>3087</v>
      </c>
    </row>
    <row r="1330" spans="1:3" x14ac:dyDescent="0.15">
      <c r="A1330">
        <v>122222</v>
      </c>
      <c r="B1330" t="s">
        <v>2217</v>
      </c>
      <c r="C1330" t="s">
        <v>3088</v>
      </c>
    </row>
    <row r="1331" spans="1:3" x14ac:dyDescent="0.15">
      <c r="A1331">
        <v>122223</v>
      </c>
      <c r="B1331" t="s">
        <v>2217</v>
      </c>
      <c r="C1331" t="s">
        <v>3089</v>
      </c>
    </row>
    <row r="1332" spans="1:3" x14ac:dyDescent="0.15">
      <c r="A1332">
        <v>122224</v>
      </c>
      <c r="B1332" t="s">
        <v>2217</v>
      </c>
      <c r="C1332" t="s">
        <v>3090</v>
      </c>
    </row>
    <row r="1333" spans="1:3" x14ac:dyDescent="0.15">
      <c r="A1333">
        <v>122225</v>
      </c>
      <c r="B1333" t="s">
        <v>2217</v>
      </c>
      <c r="C1333" t="s">
        <v>3091</v>
      </c>
    </row>
    <row r="1334" spans="1:3" x14ac:dyDescent="0.15">
      <c r="A1334">
        <v>122226</v>
      </c>
      <c r="B1334" t="s">
        <v>2217</v>
      </c>
      <c r="C1334" t="s">
        <v>3092</v>
      </c>
    </row>
    <row r="1335" spans="1:3" x14ac:dyDescent="0.15">
      <c r="A1335">
        <v>122227</v>
      </c>
      <c r="B1335" t="s">
        <v>2217</v>
      </c>
      <c r="C1335" t="s">
        <v>3093</v>
      </c>
    </row>
    <row r="1336" spans="1:3" x14ac:dyDescent="0.15">
      <c r="A1336">
        <v>122228</v>
      </c>
      <c r="B1336" t="s">
        <v>2217</v>
      </c>
      <c r="C1336" t="s">
        <v>3094</v>
      </c>
    </row>
    <row r="1337" spans="1:3" x14ac:dyDescent="0.15">
      <c r="A1337">
        <v>122229</v>
      </c>
      <c r="B1337" t="s">
        <v>2217</v>
      </c>
      <c r="C1337" t="s">
        <v>3095</v>
      </c>
    </row>
    <row r="1338" spans="1:3" x14ac:dyDescent="0.15">
      <c r="A1338">
        <v>122230</v>
      </c>
      <c r="B1338" t="s">
        <v>2217</v>
      </c>
      <c r="C1338" t="s">
        <v>3096</v>
      </c>
    </row>
    <row r="1339" spans="1:3" x14ac:dyDescent="0.15">
      <c r="A1339">
        <v>122231</v>
      </c>
      <c r="B1339" t="s">
        <v>2217</v>
      </c>
      <c r="C1339" t="s">
        <v>3097</v>
      </c>
    </row>
    <row r="1340" spans="1:3" x14ac:dyDescent="0.15">
      <c r="A1340">
        <v>122232</v>
      </c>
      <c r="B1340" t="s">
        <v>2217</v>
      </c>
      <c r="C1340" t="s">
        <v>3098</v>
      </c>
    </row>
    <row r="1341" spans="1:3" x14ac:dyDescent="0.15">
      <c r="A1341">
        <v>122233</v>
      </c>
      <c r="B1341" t="s">
        <v>2217</v>
      </c>
      <c r="C1341" t="s">
        <v>3099</v>
      </c>
    </row>
    <row r="1342" spans="1:3" x14ac:dyDescent="0.15">
      <c r="A1342">
        <v>122234</v>
      </c>
      <c r="B1342" t="s">
        <v>2217</v>
      </c>
      <c r="C1342" t="s">
        <v>3100</v>
      </c>
    </row>
    <row r="1343" spans="1:3" x14ac:dyDescent="0.15">
      <c r="A1343">
        <v>122235</v>
      </c>
      <c r="B1343" t="s">
        <v>2217</v>
      </c>
      <c r="C1343" t="s">
        <v>3101</v>
      </c>
    </row>
    <row r="1344" spans="1:3" x14ac:dyDescent="0.15">
      <c r="A1344">
        <v>122236</v>
      </c>
      <c r="B1344" t="s">
        <v>2217</v>
      </c>
      <c r="C1344" t="s">
        <v>3102</v>
      </c>
    </row>
    <row r="1345" spans="1:3" x14ac:dyDescent="0.15">
      <c r="A1345">
        <v>122237</v>
      </c>
      <c r="B1345" t="s">
        <v>2217</v>
      </c>
      <c r="C1345" t="s">
        <v>3103</v>
      </c>
    </row>
    <row r="1346" spans="1:3" x14ac:dyDescent="0.15">
      <c r="A1346">
        <v>122238</v>
      </c>
      <c r="B1346" t="s">
        <v>2217</v>
      </c>
      <c r="C1346" t="s">
        <v>3104</v>
      </c>
    </row>
    <row r="1347" spans="1:3" x14ac:dyDescent="0.15">
      <c r="A1347">
        <v>122239</v>
      </c>
      <c r="B1347" t="s">
        <v>2217</v>
      </c>
      <c r="C1347" t="s">
        <v>3105</v>
      </c>
    </row>
    <row r="1348" spans="1:3" x14ac:dyDescent="0.15">
      <c r="A1348">
        <v>122240</v>
      </c>
      <c r="B1348" t="s">
        <v>2217</v>
      </c>
      <c r="C1348" t="s">
        <v>3106</v>
      </c>
    </row>
    <row r="1349" spans="1:3" x14ac:dyDescent="0.15">
      <c r="A1349">
        <v>122241</v>
      </c>
      <c r="B1349" t="s">
        <v>2217</v>
      </c>
      <c r="C1349" t="s">
        <v>3107</v>
      </c>
    </row>
    <row r="1350" spans="1:3" x14ac:dyDescent="0.15">
      <c r="A1350">
        <v>122242</v>
      </c>
      <c r="B1350" t="s">
        <v>2217</v>
      </c>
      <c r="C1350" t="s">
        <v>3108</v>
      </c>
    </row>
    <row r="1351" spans="1:3" x14ac:dyDescent="0.15">
      <c r="A1351">
        <v>122243</v>
      </c>
      <c r="B1351" t="s">
        <v>2217</v>
      </c>
      <c r="C1351" t="s">
        <v>3109</v>
      </c>
    </row>
    <row r="1352" spans="1:3" x14ac:dyDescent="0.15">
      <c r="A1352">
        <v>122244</v>
      </c>
      <c r="B1352" t="s">
        <v>2217</v>
      </c>
      <c r="C1352" t="s">
        <v>3110</v>
      </c>
    </row>
    <row r="1353" spans="1:3" x14ac:dyDescent="0.15">
      <c r="A1353">
        <v>122245</v>
      </c>
      <c r="B1353" t="s">
        <v>2217</v>
      </c>
      <c r="C1353" t="s">
        <v>3111</v>
      </c>
    </row>
    <row r="1354" spans="1:3" x14ac:dyDescent="0.15">
      <c r="A1354">
        <v>122246</v>
      </c>
      <c r="B1354" t="s">
        <v>2217</v>
      </c>
      <c r="C1354" t="s">
        <v>3112</v>
      </c>
    </row>
    <row r="1355" spans="1:3" x14ac:dyDescent="0.15">
      <c r="A1355">
        <v>122247</v>
      </c>
      <c r="B1355" t="s">
        <v>2217</v>
      </c>
      <c r="C1355" t="s">
        <v>3113</v>
      </c>
    </row>
    <row r="1356" spans="1:3" x14ac:dyDescent="0.15">
      <c r="A1356">
        <v>122248</v>
      </c>
      <c r="B1356" t="s">
        <v>2217</v>
      </c>
      <c r="C1356" t="s">
        <v>3114</v>
      </c>
    </row>
    <row r="1357" spans="1:3" x14ac:dyDescent="0.15">
      <c r="A1357">
        <v>122249</v>
      </c>
      <c r="B1357" t="s">
        <v>2217</v>
      </c>
      <c r="C1357" t="s">
        <v>3115</v>
      </c>
    </row>
    <row r="1358" spans="1:3" x14ac:dyDescent="0.15">
      <c r="A1358">
        <v>122250</v>
      </c>
      <c r="B1358" t="s">
        <v>2217</v>
      </c>
      <c r="C1358" t="s">
        <v>3116</v>
      </c>
    </row>
    <row r="1359" spans="1:3" x14ac:dyDescent="0.15">
      <c r="A1359">
        <v>122251</v>
      </c>
      <c r="B1359" t="s">
        <v>2217</v>
      </c>
      <c r="C1359" t="s">
        <v>3117</v>
      </c>
    </row>
    <row r="1360" spans="1:3" x14ac:dyDescent="0.15">
      <c r="A1360">
        <v>122252</v>
      </c>
      <c r="B1360" t="s">
        <v>2217</v>
      </c>
      <c r="C1360" t="s">
        <v>3118</v>
      </c>
    </row>
    <row r="1361" spans="1:3" x14ac:dyDescent="0.15">
      <c r="A1361">
        <v>122253</v>
      </c>
      <c r="B1361" t="s">
        <v>2217</v>
      </c>
      <c r="C1361" t="s">
        <v>3119</v>
      </c>
    </row>
    <row r="1362" spans="1:3" x14ac:dyDescent="0.15">
      <c r="A1362">
        <v>122254</v>
      </c>
      <c r="B1362" t="s">
        <v>2217</v>
      </c>
      <c r="C1362" t="s">
        <v>3120</v>
      </c>
    </row>
    <row r="1363" spans="1:3" x14ac:dyDescent="0.15">
      <c r="A1363">
        <v>122255</v>
      </c>
      <c r="B1363" t="s">
        <v>2217</v>
      </c>
      <c r="C1363" t="s">
        <v>3121</v>
      </c>
    </row>
    <row r="1364" spans="1:3" x14ac:dyDescent="0.15">
      <c r="A1364">
        <v>122256</v>
      </c>
      <c r="B1364" t="s">
        <v>2217</v>
      </c>
      <c r="C1364" t="s">
        <v>3122</v>
      </c>
    </row>
    <row r="1365" spans="1:3" x14ac:dyDescent="0.15">
      <c r="A1365">
        <v>122257</v>
      </c>
      <c r="B1365" t="s">
        <v>2217</v>
      </c>
      <c r="C1365" t="s">
        <v>3123</v>
      </c>
    </row>
    <row r="1366" spans="1:3" x14ac:dyDescent="0.15">
      <c r="A1366">
        <v>122258</v>
      </c>
      <c r="B1366" t="s">
        <v>2217</v>
      </c>
      <c r="C1366" t="s">
        <v>3124</v>
      </c>
    </row>
    <row r="1367" spans="1:3" x14ac:dyDescent="0.15">
      <c r="A1367">
        <v>122259</v>
      </c>
      <c r="B1367" t="s">
        <v>2217</v>
      </c>
      <c r="C1367" t="s">
        <v>3125</v>
      </c>
    </row>
    <row r="1368" spans="1:3" x14ac:dyDescent="0.15">
      <c r="A1368">
        <v>122260</v>
      </c>
      <c r="B1368" t="s">
        <v>2217</v>
      </c>
      <c r="C1368" t="s">
        <v>3126</v>
      </c>
    </row>
    <row r="1369" spans="1:3" x14ac:dyDescent="0.15">
      <c r="A1369">
        <v>122261</v>
      </c>
      <c r="B1369" t="s">
        <v>2217</v>
      </c>
      <c r="C1369" t="s">
        <v>3127</v>
      </c>
    </row>
    <row r="1370" spans="1:3" x14ac:dyDescent="0.15">
      <c r="A1370">
        <v>122262</v>
      </c>
      <c r="B1370" t="s">
        <v>2217</v>
      </c>
      <c r="C1370" t="s">
        <v>3128</v>
      </c>
    </row>
    <row r="1371" spans="1:3" x14ac:dyDescent="0.15">
      <c r="A1371">
        <v>122263</v>
      </c>
      <c r="B1371" t="s">
        <v>2217</v>
      </c>
      <c r="C1371" t="s">
        <v>3129</v>
      </c>
    </row>
    <row r="1372" spans="1:3" x14ac:dyDescent="0.15">
      <c r="A1372">
        <v>122264</v>
      </c>
      <c r="B1372" t="s">
        <v>2217</v>
      </c>
      <c r="C1372" t="s">
        <v>3130</v>
      </c>
    </row>
    <row r="1373" spans="1:3" x14ac:dyDescent="0.15">
      <c r="A1373">
        <v>122265</v>
      </c>
      <c r="B1373" t="s">
        <v>2217</v>
      </c>
      <c r="C1373" t="s">
        <v>3131</v>
      </c>
    </row>
    <row r="1374" spans="1:3" x14ac:dyDescent="0.15">
      <c r="A1374">
        <v>122266</v>
      </c>
      <c r="B1374" t="s">
        <v>2217</v>
      </c>
      <c r="C1374" t="s">
        <v>3132</v>
      </c>
    </row>
    <row r="1375" spans="1:3" x14ac:dyDescent="0.15">
      <c r="A1375">
        <v>122267</v>
      </c>
      <c r="B1375" t="s">
        <v>2217</v>
      </c>
      <c r="C1375" t="s">
        <v>3133</v>
      </c>
    </row>
    <row r="1376" spans="1:3" x14ac:dyDescent="0.15">
      <c r="A1376">
        <v>122268</v>
      </c>
      <c r="B1376" t="s">
        <v>2217</v>
      </c>
      <c r="C1376" t="s">
        <v>3134</v>
      </c>
    </row>
    <row r="1377" spans="1:3" x14ac:dyDescent="0.15">
      <c r="A1377">
        <v>122269</v>
      </c>
      <c r="B1377" t="s">
        <v>2217</v>
      </c>
      <c r="C1377" t="s">
        <v>3135</v>
      </c>
    </row>
    <row r="1378" spans="1:3" x14ac:dyDescent="0.15">
      <c r="A1378">
        <v>122270</v>
      </c>
      <c r="B1378" t="s">
        <v>2217</v>
      </c>
      <c r="C1378" t="s">
        <v>3136</v>
      </c>
    </row>
    <row r="1379" spans="1:3" x14ac:dyDescent="0.15">
      <c r="A1379">
        <v>122271</v>
      </c>
      <c r="B1379" t="s">
        <v>2217</v>
      </c>
      <c r="C1379" t="s">
        <v>3137</v>
      </c>
    </row>
    <row r="1380" spans="1:3" x14ac:dyDescent="0.15">
      <c r="A1380">
        <v>122272</v>
      </c>
      <c r="B1380" t="s">
        <v>2217</v>
      </c>
      <c r="C1380" t="s">
        <v>3138</v>
      </c>
    </row>
    <row r="1381" spans="1:3" x14ac:dyDescent="0.15">
      <c r="A1381">
        <v>122273</v>
      </c>
      <c r="B1381" t="s">
        <v>2217</v>
      </c>
      <c r="C1381" t="s">
        <v>3139</v>
      </c>
    </row>
    <row r="1382" spans="1:3" x14ac:dyDescent="0.15">
      <c r="A1382">
        <v>122274</v>
      </c>
      <c r="B1382" t="s">
        <v>2217</v>
      </c>
      <c r="C1382" t="s">
        <v>3140</v>
      </c>
    </row>
    <row r="1383" spans="1:3" x14ac:dyDescent="0.15">
      <c r="A1383">
        <v>122275</v>
      </c>
      <c r="B1383" t="s">
        <v>2217</v>
      </c>
      <c r="C1383" t="s">
        <v>3141</v>
      </c>
    </row>
    <row r="1384" spans="1:3" x14ac:dyDescent="0.15">
      <c r="A1384">
        <v>122276</v>
      </c>
      <c r="B1384" t="s">
        <v>2217</v>
      </c>
      <c r="C1384" t="s">
        <v>3142</v>
      </c>
    </row>
    <row r="1385" spans="1:3" x14ac:dyDescent="0.15">
      <c r="A1385">
        <v>122277</v>
      </c>
      <c r="B1385" t="s">
        <v>2217</v>
      </c>
      <c r="C1385" t="s">
        <v>3143</v>
      </c>
    </row>
    <row r="1386" spans="1:3" x14ac:dyDescent="0.15">
      <c r="A1386">
        <v>122278</v>
      </c>
      <c r="B1386" t="s">
        <v>2217</v>
      </c>
      <c r="C1386" t="s">
        <v>3144</v>
      </c>
    </row>
    <row r="1387" spans="1:3" x14ac:dyDescent="0.15">
      <c r="A1387">
        <v>122279</v>
      </c>
      <c r="B1387" t="s">
        <v>2217</v>
      </c>
      <c r="C1387" t="s">
        <v>3145</v>
      </c>
    </row>
    <row r="1388" spans="1:3" x14ac:dyDescent="0.15">
      <c r="A1388">
        <v>122280</v>
      </c>
      <c r="B1388" t="s">
        <v>2217</v>
      </c>
      <c r="C1388" t="s">
        <v>3146</v>
      </c>
    </row>
    <row r="1389" spans="1:3" x14ac:dyDescent="0.15">
      <c r="A1389">
        <v>122281</v>
      </c>
      <c r="B1389" t="s">
        <v>2217</v>
      </c>
      <c r="C1389" t="s">
        <v>3147</v>
      </c>
    </row>
    <row r="1390" spans="1:3" x14ac:dyDescent="0.15">
      <c r="A1390">
        <v>122282</v>
      </c>
      <c r="B1390" t="s">
        <v>2217</v>
      </c>
      <c r="C1390" t="s">
        <v>3148</v>
      </c>
    </row>
    <row r="1391" spans="1:3" x14ac:dyDescent="0.15">
      <c r="A1391">
        <v>122283</v>
      </c>
      <c r="B1391" t="s">
        <v>2217</v>
      </c>
      <c r="C1391" t="s">
        <v>3149</v>
      </c>
    </row>
    <row r="1392" spans="1:3" x14ac:dyDescent="0.15">
      <c r="A1392">
        <v>122284</v>
      </c>
      <c r="B1392" t="s">
        <v>2217</v>
      </c>
      <c r="C1392" t="s">
        <v>3150</v>
      </c>
    </row>
    <row r="1393" spans="1:3" x14ac:dyDescent="0.15">
      <c r="A1393">
        <v>122285</v>
      </c>
      <c r="B1393" t="s">
        <v>2217</v>
      </c>
      <c r="C1393" t="s">
        <v>3151</v>
      </c>
    </row>
    <row r="1394" spans="1:3" x14ac:dyDescent="0.15">
      <c r="A1394">
        <v>122286</v>
      </c>
      <c r="B1394" t="s">
        <v>2217</v>
      </c>
      <c r="C1394" t="s">
        <v>3152</v>
      </c>
    </row>
    <row r="1395" spans="1:3" x14ac:dyDescent="0.15">
      <c r="A1395">
        <v>122287</v>
      </c>
      <c r="B1395" t="s">
        <v>2217</v>
      </c>
      <c r="C1395" t="s">
        <v>3153</v>
      </c>
    </row>
    <row r="1396" spans="1:3" x14ac:dyDescent="0.15">
      <c r="A1396">
        <v>122288</v>
      </c>
      <c r="B1396" t="s">
        <v>2217</v>
      </c>
      <c r="C1396" t="s">
        <v>3154</v>
      </c>
    </row>
    <row r="1397" spans="1:3" x14ac:dyDescent="0.15">
      <c r="A1397">
        <v>122289</v>
      </c>
      <c r="B1397" t="s">
        <v>2217</v>
      </c>
      <c r="C1397" t="s">
        <v>3155</v>
      </c>
    </row>
    <row r="1398" spans="1:3" x14ac:dyDescent="0.15">
      <c r="A1398">
        <v>122290</v>
      </c>
      <c r="B1398" t="s">
        <v>2217</v>
      </c>
      <c r="C1398" t="s">
        <v>3156</v>
      </c>
    </row>
    <row r="1399" spans="1:3" x14ac:dyDescent="0.15">
      <c r="A1399">
        <v>122291</v>
      </c>
      <c r="B1399" t="s">
        <v>2217</v>
      </c>
      <c r="C1399" t="s">
        <v>3157</v>
      </c>
    </row>
    <row r="1400" spans="1:3" x14ac:dyDescent="0.15">
      <c r="A1400">
        <v>122292</v>
      </c>
      <c r="B1400" t="s">
        <v>2217</v>
      </c>
      <c r="C1400" t="s">
        <v>3158</v>
      </c>
    </row>
    <row r="1401" spans="1:3" x14ac:dyDescent="0.15">
      <c r="A1401">
        <v>122293</v>
      </c>
      <c r="B1401" t="s">
        <v>2217</v>
      </c>
      <c r="C1401" t="s">
        <v>3159</v>
      </c>
    </row>
    <row r="1402" spans="1:3" x14ac:dyDescent="0.15">
      <c r="A1402">
        <v>122294</v>
      </c>
      <c r="B1402" t="s">
        <v>2217</v>
      </c>
      <c r="C1402" t="s">
        <v>3160</v>
      </c>
    </row>
    <row r="1403" spans="1:3" x14ac:dyDescent="0.15">
      <c r="A1403">
        <v>122295</v>
      </c>
      <c r="B1403" t="s">
        <v>2217</v>
      </c>
      <c r="C1403" t="s">
        <v>3161</v>
      </c>
    </row>
    <row r="1404" spans="1:3" x14ac:dyDescent="0.15">
      <c r="A1404">
        <v>122296</v>
      </c>
      <c r="B1404" t="s">
        <v>2217</v>
      </c>
      <c r="C1404" t="s">
        <v>3162</v>
      </c>
    </row>
    <row r="1405" spans="1:3" x14ac:dyDescent="0.15">
      <c r="A1405">
        <v>122297</v>
      </c>
      <c r="B1405" t="s">
        <v>2217</v>
      </c>
      <c r="C1405" t="s">
        <v>3163</v>
      </c>
    </row>
    <row r="1406" spans="1:3" x14ac:dyDescent="0.15">
      <c r="A1406">
        <v>122298</v>
      </c>
      <c r="B1406" t="s">
        <v>2217</v>
      </c>
      <c r="C1406" t="s">
        <v>3164</v>
      </c>
    </row>
    <row r="1407" spans="1:3" x14ac:dyDescent="0.15">
      <c r="A1407">
        <v>122299</v>
      </c>
      <c r="B1407" t="s">
        <v>2217</v>
      </c>
      <c r="C1407" t="s">
        <v>3165</v>
      </c>
    </row>
    <row r="1408" spans="1:3" x14ac:dyDescent="0.15">
      <c r="A1408">
        <v>122300</v>
      </c>
      <c r="B1408" t="s">
        <v>2217</v>
      </c>
      <c r="C1408" t="s">
        <v>3166</v>
      </c>
    </row>
    <row r="1409" spans="1:3" x14ac:dyDescent="0.15">
      <c r="A1409">
        <v>122301</v>
      </c>
      <c r="B1409" t="s">
        <v>2217</v>
      </c>
      <c r="C1409" t="s">
        <v>3167</v>
      </c>
    </row>
    <row r="1410" spans="1:3" x14ac:dyDescent="0.15">
      <c r="A1410">
        <v>122302</v>
      </c>
      <c r="B1410" t="s">
        <v>2217</v>
      </c>
      <c r="C1410" t="s">
        <v>3168</v>
      </c>
    </row>
    <row r="1411" spans="1:3" x14ac:dyDescent="0.15">
      <c r="A1411">
        <v>122303</v>
      </c>
      <c r="B1411" t="s">
        <v>2217</v>
      </c>
      <c r="C1411" t="s">
        <v>3169</v>
      </c>
    </row>
    <row r="1412" spans="1:3" x14ac:dyDescent="0.15">
      <c r="A1412">
        <v>122304</v>
      </c>
      <c r="B1412" t="s">
        <v>2217</v>
      </c>
      <c r="C1412" t="s">
        <v>3170</v>
      </c>
    </row>
    <row r="1413" spans="1:3" x14ac:dyDescent="0.15">
      <c r="A1413">
        <v>122305</v>
      </c>
      <c r="B1413" t="s">
        <v>2217</v>
      </c>
      <c r="C1413" t="s">
        <v>3171</v>
      </c>
    </row>
    <row r="1414" spans="1:3" x14ac:dyDescent="0.15">
      <c r="A1414">
        <v>122306</v>
      </c>
      <c r="B1414" t="s">
        <v>2217</v>
      </c>
      <c r="C1414" t="s">
        <v>3172</v>
      </c>
    </row>
    <row r="1415" spans="1:3" x14ac:dyDescent="0.15">
      <c r="A1415">
        <v>122307</v>
      </c>
      <c r="B1415" t="s">
        <v>2217</v>
      </c>
      <c r="C1415" t="s">
        <v>3173</v>
      </c>
    </row>
    <row r="1416" spans="1:3" x14ac:dyDescent="0.15">
      <c r="A1416">
        <v>122308</v>
      </c>
      <c r="B1416" t="s">
        <v>2217</v>
      </c>
      <c r="C1416" t="s">
        <v>3174</v>
      </c>
    </row>
    <row r="1417" spans="1:3" x14ac:dyDescent="0.15">
      <c r="A1417">
        <v>122309</v>
      </c>
      <c r="B1417" t="s">
        <v>2217</v>
      </c>
      <c r="C1417" t="s">
        <v>3175</v>
      </c>
    </row>
    <row r="1418" spans="1:3" x14ac:dyDescent="0.15">
      <c r="A1418">
        <v>122310</v>
      </c>
      <c r="B1418" t="s">
        <v>2217</v>
      </c>
      <c r="C1418" t="s">
        <v>3176</v>
      </c>
    </row>
    <row r="1419" spans="1:3" x14ac:dyDescent="0.15">
      <c r="A1419">
        <v>122311</v>
      </c>
      <c r="B1419" t="s">
        <v>2217</v>
      </c>
      <c r="C1419" t="s">
        <v>3177</v>
      </c>
    </row>
    <row r="1420" spans="1:3" x14ac:dyDescent="0.15">
      <c r="A1420">
        <v>122312</v>
      </c>
      <c r="B1420" t="s">
        <v>2217</v>
      </c>
      <c r="C1420" t="s">
        <v>3178</v>
      </c>
    </row>
    <row r="1421" spans="1:3" x14ac:dyDescent="0.15">
      <c r="A1421">
        <v>122313</v>
      </c>
      <c r="B1421" t="s">
        <v>2217</v>
      </c>
      <c r="C1421" t="s">
        <v>3179</v>
      </c>
    </row>
    <row r="1422" spans="1:3" x14ac:dyDescent="0.15">
      <c r="A1422">
        <v>122314</v>
      </c>
      <c r="B1422" t="s">
        <v>2217</v>
      </c>
      <c r="C1422" t="s">
        <v>3180</v>
      </c>
    </row>
    <row r="1423" spans="1:3" x14ac:dyDescent="0.15">
      <c r="A1423">
        <v>122315</v>
      </c>
      <c r="B1423" t="s">
        <v>2217</v>
      </c>
      <c r="C1423" t="s">
        <v>3181</v>
      </c>
    </row>
    <row r="1424" spans="1:3" x14ac:dyDescent="0.15">
      <c r="A1424">
        <v>122316</v>
      </c>
      <c r="B1424" t="s">
        <v>2217</v>
      </c>
      <c r="C1424" t="s">
        <v>3182</v>
      </c>
    </row>
    <row r="1425" spans="1:3" x14ac:dyDescent="0.15">
      <c r="A1425">
        <v>122317</v>
      </c>
      <c r="B1425" t="s">
        <v>2217</v>
      </c>
      <c r="C1425" t="s">
        <v>3183</v>
      </c>
    </row>
    <row r="1426" spans="1:3" x14ac:dyDescent="0.15">
      <c r="A1426">
        <v>122318</v>
      </c>
      <c r="B1426" t="s">
        <v>2217</v>
      </c>
      <c r="C1426" t="s">
        <v>3184</v>
      </c>
    </row>
    <row r="1427" spans="1:3" x14ac:dyDescent="0.15">
      <c r="A1427">
        <v>122319</v>
      </c>
      <c r="B1427" t="s">
        <v>2217</v>
      </c>
      <c r="C1427" t="s">
        <v>3185</v>
      </c>
    </row>
    <row r="1428" spans="1:3" x14ac:dyDescent="0.15">
      <c r="A1428">
        <v>122320</v>
      </c>
      <c r="B1428" t="s">
        <v>2217</v>
      </c>
      <c r="C1428" t="s">
        <v>3186</v>
      </c>
    </row>
    <row r="1429" spans="1:3" x14ac:dyDescent="0.15">
      <c r="A1429">
        <v>122321</v>
      </c>
      <c r="B1429" t="s">
        <v>2217</v>
      </c>
      <c r="C1429" t="s">
        <v>3187</v>
      </c>
    </row>
    <row r="1430" spans="1:3" x14ac:dyDescent="0.15">
      <c r="A1430">
        <v>122322</v>
      </c>
      <c r="B1430" t="s">
        <v>2217</v>
      </c>
      <c r="C1430" t="s">
        <v>3188</v>
      </c>
    </row>
    <row r="1431" spans="1:3" x14ac:dyDescent="0.15">
      <c r="A1431">
        <v>122323</v>
      </c>
      <c r="B1431" t="s">
        <v>2217</v>
      </c>
      <c r="C1431" t="s">
        <v>3189</v>
      </c>
    </row>
    <row r="1432" spans="1:3" x14ac:dyDescent="0.15">
      <c r="A1432">
        <v>122324</v>
      </c>
      <c r="B1432" t="s">
        <v>2217</v>
      </c>
      <c r="C1432" t="s">
        <v>3190</v>
      </c>
    </row>
    <row r="1433" spans="1:3" x14ac:dyDescent="0.15">
      <c r="A1433">
        <v>122325</v>
      </c>
      <c r="B1433" t="s">
        <v>2217</v>
      </c>
      <c r="C1433" t="s">
        <v>3191</v>
      </c>
    </row>
    <row r="1434" spans="1:3" x14ac:dyDescent="0.15">
      <c r="A1434">
        <v>122326</v>
      </c>
      <c r="B1434" t="s">
        <v>2217</v>
      </c>
      <c r="C1434" t="s">
        <v>3192</v>
      </c>
    </row>
    <row r="1435" spans="1:3" x14ac:dyDescent="0.15">
      <c r="A1435">
        <v>122327</v>
      </c>
      <c r="B1435" t="s">
        <v>2217</v>
      </c>
      <c r="C1435" t="s">
        <v>3193</v>
      </c>
    </row>
    <row r="1436" spans="1:3" x14ac:dyDescent="0.15">
      <c r="A1436">
        <v>122328</v>
      </c>
      <c r="B1436" t="s">
        <v>2217</v>
      </c>
      <c r="C1436" t="s">
        <v>3194</v>
      </c>
    </row>
    <row r="1437" spans="1:3" x14ac:dyDescent="0.15">
      <c r="A1437">
        <v>122329</v>
      </c>
      <c r="B1437" t="s">
        <v>2217</v>
      </c>
      <c r="C1437" t="s">
        <v>3195</v>
      </c>
    </row>
    <row r="1438" spans="1:3" x14ac:dyDescent="0.15">
      <c r="A1438">
        <v>122330</v>
      </c>
      <c r="B1438" t="s">
        <v>2217</v>
      </c>
      <c r="C1438" t="s">
        <v>3196</v>
      </c>
    </row>
    <row r="1439" spans="1:3" x14ac:dyDescent="0.15">
      <c r="A1439">
        <v>122331</v>
      </c>
      <c r="B1439" t="s">
        <v>2217</v>
      </c>
      <c r="C1439" t="s">
        <v>3197</v>
      </c>
    </row>
    <row r="1440" spans="1:3" x14ac:dyDescent="0.15">
      <c r="A1440">
        <v>122332</v>
      </c>
      <c r="B1440" t="s">
        <v>2217</v>
      </c>
      <c r="C1440" t="s">
        <v>3198</v>
      </c>
    </row>
    <row r="1441" spans="1:3" x14ac:dyDescent="0.15">
      <c r="A1441">
        <v>122333</v>
      </c>
      <c r="B1441" t="s">
        <v>2217</v>
      </c>
      <c r="C1441" t="s">
        <v>3199</v>
      </c>
    </row>
    <row r="1442" spans="1:3" x14ac:dyDescent="0.15">
      <c r="A1442">
        <v>122334</v>
      </c>
      <c r="B1442" t="s">
        <v>2217</v>
      </c>
      <c r="C1442" t="s">
        <v>3200</v>
      </c>
    </row>
    <row r="1443" spans="1:3" x14ac:dyDescent="0.15">
      <c r="A1443">
        <v>122335</v>
      </c>
      <c r="B1443" t="s">
        <v>2217</v>
      </c>
      <c r="C1443" t="s">
        <v>3201</v>
      </c>
    </row>
    <row r="1444" spans="1:3" x14ac:dyDescent="0.15">
      <c r="A1444">
        <v>122336</v>
      </c>
      <c r="B1444" t="s">
        <v>2217</v>
      </c>
      <c r="C1444" t="s">
        <v>3202</v>
      </c>
    </row>
    <row r="1445" spans="1:3" x14ac:dyDescent="0.15">
      <c r="A1445">
        <v>122337</v>
      </c>
      <c r="B1445" t="s">
        <v>2217</v>
      </c>
      <c r="C1445" t="s">
        <v>3203</v>
      </c>
    </row>
    <row r="1446" spans="1:3" x14ac:dyDescent="0.15">
      <c r="A1446">
        <v>122338</v>
      </c>
      <c r="B1446" t="s">
        <v>2217</v>
      </c>
      <c r="C1446" t="s">
        <v>3204</v>
      </c>
    </row>
    <row r="1447" spans="1:3" x14ac:dyDescent="0.15">
      <c r="A1447">
        <v>122339</v>
      </c>
      <c r="B1447" t="s">
        <v>2217</v>
      </c>
      <c r="C1447" t="s">
        <v>3205</v>
      </c>
    </row>
    <row r="1448" spans="1:3" x14ac:dyDescent="0.15">
      <c r="A1448">
        <v>122340</v>
      </c>
      <c r="B1448" t="s">
        <v>2217</v>
      </c>
      <c r="C1448" t="s">
        <v>3206</v>
      </c>
    </row>
    <row r="1449" spans="1:3" x14ac:dyDescent="0.15">
      <c r="A1449">
        <v>122341</v>
      </c>
      <c r="B1449" t="s">
        <v>2217</v>
      </c>
      <c r="C1449" t="s">
        <v>3207</v>
      </c>
    </row>
    <row r="1450" spans="1:3" x14ac:dyDescent="0.15">
      <c r="A1450">
        <v>122342</v>
      </c>
      <c r="B1450" t="s">
        <v>2217</v>
      </c>
      <c r="C1450" t="s">
        <v>3208</v>
      </c>
    </row>
    <row r="1451" spans="1:3" x14ac:dyDescent="0.15">
      <c r="A1451">
        <v>122343</v>
      </c>
      <c r="B1451" t="s">
        <v>2217</v>
      </c>
      <c r="C1451" t="s">
        <v>3209</v>
      </c>
    </row>
    <row r="1452" spans="1:3" x14ac:dyDescent="0.15">
      <c r="A1452">
        <v>122344</v>
      </c>
      <c r="B1452" t="s">
        <v>2217</v>
      </c>
      <c r="C1452" t="s">
        <v>3210</v>
      </c>
    </row>
    <row r="1453" spans="1:3" x14ac:dyDescent="0.15">
      <c r="A1453">
        <v>122345</v>
      </c>
      <c r="B1453" t="s">
        <v>2217</v>
      </c>
      <c r="C1453" t="s">
        <v>3211</v>
      </c>
    </row>
    <row r="1454" spans="1:3" x14ac:dyDescent="0.15">
      <c r="A1454">
        <v>122346</v>
      </c>
      <c r="B1454" t="s">
        <v>2217</v>
      </c>
      <c r="C1454" t="s">
        <v>3212</v>
      </c>
    </row>
    <row r="1455" spans="1:3" x14ac:dyDescent="0.15">
      <c r="A1455">
        <v>122347</v>
      </c>
      <c r="B1455" t="s">
        <v>2217</v>
      </c>
      <c r="C1455" t="s">
        <v>3213</v>
      </c>
    </row>
    <row r="1456" spans="1:3" x14ac:dyDescent="0.15">
      <c r="A1456">
        <v>122348</v>
      </c>
      <c r="B1456" t="s">
        <v>2217</v>
      </c>
      <c r="C1456" t="s">
        <v>3214</v>
      </c>
    </row>
    <row r="1457" spans="1:3" x14ac:dyDescent="0.15">
      <c r="A1457">
        <v>122349</v>
      </c>
      <c r="B1457" t="s">
        <v>2217</v>
      </c>
      <c r="C1457" t="s">
        <v>3215</v>
      </c>
    </row>
    <row r="1458" spans="1:3" x14ac:dyDescent="0.15">
      <c r="A1458">
        <v>122350</v>
      </c>
      <c r="B1458" t="s">
        <v>2217</v>
      </c>
      <c r="C1458" t="s">
        <v>3216</v>
      </c>
    </row>
    <row r="1459" spans="1:3" x14ac:dyDescent="0.15">
      <c r="A1459">
        <v>122351</v>
      </c>
      <c r="B1459" t="s">
        <v>2217</v>
      </c>
      <c r="C1459" t="s">
        <v>3217</v>
      </c>
    </row>
    <row r="1460" spans="1:3" x14ac:dyDescent="0.15">
      <c r="A1460">
        <v>122352</v>
      </c>
      <c r="B1460" t="s">
        <v>2217</v>
      </c>
      <c r="C1460" t="s">
        <v>3218</v>
      </c>
    </row>
    <row r="1461" spans="1:3" x14ac:dyDescent="0.15">
      <c r="A1461">
        <v>122353</v>
      </c>
      <c r="B1461" t="s">
        <v>2217</v>
      </c>
      <c r="C1461" t="s">
        <v>3219</v>
      </c>
    </row>
    <row r="1462" spans="1:3" x14ac:dyDescent="0.15">
      <c r="A1462">
        <v>122354</v>
      </c>
      <c r="B1462" t="s">
        <v>2217</v>
      </c>
      <c r="C1462" t="s">
        <v>3220</v>
      </c>
    </row>
    <row r="1463" spans="1:3" x14ac:dyDescent="0.15">
      <c r="A1463">
        <v>122355</v>
      </c>
      <c r="B1463" t="s">
        <v>2217</v>
      </c>
      <c r="C1463" t="s">
        <v>3221</v>
      </c>
    </row>
    <row r="1464" spans="1:3" x14ac:dyDescent="0.15">
      <c r="A1464">
        <v>122356</v>
      </c>
      <c r="B1464" t="s">
        <v>2217</v>
      </c>
      <c r="C1464" t="s">
        <v>3222</v>
      </c>
    </row>
    <row r="1465" spans="1:3" x14ac:dyDescent="0.15">
      <c r="A1465">
        <v>122357</v>
      </c>
      <c r="B1465" t="s">
        <v>2217</v>
      </c>
      <c r="C1465" t="s">
        <v>3223</v>
      </c>
    </row>
    <row r="1466" spans="1:3" x14ac:dyDescent="0.15">
      <c r="A1466">
        <v>122358</v>
      </c>
      <c r="B1466" t="s">
        <v>2217</v>
      </c>
      <c r="C1466" t="s">
        <v>3224</v>
      </c>
    </row>
    <row r="1467" spans="1:3" x14ac:dyDescent="0.15">
      <c r="A1467">
        <v>122359</v>
      </c>
      <c r="B1467" t="s">
        <v>2217</v>
      </c>
      <c r="C1467" t="s">
        <v>3225</v>
      </c>
    </row>
    <row r="1468" spans="1:3" x14ac:dyDescent="0.15">
      <c r="A1468">
        <v>122360</v>
      </c>
      <c r="B1468" t="s">
        <v>2217</v>
      </c>
      <c r="C1468" t="s">
        <v>3226</v>
      </c>
    </row>
    <row r="1469" spans="1:3" x14ac:dyDescent="0.15">
      <c r="A1469">
        <v>122361</v>
      </c>
      <c r="B1469" t="s">
        <v>2217</v>
      </c>
      <c r="C1469" t="s">
        <v>3227</v>
      </c>
    </row>
    <row r="1470" spans="1:3" x14ac:dyDescent="0.15">
      <c r="A1470">
        <v>122362</v>
      </c>
      <c r="B1470" t="s">
        <v>2217</v>
      </c>
      <c r="C1470" t="s">
        <v>3228</v>
      </c>
    </row>
    <row r="1471" spans="1:3" x14ac:dyDescent="0.15">
      <c r="A1471">
        <v>122363</v>
      </c>
      <c r="B1471" t="s">
        <v>2217</v>
      </c>
      <c r="C1471" t="s">
        <v>3229</v>
      </c>
    </row>
    <row r="1472" spans="1:3" x14ac:dyDescent="0.15">
      <c r="A1472">
        <v>122364</v>
      </c>
      <c r="B1472" t="s">
        <v>2217</v>
      </c>
      <c r="C1472" t="s">
        <v>3230</v>
      </c>
    </row>
    <row r="1473" spans="1:3" x14ac:dyDescent="0.15">
      <c r="A1473">
        <v>122365</v>
      </c>
      <c r="B1473" t="s">
        <v>2217</v>
      </c>
      <c r="C1473" t="s">
        <v>3231</v>
      </c>
    </row>
    <row r="1474" spans="1:3" x14ac:dyDescent="0.15">
      <c r="A1474">
        <v>122366</v>
      </c>
      <c r="B1474" t="s">
        <v>2217</v>
      </c>
      <c r="C1474" t="s">
        <v>3232</v>
      </c>
    </row>
    <row r="1475" spans="1:3" x14ac:dyDescent="0.15">
      <c r="A1475">
        <v>122367</v>
      </c>
      <c r="B1475" t="s">
        <v>2217</v>
      </c>
      <c r="C1475" t="s">
        <v>3233</v>
      </c>
    </row>
    <row r="1476" spans="1:3" x14ac:dyDescent="0.15">
      <c r="A1476">
        <v>122368</v>
      </c>
      <c r="B1476" t="s">
        <v>2217</v>
      </c>
      <c r="C1476" t="s">
        <v>3234</v>
      </c>
    </row>
    <row r="1477" spans="1:3" x14ac:dyDescent="0.15">
      <c r="A1477">
        <v>122369</v>
      </c>
      <c r="B1477" t="s">
        <v>2217</v>
      </c>
      <c r="C1477" t="s">
        <v>3235</v>
      </c>
    </row>
    <row r="1478" spans="1:3" x14ac:dyDescent="0.15">
      <c r="A1478">
        <v>122370</v>
      </c>
      <c r="B1478" t="s">
        <v>2217</v>
      </c>
      <c r="C1478" t="s">
        <v>3236</v>
      </c>
    </row>
    <row r="1479" spans="1:3" x14ac:dyDescent="0.15">
      <c r="A1479">
        <v>122371</v>
      </c>
      <c r="B1479" t="s">
        <v>2217</v>
      </c>
      <c r="C1479" t="s">
        <v>3237</v>
      </c>
    </row>
    <row r="1480" spans="1:3" x14ac:dyDescent="0.15">
      <c r="A1480">
        <v>122372</v>
      </c>
      <c r="B1480" t="s">
        <v>2217</v>
      </c>
      <c r="C1480" t="s">
        <v>3238</v>
      </c>
    </row>
    <row r="1481" spans="1:3" x14ac:dyDescent="0.15">
      <c r="A1481">
        <v>122373</v>
      </c>
      <c r="B1481" t="s">
        <v>2217</v>
      </c>
      <c r="C1481" t="s">
        <v>3239</v>
      </c>
    </row>
    <row r="1482" spans="1:3" x14ac:dyDescent="0.15">
      <c r="A1482">
        <v>122374</v>
      </c>
      <c r="B1482" t="s">
        <v>2217</v>
      </c>
      <c r="C1482" t="s">
        <v>3240</v>
      </c>
    </row>
    <row r="1483" spans="1:3" x14ac:dyDescent="0.15">
      <c r="A1483">
        <v>122375</v>
      </c>
      <c r="B1483" t="s">
        <v>2217</v>
      </c>
      <c r="C1483" t="s">
        <v>3241</v>
      </c>
    </row>
    <row r="1484" spans="1:3" x14ac:dyDescent="0.15">
      <c r="A1484">
        <v>122376</v>
      </c>
      <c r="B1484" t="s">
        <v>2217</v>
      </c>
      <c r="C1484" t="s">
        <v>3242</v>
      </c>
    </row>
    <row r="1485" spans="1:3" x14ac:dyDescent="0.15">
      <c r="A1485">
        <v>122377</v>
      </c>
      <c r="B1485" t="s">
        <v>2217</v>
      </c>
      <c r="C1485" t="s">
        <v>3243</v>
      </c>
    </row>
    <row r="1486" spans="1:3" x14ac:dyDescent="0.15">
      <c r="A1486">
        <v>122378</v>
      </c>
      <c r="B1486" t="s">
        <v>2217</v>
      </c>
      <c r="C1486" t="s">
        <v>3244</v>
      </c>
    </row>
    <row r="1487" spans="1:3" x14ac:dyDescent="0.15">
      <c r="A1487">
        <v>122379</v>
      </c>
      <c r="B1487" t="s">
        <v>2217</v>
      </c>
      <c r="C1487" t="s">
        <v>3245</v>
      </c>
    </row>
    <row r="1488" spans="1:3" x14ac:dyDescent="0.15">
      <c r="A1488">
        <v>122380</v>
      </c>
      <c r="B1488" t="s">
        <v>2217</v>
      </c>
      <c r="C1488" t="s">
        <v>3246</v>
      </c>
    </row>
    <row r="1489" spans="1:3" x14ac:dyDescent="0.15">
      <c r="A1489">
        <v>122381</v>
      </c>
      <c r="B1489" t="s">
        <v>2217</v>
      </c>
      <c r="C1489" t="s">
        <v>3247</v>
      </c>
    </row>
    <row r="1490" spans="1:3" x14ac:dyDescent="0.15">
      <c r="A1490">
        <v>122382</v>
      </c>
      <c r="B1490" t="s">
        <v>2217</v>
      </c>
      <c r="C1490" t="s">
        <v>3248</v>
      </c>
    </row>
    <row r="1491" spans="1:3" x14ac:dyDescent="0.15">
      <c r="A1491">
        <v>122383</v>
      </c>
      <c r="B1491" t="s">
        <v>2217</v>
      </c>
      <c r="C1491" t="s">
        <v>3249</v>
      </c>
    </row>
    <row r="1492" spans="1:3" x14ac:dyDescent="0.15">
      <c r="A1492">
        <v>122384</v>
      </c>
      <c r="B1492" t="s">
        <v>2217</v>
      </c>
      <c r="C1492" t="s">
        <v>3250</v>
      </c>
    </row>
    <row r="1493" spans="1:3" x14ac:dyDescent="0.15">
      <c r="A1493">
        <v>122385</v>
      </c>
      <c r="B1493" t="s">
        <v>2217</v>
      </c>
      <c r="C1493" t="s">
        <v>3251</v>
      </c>
    </row>
    <row r="1494" spans="1:3" x14ac:dyDescent="0.15">
      <c r="A1494">
        <v>122386</v>
      </c>
      <c r="B1494" t="s">
        <v>2217</v>
      </c>
      <c r="C1494" t="s">
        <v>3252</v>
      </c>
    </row>
    <row r="1495" spans="1:3" x14ac:dyDescent="0.15">
      <c r="A1495">
        <v>122387</v>
      </c>
      <c r="B1495" t="s">
        <v>2217</v>
      </c>
      <c r="C1495" t="s">
        <v>3253</v>
      </c>
    </row>
    <row r="1496" spans="1:3" x14ac:dyDescent="0.15">
      <c r="A1496">
        <v>122388</v>
      </c>
      <c r="B1496" t="s">
        <v>2217</v>
      </c>
      <c r="C1496" t="s">
        <v>3254</v>
      </c>
    </row>
    <row r="1497" spans="1:3" x14ac:dyDescent="0.15">
      <c r="A1497">
        <v>122389</v>
      </c>
      <c r="B1497" t="s">
        <v>2217</v>
      </c>
      <c r="C1497" t="s">
        <v>3255</v>
      </c>
    </row>
    <row r="1498" spans="1:3" x14ac:dyDescent="0.15">
      <c r="A1498">
        <v>122390</v>
      </c>
      <c r="B1498" t="s">
        <v>2217</v>
      </c>
      <c r="C1498" t="s">
        <v>3256</v>
      </c>
    </row>
    <row r="1499" spans="1:3" x14ac:dyDescent="0.15">
      <c r="A1499">
        <v>122391</v>
      </c>
      <c r="B1499" t="s">
        <v>2217</v>
      </c>
      <c r="C1499" t="s">
        <v>3257</v>
      </c>
    </row>
    <row r="1500" spans="1:3" x14ac:dyDescent="0.15">
      <c r="A1500">
        <v>122392</v>
      </c>
      <c r="B1500" t="s">
        <v>2217</v>
      </c>
      <c r="C1500" t="s">
        <v>3258</v>
      </c>
    </row>
    <row r="1501" spans="1:3" x14ac:dyDescent="0.15">
      <c r="A1501">
        <v>122393</v>
      </c>
      <c r="B1501" t="s">
        <v>2217</v>
      </c>
      <c r="C1501" t="s">
        <v>3259</v>
      </c>
    </row>
    <row r="1502" spans="1:3" x14ac:dyDescent="0.15">
      <c r="A1502">
        <v>122394</v>
      </c>
      <c r="B1502" t="s">
        <v>2217</v>
      </c>
      <c r="C1502" t="s">
        <v>3260</v>
      </c>
    </row>
    <row r="1503" spans="1:3" x14ac:dyDescent="0.15">
      <c r="A1503">
        <v>122395</v>
      </c>
      <c r="B1503" t="s">
        <v>2217</v>
      </c>
      <c r="C1503" t="s">
        <v>3261</v>
      </c>
    </row>
    <row r="1504" spans="1:3" x14ac:dyDescent="0.15">
      <c r="A1504">
        <v>122396</v>
      </c>
      <c r="B1504" t="s">
        <v>2217</v>
      </c>
      <c r="C1504" t="s">
        <v>3262</v>
      </c>
    </row>
    <row r="1505" spans="1:3" x14ac:dyDescent="0.15">
      <c r="A1505">
        <v>122397</v>
      </c>
      <c r="B1505" t="s">
        <v>2217</v>
      </c>
      <c r="C1505" t="s">
        <v>3263</v>
      </c>
    </row>
    <row r="1506" spans="1:3" x14ac:dyDescent="0.15">
      <c r="A1506">
        <v>122398</v>
      </c>
      <c r="B1506" t="s">
        <v>2217</v>
      </c>
      <c r="C1506" t="s">
        <v>3264</v>
      </c>
    </row>
    <row r="1507" spans="1:3" x14ac:dyDescent="0.15">
      <c r="A1507">
        <v>122399</v>
      </c>
      <c r="B1507" t="s">
        <v>2217</v>
      </c>
      <c r="C1507" t="s">
        <v>3265</v>
      </c>
    </row>
    <row r="1508" spans="1:3" x14ac:dyDescent="0.15">
      <c r="A1508">
        <v>122400</v>
      </c>
      <c r="B1508" t="s">
        <v>2217</v>
      </c>
      <c r="C1508" t="s">
        <v>3266</v>
      </c>
    </row>
    <row r="1509" spans="1:3" x14ac:dyDescent="0.15">
      <c r="A1509">
        <v>122401</v>
      </c>
      <c r="B1509" t="s">
        <v>2217</v>
      </c>
      <c r="C1509" t="s">
        <v>3267</v>
      </c>
    </row>
    <row r="1510" spans="1:3" x14ac:dyDescent="0.15">
      <c r="A1510">
        <v>122402</v>
      </c>
      <c r="B1510" t="s">
        <v>2217</v>
      </c>
      <c r="C1510" t="s">
        <v>3268</v>
      </c>
    </row>
    <row r="1511" spans="1:3" x14ac:dyDescent="0.15">
      <c r="A1511">
        <v>122403</v>
      </c>
      <c r="B1511" t="s">
        <v>2217</v>
      </c>
      <c r="C1511" t="s">
        <v>3269</v>
      </c>
    </row>
    <row r="1512" spans="1:3" x14ac:dyDescent="0.15">
      <c r="A1512">
        <v>122404</v>
      </c>
      <c r="B1512" t="s">
        <v>2217</v>
      </c>
      <c r="C1512" t="s">
        <v>3270</v>
      </c>
    </row>
    <row r="1513" spans="1:3" x14ac:dyDescent="0.15">
      <c r="A1513">
        <v>122405</v>
      </c>
      <c r="B1513" t="s">
        <v>2217</v>
      </c>
      <c r="C1513" t="s">
        <v>3271</v>
      </c>
    </row>
    <row r="1514" spans="1:3" x14ac:dyDescent="0.15">
      <c r="A1514">
        <v>122406</v>
      </c>
      <c r="B1514" t="s">
        <v>2217</v>
      </c>
      <c r="C1514" t="s">
        <v>3272</v>
      </c>
    </row>
    <row r="1515" spans="1:3" x14ac:dyDescent="0.15">
      <c r="A1515">
        <v>122407</v>
      </c>
      <c r="B1515" t="s">
        <v>2217</v>
      </c>
      <c r="C1515" t="s">
        <v>3273</v>
      </c>
    </row>
    <row r="1516" spans="1:3" x14ac:dyDescent="0.15">
      <c r="A1516">
        <v>122408</v>
      </c>
      <c r="B1516" t="s">
        <v>2217</v>
      </c>
      <c r="C1516" t="s">
        <v>3274</v>
      </c>
    </row>
    <row r="1517" spans="1:3" x14ac:dyDescent="0.15">
      <c r="A1517">
        <v>122409</v>
      </c>
      <c r="B1517" t="s">
        <v>2217</v>
      </c>
      <c r="C1517" t="s">
        <v>3275</v>
      </c>
    </row>
    <row r="1518" spans="1:3" x14ac:dyDescent="0.15">
      <c r="A1518">
        <v>122410</v>
      </c>
      <c r="B1518" t="s">
        <v>2217</v>
      </c>
      <c r="C1518" t="s">
        <v>3276</v>
      </c>
    </row>
    <row r="1519" spans="1:3" x14ac:dyDescent="0.15">
      <c r="A1519">
        <v>122411</v>
      </c>
      <c r="B1519" t="s">
        <v>2217</v>
      </c>
      <c r="C1519" t="s">
        <v>3277</v>
      </c>
    </row>
    <row r="1520" spans="1:3" x14ac:dyDescent="0.15">
      <c r="A1520">
        <v>122412</v>
      </c>
      <c r="B1520" t="s">
        <v>2217</v>
      </c>
      <c r="C1520" t="s">
        <v>3278</v>
      </c>
    </row>
    <row r="1521" spans="1:3" x14ac:dyDescent="0.15">
      <c r="A1521">
        <v>122413</v>
      </c>
      <c r="B1521" t="s">
        <v>2217</v>
      </c>
      <c r="C1521" t="s">
        <v>3279</v>
      </c>
    </row>
    <row r="1522" spans="1:3" x14ac:dyDescent="0.15">
      <c r="A1522">
        <v>122414</v>
      </c>
      <c r="B1522" t="s">
        <v>2217</v>
      </c>
      <c r="C1522" t="s">
        <v>3280</v>
      </c>
    </row>
    <row r="1523" spans="1:3" x14ac:dyDescent="0.15">
      <c r="A1523">
        <v>122415</v>
      </c>
      <c r="B1523" t="s">
        <v>2217</v>
      </c>
      <c r="C1523" t="s">
        <v>3281</v>
      </c>
    </row>
    <row r="1524" spans="1:3" x14ac:dyDescent="0.15">
      <c r="A1524">
        <v>122416</v>
      </c>
      <c r="B1524" t="s">
        <v>2217</v>
      </c>
      <c r="C1524" t="s">
        <v>3282</v>
      </c>
    </row>
    <row r="1525" spans="1:3" x14ac:dyDescent="0.15">
      <c r="A1525">
        <v>122417</v>
      </c>
      <c r="B1525" t="s">
        <v>2217</v>
      </c>
      <c r="C1525" t="s">
        <v>3283</v>
      </c>
    </row>
    <row r="1526" spans="1:3" x14ac:dyDescent="0.15">
      <c r="A1526">
        <v>122418</v>
      </c>
      <c r="B1526" t="s">
        <v>2217</v>
      </c>
      <c r="C1526" t="s">
        <v>3284</v>
      </c>
    </row>
    <row r="1527" spans="1:3" x14ac:dyDescent="0.15">
      <c r="A1527">
        <v>122419</v>
      </c>
      <c r="B1527" t="s">
        <v>2217</v>
      </c>
      <c r="C1527" t="s">
        <v>3285</v>
      </c>
    </row>
    <row r="1528" spans="1:3" x14ac:dyDescent="0.15">
      <c r="A1528">
        <v>122420</v>
      </c>
      <c r="B1528" t="s">
        <v>2217</v>
      </c>
      <c r="C1528" t="s">
        <v>3286</v>
      </c>
    </row>
    <row r="1529" spans="1:3" x14ac:dyDescent="0.15">
      <c r="A1529">
        <v>122421</v>
      </c>
      <c r="B1529" t="s">
        <v>2217</v>
      </c>
      <c r="C1529" t="s">
        <v>3287</v>
      </c>
    </row>
    <row r="1530" spans="1:3" x14ac:dyDescent="0.15">
      <c r="A1530">
        <v>122422</v>
      </c>
      <c r="B1530" t="s">
        <v>2217</v>
      </c>
      <c r="C1530" t="s">
        <v>3288</v>
      </c>
    </row>
    <row r="1531" spans="1:3" x14ac:dyDescent="0.15">
      <c r="A1531">
        <v>122423</v>
      </c>
      <c r="B1531" t="s">
        <v>2217</v>
      </c>
      <c r="C1531" t="s">
        <v>3289</v>
      </c>
    </row>
    <row r="1532" spans="1:3" x14ac:dyDescent="0.15">
      <c r="A1532">
        <v>122424</v>
      </c>
      <c r="B1532" t="s">
        <v>2217</v>
      </c>
      <c r="C1532" t="s">
        <v>3290</v>
      </c>
    </row>
    <row r="1533" spans="1:3" x14ac:dyDescent="0.15">
      <c r="A1533">
        <v>122425</v>
      </c>
      <c r="B1533" t="s">
        <v>2217</v>
      </c>
      <c r="C1533" t="s">
        <v>3291</v>
      </c>
    </row>
    <row r="1534" spans="1:3" x14ac:dyDescent="0.15">
      <c r="A1534">
        <v>122426</v>
      </c>
      <c r="B1534" t="s">
        <v>2217</v>
      </c>
      <c r="C1534" t="s">
        <v>3292</v>
      </c>
    </row>
    <row r="1535" spans="1:3" x14ac:dyDescent="0.15">
      <c r="A1535">
        <v>122427</v>
      </c>
      <c r="B1535" t="s">
        <v>2217</v>
      </c>
      <c r="C1535" t="s">
        <v>3293</v>
      </c>
    </row>
    <row r="1536" spans="1:3" x14ac:dyDescent="0.15">
      <c r="A1536">
        <v>122428</v>
      </c>
      <c r="B1536" t="s">
        <v>2217</v>
      </c>
      <c r="C1536" t="s">
        <v>3294</v>
      </c>
    </row>
    <row r="1537" spans="1:3" x14ac:dyDescent="0.15">
      <c r="A1537">
        <v>122429</v>
      </c>
      <c r="B1537" t="s">
        <v>2217</v>
      </c>
      <c r="C1537" t="s">
        <v>3295</v>
      </c>
    </row>
    <row r="1538" spans="1:3" x14ac:dyDescent="0.15">
      <c r="A1538">
        <v>122430</v>
      </c>
      <c r="B1538" t="s">
        <v>2217</v>
      </c>
      <c r="C1538" t="s">
        <v>3296</v>
      </c>
    </row>
    <row r="1539" spans="1:3" x14ac:dyDescent="0.15">
      <c r="A1539">
        <v>122431</v>
      </c>
      <c r="B1539" t="s">
        <v>2217</v>
      </c>
      <c r="C1539" t="s">
        <v>3297</v>
      </c>
    </row>
    <row r="1540" spans="1:3" x14ac:dyDescent="0.15">
      <c r="A1540">
        <v>122432</v>
      </c>
      <c r="B1540" t="s">
        <v>2217</v>
      </c>
      <c r="C1540" t="s">
        <v>3298</v>
      </c>
    </row>
    <row r="1541" spans="1:3" x14ac:dyDescent="0.15">
      <c r="A1541">
        <v>122433</v>
      </c>
      <c r="B1541" t="s">
        <v>2217</v>
      </c>
      <c r="C1541" t="s">
        <v>3299</v>
      </c>
    </row>
    <row r="1542" spans="1:3" x14ac:dyDescent="0.15">
      <c r="A1542">
        <v>122434</v>
      </c>
      <c r="B1542" t="s">
        <v>2217</v>
      </c>
      <c r="C1542" t="s">
        <v>3300</v>
      </c>
    </row>
    <row r="1543" spans="1:3" x14ac:dyDescent="0.15">
      <c r="A1543">
        <v>122435</v>
      </c>
      <c r="B1543" t="s">
        <v>2217</v>
      </c>
      <c r="C1543" t="s">
        <v>3301</v>
      </c>
    </row>
    <row r="1544" spans="1:3" x14ac:dyDescent="0.15">
      <c r="A1544">
        <v>122436</v>
      </c>
      <c r="B1544" t="s">
        <v>2217</v>
      </c>
      <c r="C1544" t="s">
        <v>3302</v>
      </c>
    </row>
    <row r="1545" spans="1:3" x14ac:dyDescent="0.15">
      <c r="A1545">
        <v>122437</v>
      </c>
      <c r="B1545" t="s">
        <v>2217</v>
      </c>
      <c r="C1545" t="s">
        <v>3303</v>
      </c>
    </row>
    <row r="1546" spans="1:3" x14ac:dyDescent="0.15">
      <c r="A1546">
        <v>122438</v>
      </c>
      <c r="B1546" t="s">
        <v>2217</v>
      </c>
      <c r="C1546" t="s">
        <v>3304</v>
      </c>
    </row>
    <row r="1547" spans="1:3" x14ac:dyDescent="0.15">
      <c r="A1547">
        <v>122439</v>
      </c>
      <c r="B1547" t="s">
        <v>2217</v>
      </c>
      <c r="C1547" t="s">
        <v>3305</v>
      </c>
    </row>
    <row r="1548" spans="1:3" x14ac:dyDescent="0.15">
      <c r="A1548">
        <v>122440</v>
      </c>
      <c r="B1548" t="s">
        <v>2217</v>
      </c>
      <c r="C1548" t="s">
        <v>3306</v>
      </c>
    </row>
    <row r="1549" spans="1:3" x14ac:dyDescent="0.15">
      <c r="A1549">
        <v>122441</v>
      </c>
      <c r="B1549" t="s">
        <v>2217</v>
      </c>
      <c r="C1549" t="s">
        <v>3307</v>
      </c>
    </row>
    <row r="1550" spans="1:3" x14ac:dyDescent="0.15">
      <c r="A1550">
        <v>122442</v>
      </c>
      <c r="B1550" t="s">
        <v>2217</v>
      </c>
      <c r="C1550" t="s">
        <v>3308</v>
      </c>
    </row>
    <row r="1551" spans="1:3" x14ac:dyDescent="0.15">
      <c r="A1551">
        <v>122443</v>
      </c>
      <c r="B1551" t="s">
        <v>2217</v>
      </c>
      <c r="C1551" t="s">
        <v>3309</v>
      </c>
    </row>
    <row r="1552" spans="1:3" x14ac:dyDescent="0.15">
      <c r="A1552">
        <v>122444</v>
      </c>
      <c r="B1552" t="s">
        <v>2217</v>
      </c>
      <c r="C1552" t="s">
        <v>3310</v>
      </c>
    </row>
    <row r="1553" spans="1:3" x14ac:dyDescent="0.15">
      <c r="A1553">
        <v>122445</v>
      </c>
      <c r="B1553" t="s">
        <v>2217</v>
      </c>
      <c r="C1553" t="s">
        <v>3311</v>
      </c>
    </row>
    <row r="1554" spans="1:3" x14ac:dyDescent="0.15">
      <c r="A1554">
        <v>122446</v>
      </c>
      <c r="B1554" t="s">
        <v>2217</v>
      </c>
      <c r="C1554" t="s">
        <v>3312</v>
      </c>
    </row>
    <row r="1555" spans="1:3" x14ac:dyDescent="0.15">
      <c r="A1555">
        <v>122447</v>
      </c>
      <c r="B1555" t="s">
        <v>2217</v>
      </c>
      <c r="C1555" t="s">
        <v>3313</v>
      </c>
    </row>
    <row r="1556" spans="1:3" x14ac:dyDescent="0.15">
      <c r="A1556">
        <v>122448</v>
      </c>
      <c r="B1556" t="s">
        <v>2217</v>
      </c>
      <c r="C1556" t="s">
        <v>3314</v>
      </c>
    </row>
    <row r="1557" spans="1:3" x14ac:dyDescent="0.15">
      <c r="A1557">
        <v>122449</v>
      </c>
      <c r="B1557" t="s">
        <v>2217</v>
      </c>
      <c r="C1557" t="s">
        <v>3315</v>
      </c>
    </row>
    <row r="1558" spans="1:3" x14ac:dyDescent="0.15">
      <c r="A1558">
        <v>122450</v>
      </c>
      <c r="B1558" t="s">
        <v>2217</v>
      </c>
      <c r="C1558" t="s">
        <v>3316</v>
      </c>
    </row>
    <row r="1559" spans="1:3" x14ac:dyDescent="0.15">
      <c r="A1559">
        <v>122451</v>
      </c>
      <c r="B1559" t="s">
        <v>2217</v>
      </c>
      <c r="C1559" t="s">
        <v>3317</v>
      </c>
    </row>
    <row r="1560" spans="1:3" x14ac:dyDescent="0.15">
      <c r="A1560">
        <v>122452</v>
      </c>
      <c r="B1560" t="s">
        <v>2217</v>
      </c>
      <c r="C1560" t="s">
        <v>3318</v>
      </c>
    </row>
    <row r="1561" spans="1:3" x14ac:dyDescent="0.15">
      <c r="A1561">
        <v>122453</v>
      </c>
      <c r="B1561" t="s">
        <v>2217</v>
      </c>
      <c r="C1561" t="s">
        <v>3319</v>
      </c>
    </row>
    <row r="1562" spans="1:3" x14ac:dyDescent="0.15">
      <c r="A1562">
        <v>122454</v>
      </c>
      <c r="B1562" t="s">
        <v>2217</v>
      </c>
      <c r="C1562" t="s">
        <v>3320</v>
      </c>
    </row>
    <row r="1563" spans="1:3" x14ac:dyDescent="0.15">
      <c r="A1563">
        <v>122455</v>
      </c>
      <c r="B1563" t="s">
        <v>2217</v>
      </c>
      <c r="C1563" t="s">
        <v>3321</v>
      </c>
    </row>
    <row r="1564" spans="1:3" x14ac:dyDescent="0.15">
      <c r="A1564">
        <v>122456</v>
      </c>
      <c r="B1564" t="s">
        <v>2217</v>
      </c>
      <c r="C1564" t="s">
        <v>3322</v>
      </c>
    </row>
    <row r="1565" spans="1:3" x14ac:dyDescent="0.15">
      <c r="A1565">
        <v>122457</v>
      </c>
      <c r="B1565" t="s">
        <v>2217</v>
      </c>
      <c r="C1565" t="s">
        <v>3323</v>
      </c>
    </row>
    <row r="1566" spans="1:3" x14ac:dyDescent="0.15">
      <c r="A1566">
        <v>122458</v>
      </c>
      <c r="B1566" t="s">
        <v>2217</v>
      </c>
      <c r="C1566" t="s">
        <v>3324</v>
      </c>
    </row>
    <row r="1567" spans="1:3" x14ac:dyDescent="0.15">
      <c r="A1567">
        <v>122459</v>
      </c>
      <c r="B1567" t="s">
        <v>2217</v>
      </c>
      <c r="C1567" t="s">
        <v>3325</v>
      </c>
    </row>
    <row r="1568" spans="1:3" x14ac:dyDescent="0.15">
      <c r="A1568">
        <v>122460</v>
      </c>
      <c r="B1568" t="s">
        <v>2217</v>
      </c>
      <c r="C1568" t="s">
        <v>3326</v>
      </c>
    </row>
    <row r="1569" spans="1:3" x14ac:dyDescent="0.15">
      <c r="A1569">
        <v>122461</v>
      </c>
      <c r="B1569" t="s">
        <v>2217</v>
      </c>
      <c r="C1569" t="s">
        <v>3327</v>
      </c>
    </row>
    <row r="1570" spans="1:3" x14ac:dyDescent="0.15">
      <c r="A1570">
        <v>122462</v>
      </c>
      <c r="B1570" t="s">
        <v>2217</v>
      </c>
      <c r="C1570" t="s">
        <v>3328</v>
      </c>
    </row>
    <row r="1571" spans="1:3" x14ac:dyDescent="0.15">
      <c r="A1571">
        <v>122463</v>
      </c>
      <c r="B1571" t="s">
        <v>2217</v>
      </c>
      <c r="C1571" t="s">
        <v>3329</v>
      </c>
    </row>
    <row r="1572" spans="1:3" x14ac:dyDescent="0.15">
      <c r="A1572">
        <v>122464</v>
      </c>
      <c r="B1572" t="s">
        <v>2217</v>
      </c>
      <c r="C1572" t="s">
        <v>3330</v>
      </c>
    </row>
    <row r="1573" spans="1:3" x14ac:dyDescent="0.15">
      <c r="A1573">
        <v>122465</v>
      </c>
      <c r="B1573" t="s">
        <v>2217</v>
      </c>
      <c r="C1573" t="s">
        <v>3331</v>
      </c>
    </row>
    <row r="1574" spans="1:3" x14ac:dyDescent="0.15">
      <c r="A1574">
        <v>122466</v>
      </c>
      <c r="B1574" t="s">
        <v>2217</v>
      </c>
      <c r="C1574" t="s">
        <v>3332</v>
      </c>
    </row>
    <row r="1575" spans="1:3" x14ac:dyDescent="0.15">
      <c r="A1575">
        <v>122467</v>
      </c>
      <c r="B1575" t="s">
        <v>2217</v>
      </c>
      <c r="C1575" t="s">
        <v>3333</v>
      </c>
    </row>
    <row r="1576" spans="1:3" x14ac:dyDescent="0.15">
      <c r="A1576">
        <v>122468</v>
      </c>
      <c r="B1576" t="s">
        <v>2217</v>
      </c>
      <c r="C1576" t="s">
        <v>3334</v>
      </c>
    </row>
    <row r="1577" spans="1:3" x14ac:dyDescent="0.15">
      <c r="A1577">
        <v>122469</v>
      </c>
      <c r="B1577" t="s">
        <v>2217</v>
      </c>
      <c r="C1577" t="s">
        <v>3335</v>
      </c>
    </row>
    <row r="1578" spans="1:3" x14ac:dyDescent="0.15">
      <c r="A1578">
        <v>122470</v>
      </c>
      <c r="B1578" t="s">
        <v>2217</v>
      </c>
      <c r="C1578" t="s">
        <v>3336</v>
      </c>
    </row>
    <row r="1579" spans="1:3" x14ac:dyDescent="0.15">
      <c r="A1579">
        <v>122471</v>
      </c>
      <c r="B1579" t="s">
        <v>2217</v>
      </c>
      <c r="C1579" t="s">
        <v>3337</v>
      </c>
    </row>
    <row r="1580" spans="1:3" x14ac:dyDescent="0.15">
      <c r="A1580">
        <v>122472</v>
      </c>
      <c r="B1580" t="s">
        <v>2217</v>
      </c>
      <c r="C1580" t="s">
        <v>3338</v>
      </c>
    </row>
    <row r="1581" spans="1:3" x14ac:dyDescent="0.15">
      <c r="A1581">
        <v>122473</v>
      </c>
      <c r="B1581" t="s">
        <v>2217</v>
      </c>
      <c r="C1581" t="s">
        <v>3339</v>
      </c>
    </row>
    <row r="1582" spans="1:3" x14ac:dyDescent="0.15">
      <c r="A1582">
        <v>122474</v>
      </c>
      <c r="B1582" t="s">
        <v>2217</v>
      </c>
      <c r="C1582" t="s">
        <v>3340</v>
      </c>
    </row>
    <row r="1583" spans="1:3" x14ac:dyDescent="0.15">
      <c r="A1583">
        <v>122475</v>
      </c>
      <c r="B1583" t="s">
        <v>2217</v>
      </c>
      <c r="C1583" t="s">
        <v>3341</v>
      </c>
    </row>
    <row r="1584" spans="1:3" x14ac:dyDescent="0.15">
      <c r="A1584">
        <v>122476</v>
      </c>
      <c r="B1584" t="s">
        <v>2217</v>
      </c>
      <c r="C1584" t="s">
        <v>3342</v>
      </c>
    </row>
    <row r="1585" spans="1:3" x14ac:dyDescent="0.15">
      <c r="A1585">
        <v>122477</v>
      </c>
      <c r="B1585" t="s">
        <v>2217</v>
      </c>
      <c r="C1585" t="s">
        <v>3343</v>
      </c>
    </row>
    <row r="1586" spans="1:3" x14ac:dyDescent="0.15">
      <c r="A1586">
        <v>122478</v>
      </c>
      <c r="B1586" t="s">
        <v>2217</v>
      </c>
      <c r="C1586" t="s">
        <v>3344</v>
      </c>
    </row>
    <row r="1587" spans="1:3" x14ac:dyDescent="0.15">
      <c r="A1587">
        <v>122479</v>
      </c>
      <c r="B1587" t="s">
        <v>2217</v>
      </c>
      <c r="C1587" t="s">
        <v>3345</v>
      </c>
    </row>
    <row r="1588" spans="1:3" x14ac:dyDescent="0.15">
      <c r="A1588">
        <v>122480</v>
      </c>
      <c r="B1588" t="s">
        <v>2217</v>
      </c>
      <c r="C1588" t="s">
        <v>3346</v>
      </c>
    </row>
    <row r="1589" spans="1:3" x14ac:dyDescent="0.15">
      <c r="A1589">
        <v>122481</v>
      </c>
      <c r="B1589" t="s">
        <v>2217</v>
      </c>
      <c r="C1589" t="s">
        <v>3347</v>
      </c>
    </row>
    <row r="1590" spans="1:3" x14ac:dyDescent="0.15">
      <c r="A1590">
        <v>122482</v>
      </c>
      <c r="B1590" t="s">
        <v>2217</v>
      </c>
      <c r="C1590" t="s">
        <v>3348</v>
      </c>
    </row>
    <row r="1591" spans="1:3" x14ac:dyDescent="0.15">
      <c r="A1591">
        <v>122483</v>
      </c>
      <c r="B1591" t="s">
        <v>2217</v>
      </c>
      <c r="C1591" t="s">
        <v>3349</v>
      </c>
    </row>
    <row r="1592" spans="1:3" x14ac:dyDescent="0.15">
      <c r="A1592">
        <v>122484</v>
      </c>
      <c r="B1592" t="s">
        <v>2217</v>
      </c>
      <c r="C1592" t="s">
        <v>3350</v>
      </c>
    </row>
    <row r="1593" spans="1:3" x14ac:dyDescent="0.15">
      <c r="A1593">
        <v>122485</v>
      </c>
      <c r="B1593" t="s">
        <v>2217</v>
      </c>
      <c r="C1593" t="s">
        <v>3351</v>
      </c>
    </row>
    <row r="1594" spans="1:3" x14ac:dyDescent="0.15">
      <c r="A1594">
        <v>122486</v>
      </c>
      <c r="B1594" t="s">
        <v>2217</v>
      </c>
      <c r="C1594" t="s">
        <v>3352</v>
      </c>
    </row>
    <row r="1595" spans="1:3" x14ac:dyDescent="0.15">
      <c r="A1595">
        <v>122487</v>
      </c>
      <c r="B1595" t="s">
        <v>2217</v>
      </c>
      <c r="C1595" t="s">
        <v>3353</v>
      </c>
    </row>
    <row r="1596" spans="1:3" x14ac:dyDescent="0.15">
      <c r="A1596">
        <v>122488</v>
      </c>
      <c r="B1596" t="s">
        <v>2217</v>
      </c>
      <c r="C1596" t="s">
        <v>3354</v>
      </c>
    </row>
    <row r="1597" spans="1:3" x14ac:dyDescent="0.15">
      <c r="A1597">
        <v>122489</v>
      </c>
      <c r="B1597" t="s">
        <v>2217</v>
      </c>
      <c r="C1597" t="s">
        <v>3355</v>
      </c>
    </row>
    <row r="1598" spans="1:3" x14ac:dyDescent="0.15">
      <c r="A1598">
        <v>122490</v>
      </c>
      <c r="B1598" t="s">
        <v>2217</v>
      </c>
      <c r="C1598" t="s">
        <v>3356</v>
      </c>
    </row>
    <row r="1599" spans="1:3" x14ac:dyDescent="0.15">
      <c r="A1599">
        <v>122491</v>
      </c>
      <c r="B1599" t="s">
        <v>2217</v>
      </c>
      <c r="C1599" t="s">
        <v>3357</v>
      </c>
    </row>
    <row r="1600" spans="1:3" x14ac:dyDescent="0.15">
      <c r="A1600">
        <v>122492</v>
      </c>
      <c r="B1600" t="s">
        <v>2217</v>
      </c>
      <c r="C1600" t="s">
        <v>3358</v>
      </c>
    </row>
    <row r="1601" spans="1:3" x14ac:dyDescent="0.15">
      <c r="A1601">
        <v>122493</v>
      </c>
      <c r="B1601" t="s">
        <v>2217</v>
      </c>
      <c r="C1601" t="s">
        <v>3359</v>
      </c>
    </row>
    <row r="1602" spans="1:3" x14ac:dyDescent="0.15">
      <c r="A1602">
        <v>122494</v>
      </c>
      <c r="B1602" t="s">
        <v>2217</v>
      </c>
      <c r="C1602" t="s">
        <v>3360</v>
      </c>
    </row>
    <row r="1603" spans="1:3" x14ac:dyDescent="0.15">
      <c r="A1603">
        <v>122495</v>
      </c>
      <c r="B1603" t="s">
        <v>2217</v>
      </c>
      <c r="C1603" t="s">
        <v>3361</v>
      </c>
    </row>
    <row r="1604" spans="1:3" x14ac:dyDescent="0.15">
      <c r="A1604">
        <v>122496</v>
      </c>
      <c r="B1604" t="s">
        <v>2217</v>
      </c>
      <c r="C1604" t="s">
        <v>3362</v>
      </c>
    </row>
    <row r="1605" spans="1:3" x14ac:dyDescent="0.15">
      <c r="A1605">
        <v>122497</v>
      </c>
      <c r="B1605" t="s">
        <v>2217</v>
      </c>
      <c r="C1605" t="s">
        <v>3363</v>
      </c>
    </row>
    <row r="1606" spans="1:3" x14ac:dyDescent="0.15">
      <c r="A1606">
        <v>122498</v>
      </c>
      <c r="B1606" t="s">
        <v>2217</v>
      </c>
      <c r="C1606" t="s">
        <v>3364</v>
      </c>
    </row>
    <row r="1607" spans="1:3" x14ac:dyDescent="0.15">
      <c r="A1607">
        <v>122499</v>
      </c>
      <c r="B1607" t="s">
        <v>2217</v>
      </c>
      <c r="C1607" t="s">
        <v>3365</v>
      </c>
    </row>
    <row r="1608" spans="1:3" x14ac:dyDescent="0.15">
      <c r="A1608">
        <v>122500</v>
      </c>
      <c r="B1608" t="s">
        <v>2217</v>
      </c>
      <c r="C1608" t="s">
        <v>3366</v>
      </c>
    </row>
    <row r="1609" spans="1:3" x14ac:dyDescent="0.15">
      <c r="A1609">
        <v>122501</v>
      </c>
      <c r="B1609" t="s">
        <v>2217</v>
      </c>
      <c r="C1609" t="s">
        <v>3367</v>
      </c>
    </row>
    <row r="1610" spans="1:3" x14ac:dyDescent="0.15">
      <c r="A1610">
        <v>122502</v>
      </c>
      <c r="B1610" t="s">
        <v>2217</v>
      </c>
      <c r="C1610" t="s">
        <v>3368</v>
      </c>
    </row>
    <row r="1611" spans="1:3" x14ac:dyDescent="0.15">
      <c r="A1611">
        <v>122503</v>
      </c>
      <c r="B1611" t="s">
        <v>2217</v>
      </c>
      <c r="C1611" t="s">
        <v>3369</v>
      </c>
    </row>
    <row r="1612" spans="1:3" x14ac:dyDescent="0.15">
      <c r="A1612">
        <v>122504</v>
      </c>
      <c r="B1612" t="s">
        <v>2217</v>
      </c>
      <c r="C1612" t="s">
        <v>3370</v>
      </c>
    </row>
    <row r="1613" spans="1:3" x14ac:dyDescent="0.15">
      <c r="A1613">
        <v>122505</v>
      </c>
      <c r="B1613" t="s">
        <v>2217</v>
      </c>
      <c r="C1613" t="s">
        <v>3371</v>
      </c>
    </row>
    <row r="1614" spans="1:3" x14ac:dyDescent="0.15">
      <c r="A1614">
        <v>122506</v>
      </c>
      <c r="B1614" t="s">
        <v>2217</v>
      </c>
      <c r="C1614" t="s">
        <v>3372</v>
      </c>
    </row>
    <row r="1615" spans="1:3" x14ac:dyDescent="0.15">
      <c r="A1615">
        <v>122507</v>
      </c>
      <c r="B1615" t="s">
        <v>2217</v>
      </c>
      <c r="C1615" t="s">
        <v>3373</v>
      </c>
    </row>
    <row r="1616" spans="1:3" x14ac:dyDescent="0.15">
      <c r="A1616">
        <v>122508</v>
      </c>
      <c r="B1616" t="s">
        <v>2217</v>
      </c>
      <c r="C1616" t="s">
        <v>3374</v>
      </c>
    </row>
    <row r="1617" spans="1:3" x14ac:dyDescent="0.15">
      <c r="A1617">
        <v>122509</v>
      </c>
      <c r="B1617" t="s">
        <v>2217</v>
      </c>
      <c r="C1617" t="s">
        <v>3375</v>
      </c>
    </row>
    <row r="1618" spans="1:3" x14ac:dyDescent="0.15">
      <c r="A1618">
        <v>122510</v>
      </c>
      <c r="B1618" t="s">
        <v>2217</v>
      </c>
      <c r="C1618" t="s">
        <v>3376</v>
      </c>
    </row>
    <row r="1619" spans="1:3" x14ac:dyDescent="0.15">
      <c r="A1619">
        <v>122511</v>
      </c>
      <c r="B1619" t="s">
        <v>2217</v>
      </c>
      <c r="C1619" t="s">
        <v>3377</v>
      </c>
    </row>
    <row r="1620" spans="1:3" x14ac:dyDescent="0.15">
      <c r="A1620">
        <v>122512</v>
      </c>
      <c r="B1620" t="s">
        <v>2217</v>
      </c>
      <c r="C1620" t="s">
        <v>3378</v>
      </c>
    </row>
    <row r="1621" spans="1:3" x14ac:dyDescent="0.15">
      <c r="A1621">
        <v>122513</v>
      </c>
      <c r="B1621" t="s">
        <v>2217</v>
      </c>
      <c r="C1621" t="s">
        <v>3379</v>
      </c>
    </row>
    <row r="1622" spans="1:3" x14ac:dyDescent="0.15">
      <c r="A1622">
        <v>122514</v>
      </c>
      <c r="B1622" t="s">
        <v>2217</v>
      </c>
      <c r="C1622" t="s">
        <v>3380</v>
      </c>
    </row>
    <row r="1623" spans="1:3" x14ac:dyDescent="0.15">
      <c r="A1623">
        <v>122515</v>
      </c>
      <c r="B1623" t="s">
        <v>2217</v>
      </c>
      <c r="C1623" t="s">
        <v>3381</v>
      </c>
    </row>
    <row r="1624" spans="1:3" x14ac:dyDescent="0.15">
      <c r="A1624">
        <v>122516</v>
      </c>
      <c r="B1624" t="s">
        <v>2217</v>
      </c>
      <c r="C1624" t="s">
        <v>3382</v>
      </c>
    </row>
    <row r="1625" spans="1:3" x14ac:dyDescent="0.15">
      <c r="A1625">
        <v>122517</v>
      </c>
      <c r="B1625" t="s">
        <v>2217</v>
      </c>
      <c r="C1625" t="s">
        <v>3383</v>
      </c>
    </row>
    <row r="1626" spans="1:3" x14ac:dyDescent="0.15">
      <c r="A1626">
        <v>122518</v>
      </c>
      <c r="B1626" t="s">
        <v>2217</v>
      </c>
      <c r="C1626" t="s">
        <v>3384</v>
      </c>
    </row>
    <row r="1627" spans="1:3" x14ac:dyDescent="0.15">
      <c r="A1627">
        <v>122519</v>
      </c>
      <c r="B1627" t="s">
        <v>2217</v>
      </c>
      <c r="C1627" t="s">
        <v>3385</v>
      </c>
    </row>
    <row r="1628" spans="1:3" x14ac:dyDescent="0.15">
      <c r="A1628">
        <v>122520</v>
      </c>
      <c r="B1628" t="s">
        <v>2217</v>
      </c>
      <c r="C1628" t="s">
        <v>3386</v>
      </c>
    </row>
    <row r="1629" spans="1:3" x14ac:dyDescent="0.15">
      <c r="A1629">
        <v>122521</v>
      </c>
      <c r="B1629" t="s">
        <v>2217</v>
      </c>
      <c r="C1629" t="s">
        <v>3387</v>
      </c>
    </row>
    <row r="1630" spans="1:3" x14ac:dyDescent="0.15">
      <c r="A1630">
        <v>122522</v>
      </c>
      <c r="B1630" t="s">
        <v>2217</v>
      </c>
      <c r="C1630" t="s">
        <v>3388</v>
      </c>
    </row>
    <row r="1631" spans="1:3" x14ac:dyDescent="0.15">
      <c r="A1631">
        <v>122523</v>
      </c>
      <c r="B1631" t="s">
        <v>2217</v>
      </c>
      <c r="C1631" t="s">
        <v>3389</v>
      </c>
    </row>
    <row r="1632" spans="1:3" x14ac:dyDescent="0.15">
      <c r="A1632">
        <v>122524</v>
      </c>
      <c r="B1632" t="s">
        <v>2217</v>
      </c>
      <c r="C1632" t="s">
        <v>3390</v>
      </c>
    </row>
    <row r="1633" spans="1:3" x14ac:dyDescent="0.15">
      <c r="A1633">
        <v>122525</v>
      </c>
      <c r="B1633" t="s">
        <v>2217</v>
      </c>
      <c r="C1633" t="s">
        <v>3391</v>
      </c>
    </row>
    <row r="1634" spans="1:3" x14ac:dyDescent="0.15">
      <c r="A1634">
        <v>122526</v>
      </c>
      <c r="B1634" t="s">
        <v>2217</v>
      </c>
      <c r="C1634" t="s">
        <v>3392</v>
      </c>
    </row>
    <row r="1635" spans="1:3" x14ac:dyDescent="0.15">
      <c r="A1635">
        <v>122527</v>
      </c>
      <c r="B1635" t="s">
        <v>2217</v>
      </c>
      <c r="C1635" t="s">
        <v>3393</v>
      </c>
    </row>
    <row r="1636" spans="1:3" x14ac:dyDescent="0.15">
      <c r="A1636">
        <v>10001</v>
      </c>
      <c r="B1636" t="s">
        <v>1956</v>
      </c>
      <c r="C1636" t="s">
        <v>3662</v>
      </c>
    </row>
    <row r="1637" spans="1:3" x14ac:dyDescent="0.15">
      <c r="A1637">
        <v>10002</v>
      </c>
      <c r="B1637" t="s">
        <v>1956</v>
      </c>
      <c r="C1637" t="s">
        <v>3663</v>
      </c>
    </row>
    <row r="1638" spans="1:3" x14ac:dyDescent="0.15">
      <c r="A1638">
        <v>10003</v>
      </c>
      <c r="B1638" t="s">
        <v>1956</v>
      </c>
      <c r="C1638" t="s">
        <v>3664</v>
      </c>
    </row>
    <row r="1639" spans="1:3" x14ac:dyDescent="0.15">
      <c r="A1639">
        <v>10004</v>
      </c>
      <c r="B1639" t="s">
        <v>1956</v>
      </c>
      <c r="C1639" t="s">
        <v>3665</v>
      </c>
    </row>
    <row r="1640" spans="1:3" x14ac:dyDescent="0.15">
      <c r="A1640">
        <v>10005</v>
      </c>
      <c r="B1640" t="s">
        <v>1956</v>
      </c>
      <c r="C1640" t="s">
        <v>3666</v>
      </c>
    </row>
    <row r="1641" spans="1:3" x14ac:dyDescent="0.15">
      <c r="A1641">
        <v>10006</v>
      </c>
      <c r="B1641" t="s">
        <v>1956</v>
      </c>
      <c r="C1641" t="s">
        <v>3667</v>
      </c>
    </row>
    <row r="1642" spans="1:3" x14ac:dyDescent="0.15">
      <c r="A1642">
        <v>10007</v>
      </c>
      <c r="B1642" t="s">
        <v>1956</v>
      </c>
      <c r="C1642" t="s">
        <v>3668</v>
      </c>
    </row>
    <row r="1643" spans="1:3" x14ac:dyDescent="0.15">
      <c r="A1643">
        <v>10008</v>
      </c>
      <c r="B1643" t="s">
        <v>1956</v>
      </c>
      <c r="C1643" t="s">
        <v>3669</v>
      </c>
    </row>
    <row r="1644" spans="1:3" x14ac:dyDescent="0.15">
      <c r="A1644">
        <v>51001</v>
      </c>
      <c r="B1644" t="s">
        <v>3670</v>
      </c>
      <c r="C1644" t="s">
        <v>3671</v>
      </c>
    </row>
    <row r="1645" spans="1:3" x14ac:dyDescent="0.15">
      <c r="A1645">
        <v>51002</v>
      </c>
      <c r="B1645" t="s">
        <v>3670</v>
      </c>
      <c r="C1645" t="s">
        <v>3672</v>
      </c>
    </row>
    <row r="1646" spans="1:3" x14ac:dyDescent="0.15">
      <c r="A1646">
        <v>51003</v>
      </c>
      <c r="B1646" t="s">
        <v>3670</v>
      </c>
      <c r="C1646" t="s">
        <v>3673</v>
      </c>
    </row>
    <row r="1647" spans="1:3" x14ac:dyDescent="0.15">
      <c r="A1647">
        <v>51004</v>
      </c>
      <c r="B1647" t="s">
        <v>3670</v>
      </c>
      <c r="C1647" t="s">
        <v>3674</v>
      </c>
    </row>
    <row r="1648" spans="1:3" x14ac:dyDescent="0.15">
      <c r="A1648">
        <v>51005</v>
      </c>
      <c r="B1648" t="s">
        <v>3670</v>
      </c>
      <c r="C1648" t="s">
        <v>3675</v>
      </c>
    </row>
    <row r="1649" spans="1:3" x14ac:dyDescent="0.15">
      <c r="A1649">
        <v>51006</v>
      </c>
      <c r="B1649" t="s">
        <v>3670</v>
      </c>
      <c r="C1649" t="s">
        <v>3676</v>
      </c>
    </row>
    <row r="1650" spans="1:3" x14ac:dyDescent="0.15">
      <c r="A1650">
        <v>51007</v>
      </c>
      <c r="B1650" t="s">
        <v>3670</v>
      </c>
      <c r="C1650" t="s">
        <v>3677</v>
      </c>
    </row>
    <row r="1651" spans="1:3" x14ac:dyDescent="0.15">
      <c r="A1651">
        <v>51008</v>
      </c>
      <c r="B1651" t="s">
        <v>3670</v>
      </c>
      <c r="C1651" t="s">
        <v>3678</v>
      </c>
    </row>
    <row r="1652" spans="1:3" x14ac:dyDescent="0.15">
      <c r="A1652">
        <v>51009</v>
      </c>
      <c r="B1652" t="s">
        <v>3670</v>
      </c>
      <c r="C1652" t="s">
        <v>3679</v>
      </c>
    </row>
    <row r="1653" spans="1:3" x14ac:dyDescent="0.15">
      <c r="A1653">
        <v>51010</v>
      </c>
      <c r="B1653" t="s">
        <v>3670</v>
      </c>
      <c r="C1653" t="s">
        <v>3680</v>
      </c>
    </row>
    <row r="1654" spans="1:3" x14ac:dyDescent="0.15">
      <c r="A1654">
        <v>51011</v>
      </c>
      <c r="B1654" t="s">
        <v>3670</v>
      </c>
      <c r="C1654" t="s">
        <v>3681</v>
      </c>
    </row>
    <row r="1655" spans="1:3" x14ac:dyDescent="0.15">
      <c r="A1655">
        <v>51012</v>
      </c>
      <c r="B1655" t="s">
        <v>3670</v>
      </c>
      <c r="C1655" t="s">
        <v>3682</v>
      </c>
    </row>
    <row r="1656" spans="1:3" x14ac:dyDescent="0.15">
      <c r="A1656">
        <v>51013</v>
      </c>
      <c r="B1656" t="s">
        <v>3670</v>
      </c>
      <c r="C1656" t="s">
        <v>3683</v>
      </c>
    </row>
    <row r="1657" spans="1:3" x14ac:dyDescent="0.15">
      <c r="A1657">
        <v>51014</v>
      </c>
      <c r="B1657" t="s">
        <v>3670</v>
      </c>
      <c r="C1657" t="s">
        <v>3684</v>
      </c>
    </row>
    <row r="1658" spans="1:3" x14ac:dyDescent="0.15">
      <c r="A1658">
        <v>51015</v>
      </c>
      <c r="B1658" t="s">
        <v>3670</v>
      </c>
      <c r="C1658" t="s">
        <v>3685</v>
      </c>
    </row>
    <row r="1659" spans="1:3" x14ac:dyDescent="0.15">
      <c r="A1659">
        <v>51016</v>
      </c>
      <c r="B1659" t="s">
        <v>3670</v>
      </c>
      <c r="C1659" t="s">
        <v>3686</v>
      </c>
    </row>
    <row r="1660" spans="1:3" x14ac:dyDescent="0.15">
      <c r="A1660">
        <v>51017</v>
      </c>
      <c r="B1660" t="s">
        <v>3670</v>
      </c>
      <c r="C1660" t="s">
        <v>3687</v>
      </c>
    </row>
    <row r="1661" spans="1:3" x14ac:dyDescent="0.15">
      <c r="A1661">
        <v>51018</v>
      </c>
      <c r="B1661" t="s">
        <v>3670</v>
      </c>
      <c r="C1661" t="s">
        <v>3688</v>
      </c>
    </row>
    <row r="1662" spans="1:3" x14ac:dyDescent="0.15">
      <c r="A1662">
        <v>51019</v>
      </c>
      <c r="B1662" t="s">
        <v>3670</v>
      </c>
      <c r="C1662" t="s">
        <v>3689</v>
      </c>
    </row>
    <row r="1663" spans="1:3" x14ac:dyDescent="0.15">
      <c r="A1663">
        <v>51020</v>
      </c>
      <c r="B1663" t="s">
        <v>3670</v>
      </c>
      <c r="C1663" t="s">
        <v>3690</v>
      </c>
    </row>
    <row r="1664" spans="1:3" x14ac:dyDescent="0.15">
      <c r="A1664">
        <v>51021</v>
      </c>
      <c r="B1664" t="s">
        <v>3670</v>
      </c>
      <c r="C1664" t="s">
        <v>3691</v>
      </c>
    </row>
    <row r="1665" spans="1:3" x14ac:dyDescent="0.15">
      <c r="A1665">
        <v>51022</v>
      </c>
      <c r="B1665" t="s">
        <v>3670</v>
      </c>
      <c r="C1665" t="s">
        <v>3692</v>
      </c>
    </row>
    <row r="1666" spans="1:3" x14ac:dyDescent="0.15">
      <c r="A1666">
        <v>51023</v>
      </c>
      <c r="B1666" t="s">
        <v>3670</v>
      </c>
      <c r="C1666" t="s">
        <v>3693</v>
      </c>
    </row>
    <row r="1667" spans="1:3" x14ac:dyDescent="0.15">
      <c r="A1667">
        <v>51024</v>
      </c>
      <c r="B1667" t="s">
        <v>3670</v>
      </c>
      <c r="C1667" t="s">
        <v>3694</v>
      </c>
    </row>
    <row r="1668" spans="1:3" x14ac:dyDescent="0.15">
      <c r="A1668">
        <v>51025</v>
      </c>
      <c r="B1668" t="s">
        <v>3670</v>
      </c>
      <c r="C1668" t="s">
        <v>3695</v>
      </c>
    </row>
    <row r="1669" spans="1:3" x14ac:dyDescent="0.15">
      <c r="A1669">
        <v>51026</v>
      </c>
      <c r="B1669" t="s">
        <v>3670</v>
      </c>
      <c r="C1669" t="s">
        <v>3696</v>
      </c>
    </row>
    <row r="1670" spans="1:3" x14ac:dyDescent="0.15">
      <c r="A1670">
        <v>51027</v>
      </c>
      <c r="B1670" t="s">
        <v>3670</v>
      </c>
      <c r="C1670" t="s">
        <v>3697</v>
      </c>
    </row>
    <row r="1671" spans="1:3" x14ac:dyDescent="0.15">
      <c r="A1671">
        <v>51028</v>
      </c>
      <c r="B1671" t="s">
        <v>3670</v>
      </c>
      <c r="C1671" t="s">
        <v>3698</v>
      </c>
    </row>
    <row r="1672" spans="1:3" x14ac:dyDescent="0.15">
      <c r="A1672">
        <v>51029</v>
      </c>
      <c r="B1672" t="s">
        <v>3670</v>
      </c>
      <c r="C1672" t="s">
        <v>3699</v>
      </c>
    </row>
    <row r="1673" spans="1:3" x14ac:dyDescent="0.15">
      <c r="A1673">
        <v>51030</v>
      </c>
      <c r="B1673" t="s">
        <v>3670</v>
      </c>
      <c r="C1673" t="s">
        <v>3700</v>
      </c>
    </row>
    <row r="1674" spans="1:3" x14ac:dyDescent="0.15">
      <c r="A1674">
        <v>51031</v>
      </c>
      <c r="B1674" t="s">
        <v>3670</v>
      </c>
      <c r="C1674" t="s">
        <v>3701</v>
      </c>
    </row>
    <row r="1675" spans="1:3" x14ac:dyDescent="0.15">
      <c r="A1675">
        <v>51032</v>
      </c>
      <c r="B1675" t="s">
        <v>3670</v>
      </c>
      <c r="C1675" t="s">
        <v>3702</v>
      </c>
    </row>
    <row r="1676" spans="1:3" x14ac:dyDescent="0.15">
      <c r="A1676">
        <v>51033</v>
      </c>
      <c r="B1676" t="s">
        <v>3670</v>
      </c>
      <c r="C1676" t="s">
        <v>3703</v>
      </c>
    </row>
    <row r="1677" spans="1:3" x14ac:dyDescent="0.15">
      <c r="A1677">
        <v>51034</v>
      </c>
      <c r="B1677" t="s">
        <v>3670</v>
      </c>
      <c r="C1677" t="s">
        <v>3704</v>
      </c>
    </row>
    <row r="1678" spans="1:3" x14ac:dyDescent="0.15">
      <c r="A1678">
        <v>51035</v>
      </c>
      <c r="B1678" t="s">
        <v>3670</v>
      </c>
      <c r="C1678" t="s">
        <v>3705</v>
      </c>
    </row>
    <row r="1679" spans="1:3" x14ac:dyDescent="0.15">
      <c r="A1679">
        <v>51036</v>
      </c>
      <c r="B1679" t="s">
        <v>3670</v>
      </c>
      <c r="C1679" t="s">
        <v>3706</v>
      </c>
    </row>
    <row r="1680" spans="1:3" x14ac:dyDescent="0.15">
      <c r="A1680">
        <v>51037</v>
      </c>
      <c r="B1680" t="s">
        <v>3670</v>
      </c>
      <c r="C1680" t="s">
        <v>3707</v>
      </c>
    </row>
    <row r="1681" spans="1:3" x14ac:dyDescent="0.15">
      <c r="A1681">
        <v>51038</v>
      </c>
      <c r="B1681" t="s">
        <v>3670</v>
      </c>
      <c r="C1681" t="s">
        <v>3708</v>
      </c>
    </row>
    <row r="1682" spans="1:3" x14ac:dyDescent="0.15">
      <c r="A1682">
        <v>51039</v>
      </c>
      <c r="B1682" t="s">
        <v>3670</v>
      </c>
      <c r="C1682" t="s">
        <v>3709</v>
      </c>
    </row>
    <row r="1683" spans="1:3" x14ac:dyDescent="0.15">
      <c r="A1683">
        <v>51040</v>
      </c>
      <c r="B1683" t="s">
        <v>3670</v>
      </c>
      <c r="C1683" t="s">
        <v>3710</v>
      </c>
    </row>
    <row r="1684" spans="1:3" x14ac:dyDescent="0.15">
      <c r="A1684">
        <v>51041</v>
      </c>
      <c r="B1684" t="s">
        <v>3670</v>
      </c>
      <c r="C1684" t="s">
        <v>3711</v>
      </c>
    </row>
    <row r="1685" spans="1:3" x14ac:dyDescent="0.15">
      <c r="A1685">
        <v>51042</v>
      </c>
      <c r="B1685" t="s">
        <v>3670</v>
      </c>
      <c r="C1685" t="s">
        <v>3712</v>
      </c>
    </row>
    <row r="1686" spans="1:3" x14ac:dyDescent="0.15">
      <c r="A1686">
        <v>51043</v>
      </c>
      <c r="B1686" t="s">
        <v>3670</v>
      </c>
      <c r="C1686" t="s">
        <v>3713</v>
      </c>
    </row>
    <row r="1687" spans="1:3" x14ac:dyDescent="0.15">
      <c r="A1687">
        <v>51044</v>
      </c>
      <c r="B1687" t="s">
        <v>3670</v>
      </c>
      <c r="C1687" t="s">
        <v>3714</v>
      </c>
    </row>
    <row r="1688" spans="1:3" x14ac:dyDescent="0.15">
      <c r="A1688">
        <v>51045</v>
      </c>
      <c r="B1688" t="s">
        <v>3670</v>
      </c>
      <c r="C1688" t="s">
        <v>3715</v>
      </c>
    </row>
    <row r="1689" spans="1:3" x14ac:dyDescent="0.15">
      <c r="A1689">
        <v>51046</v>
      </c>
      <c r="B1689" t="s">
        <v>3670</v>
      </c>
      <c r="C1689" t="s">
        <v>3716</v>
      </c>
    </row>
    <row r="1690" spans="1:3" x14ac:dyDescent="0.15">
      <c r="A1690">
        <v>51047</v>
      </c>
      <c r="B1690" t="s">
        <v>3670</v>
      </c>
      <c r="C1690" t="s">
        <v>3717</v>
      </c>
    </row>
    <row r="1691" spans="1:3" x14ac:dyDescent="0.15">
      <c r="A1691">
        <v>51048</v>
      </c>
      <c r="B1691" t="s">
        <v>3670</v>
      </c>
      <c r="C1691" t="s">
        <v>3718</v>
      </c>
    </row>
    <row r="1692" spans="1:3" x14ac:dyDescent="0.15">
      <c r="A1692">
        <v>51049</v>
      </c>
      <c r="B1692" t="s">
        <v>3670</v>
      </c>
      <c r="C1692" t="s">
        <v>3719</v>
      </c>
    </row>
    <row r="1693" spans="1:3" x14ac:dyDescent="0.15">
      <c r="A1693">
        <v>51050</v>
      </c>
      <c r="B1693" t="s">
        <v>3670</v>
      </c>
      <c r="C1693" t="s">
        <v>3720</v>
      </c>
    </row>
    <row r="1694" spans="1:3" x14ac:dyDescent="0.15">
      <c r="A1694">
        <v>51051</v>
      </c>
      <c r="B1694" t="s">
        <v>3670</v>
      </c>
      <c r="C1694" t="s">
        <v>3721</v>
      </c>
    </row>
    <row r="1695" spans="1:3" x14ac:dyDescent="0.15">
      <c r="A1695">
        <v>51052</v>
      </c>
      <c r="B1695" t="s">
        <v>3670</v>
      </c>
      <c r="C1695" t="s">
        <v>3722</v>
      </c>
    </row>
    <row r="1696" spans="1:3" x14ac:dyDescent="0.15">
      <c r="A1696">
        <v>51053</v>
      </c>
      <c r="B1696" t="s">
        <v>3670</v>
      </c>
      <c r="C1696" t="s">
        <v>3723</v>
      </c>
    </row>
    <row r="1697" spans="1:3" x14ac:dyDescent="0.15">
      <c r="A1697">
        <v>51054</v>
      </c>
      <c r="B1697" t="s">
        <v>3670</v>
      </c>
      <c r="C1697" t="s">
        <v>3724</v>
      </c>
    </row>
    <row r="1698" spans="1:3" x14ac:dyDescent="0.15">
      <c r="A1698">
        <v>52001</v>
      </c>
      <c r="B1698" t="s">
        <v>3670</v>
      </c>
      <c r="C1698" t="s">
        <v>3725</v>
      </c>
    </row>
    <row r="1699" spans="1:3" x14ac:dyDescent="0.15">
      <c r="A1699">
        <v>52002</v>
      </c>
      <c r="B1699" t="s">
        <v>3670</v>
      </c>
      <c r="C1699" t="s">
        <v>3726</v>
      </c>
    </row>
    <row r="1700" spans="1:3" x14ac:dyDescent="0.15">
      <c r="A1700">
        <v>52003</v>
      </c>
      <c r="B1700" t="s">
        <v>3670</v>
      </c>
      <c r="C1700" t="s">
        <v>3727</v>
      </c>
    </row>
    <row r="1701" spans="1:3" x14ac:dyDescent="0.15">
      <c r="A1701">
        <v>52004</v>
      </c>
      <c r="B1701" t="s">
        <v>3670</v>
      </c>
      <c r="C1701" t="s">
        <v>3728</v>
      </c>
    </row>
    <row r="1702" spans="1:3" x14ac:dyDescent="0.15">
      <c r="A1702">
        <v>52005</v>
      </c>
      <c r="B1702" t="s">
        <v>3670</v>
      </c>
      <c r="C1702" t="s">
        <v>3729</v>
      </c>
    </row>
    <row r="1703" spans="1:3" x14ac:dyDescent="0.15">
      <c r="A1703">
        <v>52006</v>
      </c>
      <c r="B1703" t="s">
        <v>3670</v>
      </c>
      <c r="C1703" t="s">
        <v>3730</v>
      </c>
    </row>
    <row r="1704" spans="1:3" x14ac:dyDescent="0.15">
      <c r="A1704">
        <v>52007</v>
      </c>
      <c r="B1704" t="s">
        <v>3670</v>
      </c>
      <c r="C1704" t="s">
        <v>3731</v>
      </c>
    </row>
    <row r="1705" spans="1:3" x14ac:dyDescent="0.15">
      <c r="A1705">
        <v>52008</v>
      </c>
      <c r="B1705" t="s">
        <v>3670</v>
      </c>
      <c r="C1705" t="s">
        <v>3732</v>
      </c>
    </row>
    <row r="1706" spans="1:3" x14ac:dyDescent="0.15">
      <c r="A1706">
        <v>52009</v>
      </c>
      <c r="B1706" t="s">
        <v>3670</v>
      </c>
      <c r="C1706" t="s">
        <v>3733</v>
      </c>
    </row>
    <row r="1707" spans="1:3" x14ac:dyDescent="0.15">
      <c r="A1707">
        <v>52010</v>
      </c>
      <c r="B1707" t="s">
        <v>3670</v>
      </c>
      <c r="C1707" t="s">
        <v>3734</v>
      </c>
    </row>
    <row r="1708" spans="1:3" x14ac:dyDescent="0.15">
      <c r="A1708">
        <v>52011</v>
      </c>
      <c r="B1708" t="s">
        <v>3670</v>
      </c>
      <c r="C1708" t="s">
        <v>3735</v>
      </c>
    </row>
    <row r="1709" spans="1:3" x14ac:dyDescent="0.15">
      <c r="A1709">
        <v>52012</v>
      </c>
      <c r="B1709" t="s">
        <v>3670</v>
      </c>
      <c r="C1709" t="s">
        <v>3736</v>
      </c>
    </row>
    <row r="1710" spans="1:3" x14ac:dyDescent="0.15">
      <c r="A1710">
        <v>52013</v>
      </c>
      <c r="B1710" t="s">
        <v>3670</v>
      </c>
      <c r="C1710" t="s">
        <v>3737</v>
      </c>
    </row>
    <row r="1711" spans="1:3" x14ac:dyDescent="0.15">
      <c r="A1711">
        <v>52014</v>
      </c>
      <c r="B1711" t="s">
        <v>3670</v>
      </c>
      <c r="C1711" t="s">
        <v>3738</v>
      </c>
    </row>
    <row r="1712" spans="1:3" x14ac:dyDescent="0.15">
      <c r="A1712">
        <v>52015</v>
      </c>
      <c r="B1712" t="s">
        <v>3670</v>
      </c>
      <c r="C1712" t="s">
        <v>3739</v>
      </c>
    </row>
    <row r="1713" spans="1:3" x14ac:dyDescent="0.15">
      <c r="A1713">
        <v>52016</v>
      </c>
      <c r="B1713" t="s">
        <v>3670</v>
      </c>
      <c r="C1713" t="s">
        <v>3740</v>
      </c>
    </row>
    <row r="1714" spans="1:3" x14ac:dyDescent="0.15">
      <c r="A1714">
        <v>52017</v>
      </c>
      <c r="B1714" t="s">
        <v>3670</v>
      </c>
      <c r="C1714" t="s">
        <v>3741</v>
      </c>
    </row>
    <row r="1715" spans="1:3" x14ac:dyDescent="0.15">
      <c r="A1715">
        <v>52018</v>
      </c>
      <c r="B1715" t="s">
        <v>3670</v>
      </c>
      <c r="C1715" t="s">
        <v>3742</v>
      </c>
    </row>
    <row r="1716" spans="1:3" x14ac:dyDescent="0.15">
      <c r="A1716">
        <v>52019</v>
      </c>
      <c r="B1716" t="s">
        <v>3670</v>
      </c>
      <c r="C1716" t="s">
        <v>3743</v>
      </c>
    </row>
    <row r="1717" spans="1:3" x14ac:dyDescent="0.15">
      <c r="A1717">
        <v>52020</v>
      </c>
      <c r="B1717" t="s">
        <v>3670</v>
      </c>
      <c r="C1717" t="s">
        <v>3744</v>
      </c>
    </row>
    <row r="1718" spans="1:3" x14ac:dyDescent="0.15">
      <c r="A1718">
        <v>52021</v>
      </c>
      <c r="B1718" t="s">
        <v>3670</v>
      </c>
      <c r="C1718" t="s">
        <v>3745</v>
      </c>
    </row>
    <row r="1719" spans="1:3" x14ac:dyDescent="0.15">
      <c r="A1719">
        <v>52022</v>
      </c>
      <c r="B1719" t="s">
        <v>3670</v>
      </c>
      <c r="C1719" t="s">
        <v>3746</v>
      </c>
    </row>
    <row r="1720" spans="1:3" x14ac:dyDescent="0.15">
      <c r="A1720">
        <v>52023</v>
      </c>
      <c r="B1720" t="s">
        <v>3670</v>
      </c>
      <c r="C1720" t="s">
        <v>3747</v>
      </c>
    </row>
    <row r="1721" spans="1:3" x14ac:dyDescent="0.15">
      <c r="A1721">
        <v>52024</v>
      </c>
      <c r="B1721" t="s">
        <v>3670</v>
      </c>
      <c r="C1721" t="s">
        <v>3748</v>
      </c>
    </row>
    <row r="1722" spans="1:3" x14ac:dyDescent="0.15">
      <c r="A1722">
        <v>52025</v>
      </c>
      <c r="B1722" t="s">
        <v>3670</v>
      </c>
      <c r="C1722" t="s">
        <v>3749</v>
      </c>
    </row>
    <row r="1723" spans="1:3" x14ac:dyDescent="0.15">
      <c r="A1723">
        <v>52026</v>
      </c>
      <c r="B1723" t="s">
        <v>3670</v>
      </c>
      <c r="C1723" t="s">
        <v>3750</v>
      </c>
    </row>
    <row r="1724" spans="1:3" x14ac:dyDescent="0.15">
      <c r="A1724">
        <v>52027</v>
      </c>
      <c r="B1724" t="s">
        <v>3670</v>
      </c>
      <c r="C1724" t="s">
        <v>3751</v>
      </c>
    </row>
    <row r="1725" spans="1:3" x14ac:dyDescent="0.15">
      <c r="A1725">
        <v>52028</v>
      </c>
      <c r="B1725" t="s">
        <v>3670</v>
      </c>
      <c r="C1725" t="s">
        <v>3752</v>
      </c>
    </row>
    <row r="1726" spans="1:3" x14ac:dyDescent="0.15">
      <c r="A1726">
        <v>52029</v>
      </c>
      <c r="B1726" t="s">
        <v>3670</v>
      </c>
      <c r="C1726" t="s">
        <v>3753</v>
      </c>
    </row>
    <row r="1727" spans="1:3" x14ac:dyDescent="0.15">
      <c r="A1727">
        <v>52030</v>
      </c>
      <c r="B1727" t="s">
        <v>3670</v>
      </c>
      <c r="C1727" t="s">
        <v>3754</v>
      </c>
    </row>
    <row r="1728" spans="1:3" x14ac:dyDescent="0.15">
      <c r="A1728">
        <v>52031</v>
      </c>
      <c r="B1728" t="s">
        <v>3670</v>
      </c>
      <c r="C1728" t="s">
        <v>3755</v>
      </c>
    </row>
    <row r="1729" spans="1:3" x14ac:dyDescent="0.15">
      <c r="A1729">
        <v>52032</v>
      </c>
      <c r="B1729" t="s">
        <v>3670</v>
      </c>
      <c r="C1729" t="s">
        <v>3756</v>
      </c>
    </row>
    <row r="1730" spans="1:3" x14ac:dyDescent="0.15">
      <c r="A1730">
        <v>52033</v>
      </c>
      <c r="B1730" t="s">
        <v>3670</v>
      </c>
      <c r="C1730" t="s">
        <v>3757</v>
      </c>
    </row>
    <row r="1731" spans="1:3" x14ac:dyDescent="0.15">
      <c r="A1731">
        <v>52034</v>
      </c>
      <c r="B1731" t="s">
        <v>3670</v>
      </c>
      <c r="C1731" t="s">
        <v>3758</v>
      </c>
    </row>
    <row r="1732" spans="1:3" x14ac:dyDescent="0.15">
      <c r="A1732">
        <v>52035</v>
      </c>
      <c r="B1732" t="s">
        <v>3670</v>
      </c>
      <c r="C1732" t="s">
        <v>3759</v>
      </c>
    </row>
    <row r="1733" spans="1:3" x14ac:dyDescent="0.15">
      <c r="A1733">
        <v>52036</v>
      </c>
      <c r="B1733" t="s">
        <v>3670</v>
      </c>
      <c r="C1733" t="s">
        <v>3760</v>
      </c>
    </row>
    <row r="1734" spans="1:3" x14ac:dyDescent="0.15">
      <c r="A1734">
        <v>52037</v>
      </c>
      <c r="B1734" t="s">
        <v>3670</v>
      </c>
      <c r="C1734" t="s">
        <v>3761</v>
      </c>
    </row>
    <row r="1735" spans="1:3" x14ac:dyDescent="0.15">
      <c r="A1735">
        <v>52038</v>
      </c>
      <c r="B1735" t="s">
        <v>3670</v>
      </c>
      <c r="C1735" t="s">
        <v>3762</v>
      </c>
    </row>
    <row r="1736" spans="1:3" x14ac:dyDescent="0.15">
      <c r="A1736">
        <v>52039</v>
      </c>
      <c r="B1736" t="s">
        <v>3670</v>
      </c>
      <c r="C1736" t="s">
        <v>3763</v>
      </c>
    </row>
    <row r="1737" spans="1:3" x14ac:dyDescent="0.15">
      <c r="A1737">
        <v>52040</v>
      </c>
      <c r="B1737" t="s">
        <v>3670</v>
      </c>
      <c r="C1737" t="s">
        <v>3764</v>
      </c>
    </row>
    <row r="1738" spans="1:3" x14ac:dyDescent="0.15">
      <c r="A1738">
        <v>52041</v>
      </c>
      <c r="B1738" t="s">
        <v>3670</v>
      </c>
      <c r="C1738" t="s">
        <v>3765</v>
      </c>
    </row>
    <row r="1739" spans="1:3" x14ac:dyDescent="0.15">
      <c r="A1739">
        <v>52042</v>
      </c>
      <c r="B1739" t="s">
        <v>3670</v>
      </c>
      <c r="C1739" t="s">
        <v>3766</v>
      </c>
    </row>
    <row r="1740" spans="1:3" x14ac:dyDescent="0.15">
      <c r="A1740">
        <v>52043</v>
      </c>
      <c r="B1740" t="s">
        <v>3670</v>
      </c>
      <c r="C1740" t="s">
        <v>3767</v>
      </c>
    </row>
    <row r="1741" spans="1:3" x14ac:dyDescent="0.15">
      <c r="A1741">
        <v>52044</v>
      </c>
      <c r="B1741" t="s">
        <v>3670</v>
      </c>
      <c r="C1741" t="s">
        <v>3768</v>
      </c>
    </row>
    <row r="1742" spans="1:3" x14ac:dyDescent="0.15">
      <c r="A1742">
        <v>52045</v>
      </c>
      <c r="B1742" t="s">
        <v>3670</v>
      </c>
      <c r="C1742" t="s">
        <v>3769</v>
      </c>
    </row>
    <row r="1743" spans="1:3" x14ac:dyDescent="0.15">
      <c r="A1743">
        <v>52046</v>
      </c>
      <c r="B1743" t="s">
        <v>3670</v>
      </c>
      <c r="C1743" t="s">
        <v>3770</v>
      </c>
    </row>
    <row r="1744" spans="1:3" x14ac:dyDescent="0.15">
      <c r="A1744">
        <v>52047</v>
      </c>
      <c r="B1744" t="s">
        <v>3670</v>
      </c>
      <c r="C1744" t="s">
        <v>3771</v>
      </c>
    </row>
    <row r="1745" spans="1:3" x14ac:dyDescent="0.15">
      <c r="A1745">
        <v>52048</v>
      </c>
      <c r="B1745" t="s">
        <v>3670</v>
      </c>
      <c r="C1745" t="s">
        <v>3772</v>
      </c>
    </row>
    <row r="1746" spans="1:3" x14ac:dyDescent="0.15">
      <c r="A1746">
        <v>52049</v>
      </c>
      <c r="B1746" t="s">
        <v>3670</v>
      </c>
      <c r="C1746" t="s">
        <v>3773</v>
      </c>
    </row>
    <row r="1747" spans="1:3" x14ac:dyDescent="0.15">
      <c r="A1747">
        <v>52050</v>
      </c>
      <c r="B1747" t="s">
        <v>3670</v>
      </c>
      <c r="C1747" t="s">
        <v>3774</v>
      </c>
    </row>
    <row r="1748" spans="1:3" x14ac:dyDescent="0.15">
      <c r="A1748">
        <v>52051</v>
      </c>
      <c r="B1748" t="s">
        <v>3670</v>
      </c>
      <c r="C1748" t="s">
        <v>3775</v>
      </c>
    </row>
    <row r="1749" spans="1:3" x14ac:dyDescent="0.15">
      <c r="A1749">
        <v>53001</v>
      </c>
      <c r="B1749" t="s">
        <v>3670</v>
      </c>
      <c r="C1749" t="s">
        <v>3776</v>
      </c>
    </row>
    <row r="1750" spans="1:3" x14ac:dyDescent="0.15">
      <c r="A1750">
        <v>53002</v>
      </c>
      <c r="B1750" t="s">
        <v>3670</v>
      </c>
      <c r="C1750" t="s">
        <v>3777</v>
      </c>
    </row>
    <row r="1751" spans="1:3" x14ac:dyDescent="0.15">
      <c r="A1751">
        <v>53003</v>
      </c>
      <c r="B1751" t="s">
        <v>3670</v>
      </c>
      <c r="C1751" t="s">
        <v>3778</v>
      </c>
    </row>
    <row r="1752" spans="1:3" x14ac:dyDescent="0.15">
      <c r="A1752">
        <v>53004</v>
      </c>
      <c r="B1752" t="s">
        <v>3670</v>
      </c>
      <c r="C1752" t="s">
        <v>3779</v>
      </c>
    </row>
    <row r="1753" spans="1:3" x14ac:dyDescent="0.15">
      <c r="A1753">
        <v>53005</v>
      </c>
      <c r="B1753" t="s">
        <v>3670</v>
      </c>
      <c r="C1753" t="s">
        <v>3780</v>
      </c>
    </row>
    <row r="1754" spans="1:3" x14ac:dyDescent="0.15">
      <c r="A1754">
        <v>53006</v>
      </c>
      <c r="B1754" t="s">
        <v>3670</v>
      </c>
      <c r="C1754" t="s">
        <v>3781</v>
      </c>
    </row>
    <row r="1755" spans="1:3" x14ac:dyDescent="0.15">
      <c r="A1755">
        <v>53007</v>
      </c>
      <c r="B1755" t="s">
        <v>3670</v>
      </c>
      <c r="C1755" t="s">
        <v>3782</v>
      </c>
    </row>
    <row r="1756" spans="1:3" x14ac:dyDescent="0.15">
      <c r="A1756">
        <v>53008</v>
      </c>
      <c r="B1756" t="s">
        <v>3670</v>
      </c>
      <c r="C1756" t="s">
        <v>3783</v>
      </c>
    </row>
    <row r="1757" spans="1:3" x14ac:dyDescent="0.15">
      <c r="A1757">
        <v>53009</v>
      </c>
      <c r="B1757" t="s">
        <v>3670</v>
      </c>
      <c r="C1757" t="s">
        <v>3784</v>
      </c>
    </row>
    <row r="1758" spans="1:3" x14ac:dyDescent="0.15">
      <c r="A1758" s="11">
        <v>110001</v>
      </c>
      <c r="B1758" s="12" t="s">
        <v>2104</v>
      </c>
      <c r="C1758" s="13" t="s">
        <v>3785</v>
      </c>
    </row>
    <row r="1759" spans="1:3" x14ac:dyDescent="0.15">
      <c r="A1759" s="11">
        <v>110002</v>
      </c>
      <c r="B1759" s="12" t="s">
        <v>2104</v>
      </c>
      <c r="C1759" t="s">
        <v>3786</v>
      </c>
    </row>
    <row r="1760" spans="1:3" x14ac:dyDescent="0.15">
      <c r="A1760" s="11">
        <v>110003</v>
      </c>
      <c r="B1760" s="12" t="s">
        <v>2104</v>
      </c>
      <c r="C1760" t="s">
        <v>3787</v>
      </c>
    </row>
    <row r="1761" spans="1:3" x14ac:dyDescent="0.15">
      <c r="A1761" s="11">
        <v>110004</v>
      </c>
      <c r="B1761" s="12" t="s">
        <v>2104</v>
      </c>
      <c r="C1761" t="s">
        <v>3788</v>
      </c>
    </row>
    <row r="1762" spans="1:3" x14ac:dyDescent="0.15">
      <c r="A1762" s="11">
        <v>110005</v>
      </c>
      <c r="B1762" s="12" t="s">
        <v>2104</v>
      </c>
      <c r="C1762" t="s">
        <v>3789</v>
      </c>
    </row>
    <row r="1763" spans="1:3" x14ac:dyDescent="0.15">
      <c r="A1763" s="11">
        <v>110006</v>
      </c>
      <c r="B1763" s="12" t="s">
        <v>2104</v>
      </c>
      <c r="C1763" t="s">
        <v>3790</v>
      </c>
    </row>
    <row r="1764" spans="1:3" x14ac:dyDescent="0.15">
      <c r="A1764" s="11">
        <v>110007</v>
      </c>
      <c r="B1764" s="12" t="s">
        <v>2104</v>
      </c>
      <c r="C1764" t="s">
        <v>3791</v>
      </c>
    </row>
    <row r="1765" spans="1:3" x14ac:dyDescent="0.15">
      <c r="A1765" s="11">
        <v>110008</v>
      </c>
      <c r="B1765" s="12" t="s">
        <v>2104</v>
      </c>
      <c r="C1765" t="s">
        <v>3792</v>
      </c>
    </row>
    <row r="1766" spans="1:3" x14ac:dyDescent="0.15">
      <c r="A1766" s="11">
        <v>110009</v>
      </c>
      <c r="B1766" s="12" t="s">
        <v>2104</v>
      </c>
      <c r="C1766" t="s">
        <v>3793</v>
      </c>
    </row>
    <row r="1767" spans="1:3" x14ac:dyDescent="0.15">
      <c r="A1767" s="11">
        <v>110010</v>
      </c>
      <c r="B1767" s="12" t="s">
        <v>2104</v>
      </c>
      <c r="C1767" t="s">
        <v>3794</v>
      </c>
    </row>
    <row r="1768" spans="1:3" x14ac:dyDescent="0.15">
      <c r="A1768" s="11">
        <v>110011</v>
      </c>
      <c r="B1768" s="12" t="s">
        <v>2104</v>
      </c>
      <c r="C1768" t="s">
        <v>3795</v>
      </c>
    </row>
    <row r="1769" spans="1:3" x14ac:dyDescent="0.15">
      <c r="A1769" s="11">
        <v>110012</v>
      </c>
      <c r="B1769" s="12" t="s">
        <v>2104</v>
      </c>
      <c r="C1769" t="s">
        <v>3796</v>
      </c>
    </row>
    <row r="1770" spans="1:3" x14ac:dyDescent="0.15">
      <c r="A1770" s="11">
        <v>110013</v>
      </c>
      <c r="B1770" s="12" t="s">
        <v>2104</v>
      </c>
      <c r="C1770" t="s">
        <v>3797</v>
      </c>
    </row>
    <row r="1771" spans="1:3" x14ac:dyDescent="0.15">
      <c r="A1771" s="11">
        <v>110014</v>
      </c>
      <c r="B1771" s="12" t="s">
        <v>2104</v>
      </c>
      <c r="C1771" t="s">
        <v>3798</v>
      </c>
    </row>
    <row r="1772" spans="1:3" x14ac:dyDescent="0.15">
      <c r="A1772" s="11">
        <v>110015</v>
      </c>
      <c r="B1772" s="12" t="s">
        <v>2104</v>
      </c>
      <c r="C1772" t="s">
        <v>3799</v>
      </c>
    </row>
    <row r="1773" spans="1:3" x14ac:dyDescent="0.15">
      <c r="A1773" s="11">
        <v>110016</v>
      </c>
      <c r="B1773" s="12" t="s">
        <v>2104</v>
      </c>
      <c r="C1773" t="s">
        <v>3800</v>
      </c>
    </row>
    <row r="1774" spans="1:3" x14ac:dyDescent="0.15">
      <c r="A1774" s="11">
        <v>110017</v>
      </c>
      <c r="B1774" s="12" t="s">
        <v>2104</v>
      </c>
      <c r="C1774" t="s">
        <v>3801</v>
      </c>
    </row>
    <row r="1775" spans="1:3" x14ac:dyDescent="0.15">
      <c r="A1775" s="11">
        <v>110018</v>
      </c>
      <c r="B1775" s="12" t="s">
        <v>2104</v>
      </c>
      <c r="C1775" t="s">
        <v>3802</v>
      </c>
    </row>
    <row r="1776" spans="1:3" x14ac:dyDescent="0.15">
      <c r="A1776" s="11">
        <v>110019</v>
      </c>
      <c r="B1776" s="12" t="s">
        <v>2104</v>
      </c>
      <c r="C1776" t="s">
        <v>3803</v>
      </c>
    </row>
    <row r="1777" spans="1:3" x14ac:dyDescent="0.15">
      <c r="A1777" s="11">
        <v>110020</v>
      </c>
      <c r="B1777" s="12" t="s">
        <v>2104</v>
      </c>
      <c r="C1777" t="s">
        <v>3804</v>
      </c>
    </row>
    <row r="1778" spans="1:3" x14ac:dyDescent="0.15">
      <c r="A1778" s="11">
        <v>110021</v>
      </c>
      <c r="B1778" s="12" t="s">
        <v>2104</v>
      </c>
      <c r="C1778" t="s">
        <v>3805</v>
      </c>
    </row>
    <row r="1779" spans="1:3" x14ac:dyDescent="0.15">
      <c r="A1779" s="11">
        <v>110022</v>
      </c>
      <c r="B1779" s="12" t="s">
        <v>2104</v>
      </c>
      <c r="C1779" t="s">
        <v>3806</v>
      </c>
    </row>
    <row r="1780" spans="1:3" x14ac:dyDescent="0.15">
      <c r="A1780" s="11">
        <v>110023</v>
      </c>
      <c r="B1780" s="12" t="s">
        <v>2104</v>
      </c>
      <c r="C1780" t="s">
        <v>3807</v>
      </c>
    </row>
    <row r="1781" spans="1:3" x14ac:dyDescent="0.15">
      <c r="A1781" s="11">
        <v>110024</v>
      </c>
      <c r="B1781" s="12" t="s">
        <v>2104</v>
      </c>
      <c r="C1781" t="s">
        <v>3808</v>
      </c>
    </row>
    <row r="1782" spans="1:3" x14ac:dyDescent="0.15">
      <c r="A1782" s="11">
        <v>110025</v>
      </c>
      <c r="B1782" s="12" t="s">
        <v>2104</v>
      </c>
      <c r="C1782" t="s">
        <v>3809</v>
      </c>
    </row>
    <row r="1783" spans="1:3" x14ac:dyDescent="0.15">
      <c r="A1783" s="11">
        <v>110026</v>
      </c>
      <c r="B1783" s="12" t="s">
        <v>2104</v>
      </c>
      <c r="C1783" t="s">
        <v>3810</v>
      </c>
    </row>
    <row r="1784" spans="1:3" x14ac:dyDescent="0.15">
      <c r="A1784" s="11">
        <v>110027</v>
      </c>
      <c r="B1784" s="12" t="s">
        <v>2104</v>
      </c>
      <c r="C1784" t="s">
        <v>3811</v>
      </c>
    </row>
    <row r="1785" spans="1:3" x14ac:dyDescent="0.15">
      <c r="A1785" s="11">
        <v>110028</v>
      </c>
      <c r="B1785" s="12" t="s">
        <v>2104</v>
      </c>
      <c r="C1785" t="s">
        <v>3812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3D6BB-06B5-4FF3-9C5A-9A682E7922F7}">
  <dimension ref="A1:L26"/>
  <sheetViews>
    <sheetView workbookViewId="0">
      <selection activeCell="B13" sqref="B13"/>
    </sheetView>
  </sheetViews>
  <sheetFormatPr defaultRowHeight="13.5" x14ac:dyDescent="0.15"/>
  <cols>
    <col min="2" max="2" width="20.5" bestFit="1" customWidth="1"/>
    <col min="3" max="3" width="20.25" bestFit="1" customWidth="1"/>
    <col min="4" max="4" width="10.5" bestFit="1" customWidth="1"/>
  </cols>
  <sheetData>
    <row r="1" spans="1:12" x14ac:dyDescent="0.15">
      <c r="A1" t="s">
        <v>1987</v>
      </c>
      <c r="B1" t="s">
        <v>1978</v>
      </c>
      <c r="C1" t="s">
        <v>1979</v>
      </c>
      <c r="D1" t="s">
        <v>1988</v>
      </c>
      <c r="I1" s="4">
        <v>101</v>
      </c>
      <c r="J1" s="5" t="s">
        <v>1989</v>
      </c>
      <c r="K1" s="5" t="s">
        <v>1977</v>
      </c>
      <c r="L1" s="6" t="s">
        <v>1949</v>
      </c>
    </row>
    <row r="2" spans="1:12" x14ac:dyDescent="0.15">
      <c r="A2">
        <v>0</v>
      </c>
      <c r="B2" t="s">
        <v>1937</v>
      </c>
      <c r="C2" t="s">
        <v>1985</v>
      </c>
      <c r="D2" t="s">
        <v>1938</v>
      </c>
      <c r="I2" s="7">
        <v>102</v>
      </c>
      <c r="J2" s="8" t="s">
        <v>1990</v>
      </c>
      <c r="K2" s="8" t="s">
        <v>1977</v>
      </c>
      <c r="L2" s="9" t="s">
        <v>1950</v>
      </c>
    </row>
    <row r="3" spans="1:12" x14ac:dyDescent="0.15">
      <c r="A3">
        <v>1</v>
      </c>
      <c r="B3" t="s">
        <v>1956</v>
      </c>
      <c r="C3" t="s">
        <v>1980</v>
      </c>
      <c r="D3" t="s">
        <v>1955</v>
      </c>
      <c r="I3" s="4">
        <v>103</v>
      </c>
      <c r="J3" s="5" t="s">
        <v>1991</v>
      </c>
      <c r="K3" s="5" t="s">
        <v>1977</v>
      </c>
      <c r="L3" s="6" t="s">
        <v>1951</v>
      </c>
    </row>
    <row r="4" spans="1:12" x14ac:dyDescent="0.15">
      <c r="A4">
        <v>2</v>
      </c>
      <c r="B4" t="s">
        <v>1940</v>
      </c>
      <c r="C4" t="s">
        <v>1977</v>
      </c>
      <c r="D4" t="s">
        <v>1939</v>
      </c>
      <c r="I4" s="7">
        <v>104</v>
      </c>
      <c r="J4" s="8" t="s">
        <v>1992</v>
      </c>
      <c r="K4" s="8" t="s">
        <v>1977</v>
      </c>
      <c r="L4" s="9" t="s">
        <v>1952</v>
      </c>
    </row>
    <row r="5" spans="1:12" x14ac:dyDescent="0.15">
      <c r="A5">
        <v>3</v>
      </c>
      <c r="B5" t="s">
        <v>1944</v>
      </c>
      <c r="C5" t="s">
        <v>1977</v>
      </c>
      <c r="D5" t="s">
        <v>1943</v>
      </c>
      <c r="I5" s="4">
        <v>105</v>
      </c>
      <c r="J5" s="5" t="s">
        <v>1993</v>
      </c>
      <c r="K5" s="5" t="s">
        <v>1977</v>
      </c>
      <c r="L5" s="6" t="s">
        <v>1953</v>
      </c>
    </row>
    <row r="6" spans="1:12" x14ac:dyDescent="0.15">
      <c r="A6">
        <v>4</v>
      </c>
      <c r="B6" t="s">
        <v>1948</v>
      </c>
      <c r="C6" t="s">
        <v>1977</v>
      </c>
      <c r="D6" t="s">
        <v>1947</v>
      </c>
      <c r="I6" s="4"/>
      <c r="J6" s="5"/>
      <c r="K6" s="5"/>
      <c r="L6" s="6"/>
    </row>
    <row r="7" spans="1:12" x14ac:dyDescent="0.15">
      <c r="A7">
        <v>5</v>
      </c>
      <c r="B7" t="s">
        <v>1946</v>
      </c>
      <c r="C7" t="s">
        <v>1977</v>
      </c>
      <c r="D7" t="s">
        <v>1945</v>
      </c>
      <c r="I7" s="7">
        <v>201</v>
      </c>
      <c r="J7" s="8" t="s">
        <v>1994</v>
      </c>
      <c r="K7" s="8" t="s">
        <v>1983</v>
      </c>
      <c r="L7" s="9" t="s">
        <v>1957</v>
      </c>
    </row>
    <row r="8" spans="1:12" x14ac:dyDescent="0.15">
      <c r="A8">
        <v>6</v>
      </c>
      <c r="B8" t="s">
        <v>2014</v>
      </c>
      <c r="C8" t="s">
        <v>1977</v>
      </c>
      <c r="D8" t="s">
        <v>1954</v>
      </c>
      <c r="I8" s="4">
        <v>202</v>
      </c>
      <c r="J8" s="5" t="s">
        <v>1995</v>
      </c>
      <c r="K8" s="5" t="s">
        <v>1983</v>
      </c>
      <c r="L8" s="6" t="s">
        <v>1959</v>
      </c>
    </row>
    <row r="9" spans="1:12" x14ac:dyDescent="0.15">
      <c r="A9">
        <v>7</v>
      </c>
      <c r="B9" t="s">
        <v>1976</v>
      </c>
      <c r="C9" t="s">
        <v>1981</v>
      </c>
      <c r="D9" t="s">
        <v>1975</v>
      </c>
      <c r="I9" s="7">
        <v>203</v>
      </c>
      <c r="J9" s="8" t="s">
        <v>1996</v>
      </c>
      <c r="K9" s="8" t="s">
        <v>1983</v>
      </c>
      <c r="L9" s="9" t="s">
        <v>1961</v>
      </c>
    </row>
    <row r="10" spans="1:12" x14ac:dyDescent="0.15">
      <c r="A10">
        <v>8</v>
      </c>
      <c r="B10" t="s">
        <v>1942</v>
      </c>
      <c r="C10" t="s">
        <v>1981</v>
      </c>
      <c r="D10" t="s">
        <v>1941</v>
      </c>
      <c r="I10" s="4">
        <v>204</v>
      </c>
      <c r="J10" s="5" t="s">
        <v>1997</v>
      </c>
      <c r="K10" s="5" t="s">
        <v>1983</v>
      </c>
      <c r="L10" s="6" t="s">
        <v>1963</v>
      </c>
    </row>
    <row r="11" spans="1:12" x14ac:dyDescent="0.15">
      <c r="A11">
        <v>9</v>
      </c>
      <c r="B11" t="s">
        <v>2094</v>
      </c>
      <c r="C11" t="s">
        <v>426</v>
      </c>
      <c r="D11" t="s">
        <v>2096</v>
      </c>
      <c r="I11" s="7">
        <v>205</v>
      </c>
      <c r="J11" s="8" t="s">
        <v>1998</v>
      </c>
      <c r="K11" s="8" t="s">
        <v>1983</v>
      </c>
      <c r="L11" s="9" t="s">
        <v>1970</v>
      </c>
    </row>
    <row r="12" spans="1:12" x14ac:dyDescent="0.15">
      <c r="A12">
        <v>10</v>
      </c>
      <c r="B12" t="s">
        <v>2095</v>
      </c>
      <c r="C12" t="s">
        <v>424</v>
      </c>
      <c r="D12" t="s">
        <v>2097</v>
      </c>
      <c r="I12" s="4">
        <v>206</v>
      </c>
      <c r="J12" s="5" t="s">
        <v>1999</v>
      </c>
      <c r="K12" s="5" t="s">
        <v>1983</v>
      </c>
      <c r="L12" s="6" t="s">
        <v>1971</v>
      </c>
    </row>
    <row r="13" spans="1:12" x14ac:dyDescent="0.15">
      <c r="A13">
        <v>11</v>
      </c>
      <c r="B13" t="s">
        <v>2098</v>
      </c>
      <c r="C13" t="s">
        <v>282</v>
      </c>
      <c r="D13" t="s">
        <v>207</v>
      </c>
      <c r="I13" s="7">
        <v>207</v>
      </c>
      <c r="J13" s="8" t="s">
        <v>2000</v>
      </c>
      <c r="K13" s="8" t="s">
        <v>1983</v>
      </c>
      <c r="L13" s="9" t="s">
        <v>1972</v>
      </c>
    </row>
    <row r="14" spans="1:12" x14ac:dyDescent="0.15">
      <c r="A14">
        <v>12</v>
      </c>
      <c r="B14" t="s">
        <v>2099</v>
      </c>
      <c r="C14" t="s">
        <v>2101</v>
      </c>
      <c r="D14" t="s">
        <v>2100</v>
      </c>
      <c r="I14" s="4">
        <v>208</v>
      </c>
      <c r="J14" s="5" t="s">
        <v>2001</v>
      </c>
      <c r="K14" s="5" t="s">
        <v>1983</v>
      </c>
      <c r="L14" s="6" t="s">
        <v>1973</v>
      </c>
    </row>
    <row r="15" spans="1:12" x14ac:dyDescent="0.15">
      <c r="I15" s="7">
        <v>209</v>
      </c>
      <c r="J15" s="8" t="s">
        <v>2002</v>
      </c>
      <c r="K15" s="8" t="s">
        <v>1983</v>
      </c>
      <c r="L15" s="9" t="s">
        <v>1974</v>
      </c>
    </row>
    <row r="16" spans="1:12" x14ac:dyDescent="0.15">
      <c r="I16" s="4">
        <v>210</v>
      </c>
      <c r="J16" s="5" t="s">
        <v>2003</v>
      </c>
      <c r="K16" s="5" t="s">
        <v>1983</v>
      </c>
      <c r="L16" s="6" t="s">
        <v>1963</v>
      </c>
    </row>
    <row r="17" spans="9:12" x14ac:dyDescent="0.15">
      <c r="I17" s="7">
        <v>211</v>
      </c>
      <c r="J17" s="8" t="s">
        <v>2004</v>
      </c>
      <c r="K17" s="8" t="s">
        <v>1983</v>
      </c>
      <c r="L17" s="9" t="s">
        <v>1965</v>
      </c>
    </row>
    <row r="18" spans="9:12" x14ac:dyDescent="0.15">
      <c r="I18" s="4">
        <v>212</v>
      </c>
      <c r="J18" s="5" t="s">
        <v>2005</v>
      </c>
      <c r="K18" s="5" t="s">
        <v>1983</v>
      </c>
      <c r="L18" s="6" t="s">
        <v>1967</v>
      </c>
    </row>
    <row r="19" spans="9:12" x14ac:dyDescent="0.15">
      <c r="I19" s="7">
        <v>213</v>
      </c>
      <c r="J19" s="8" t="s">
        <v>2006</v>
      </c>
      <c r="K19" s="8" t="s">
        <v>1983</v>
      </c>
      <c r="L19" s="9" t="s">
        <v>1968</v>
      </c>
    </row>
    <row r="20" spans="9:12" x14ac:dyDescent="0.15">
      <c r="I20" s="4">
        <v>214</v>
      </c>
      <c r="J20" s="5" t="s">
        <v>2007</v>
      </c>
      <c r="K20" s="5" t="s">
        <v>1986</v>
      </c>
      <c r="L20" s="6" t="s">
        <v>1958</v>
      </c>
    </row>
    <row r="21" spans="9:12" x14ac:dyDescent="0.15">
      <c r="I21" s="7">
        <v>215</v>
      </c>
      <c r="J21" s="8" t="s">
        <v>2008</v>
      </c>
      <c r="K21" s="8" t="s">
        <v>1986</v>
      </c>
      <c r="L21" s="9" t="s">
        <v>1982</v>
      </c>
    </row>
    <row r="22" spans="9:12" x14ac:dyDescent="0.15">
      <c r="I22" s="4">
        <v>216</v>
      </c>
      <c r="J22" s="5" t="s">
        <v>2009</v>
      </c>
      <c r="K22" s="5" t="s">
        <v>1984</v>
      </c>
      <c r="L22" s="6" t="s">
        <v>1962</v>
      </c>
    </row>
    <row r="23" spans="9:12" x14ac:dyDescent="0.15">
      <c r="I23" s="7">
        <v>217</v>
      </c>
      <c r="J23" s="8" t="s">
        <v>2010</v>
      </c>
      <c r="K23" s="8" t="s">
        <v>1984</v>
      </c>
      <c r="L23" s="9" t="s">
        <v>1960</v>
      </c>
    </row>
    <row r="24" spans="9:12" x14ac:dyDescent="0.15">
      <c r="I24" s="4">
        <v>218</v>
      </c>
      <c r="J24" s="5" t="s">
        <v>2011</v>
      </c>
      <c r="K24" s="5" t="s">
        <v>1984</v>
      </c>
      <c r="L24" s="6" t="s">
        <v>1964</v>
      </c>
    </row>
    <row r="25" spans="9:12" x14ac:dyDescent="0.15">
      <c r="I25" s="7">
        <v>219</v>
      </c>
      <c r="J25" s="8" t="s">
        <v>2012</v>
      </c>
      <c r="K25" s="8" t="s">
        <v>1981</v>
      </c>
      <c r="L25" s="9" t="s">
        <v>1966</v>
      </c>
    </row>
    <row r="26" spans="9:12" x14ac:dyDescent="0.15">
      <c r="I26" s="4">
        <v>220</v>
      </c>
      <c r="J26" s="5" t="s">
        <v>2013</v>
      </c>
      <c r="K26" s="5" t="s">
        <v>1984</v>
      </c>
      <c r="L26" s="6" t="s">
        <v>1969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236FC-0231-43B6-B081-FE340DF5E4F9}">
  <sheetPr codeName="Sheet6"/>
  <dimension ref="A1:J66"/>
  <sheetViews>
    <sheetView topLeftCell="A40" workbookViewId="0">
      <selection activeCell="B66" sqref="B66"/>
    </sheetView>
  </sheetViews>
  <sheetFormatPr defaultRowHeight="13.5" x14ac:dyDescent="0.15"/>
  <cols>
    <col min="1" max="1" width="15.25" bestFit="1" customWidth="1"/>
    <col min="2" max="2" width="7.5" bestFit="1" customWidth="1"/>
    <col min="3" max="3" width="18.375" bestFit="1" customWidth="1"/>
    <col min="4" max="4" width="15.25" bestFit="1" customWidth="1"/>
    <col min="5" max="5" width="7.375" customWidth="1"/>
    <col min="6" max="6" width="6" bestFit="1" customWidth="1"/>
    <col min="7" max="7" width="17.75" bestFit="1" customWidth="1"/>
    <col min="8" max="8" width="9.375" bestFit="1" customWidth="1"/>
    <col min="9" max="9" width="18.375" bestFit="1" customWidth="1"/>
    <col min="10" max="10" width="11.625" bestFit="1" customWidth="1"/>
  </cols>
  <sheetData>
    <row r="1" spans="1:10" x14ac:dyDescent="0.15">
      <c r="A1" t="s">
        <v>1927</v>
      </c>
      <c r="B1" t="s">
        <v>1922</v>
      </c>
      <c r="C1" t="s">
        <v>452</v>
      </c>
      <c r="D1" t="s">
        <v>1918</v>
      </c>
      <c r="F1" t="s">
        <v>1919</v>
      </c>
      <c r="G1" t="s">
        <v>1929</v>
      </c>
      <c r="H1" t="s">
        <v>1930</v>
      </c>
      <c r="I1" t="s">
        <v>1928</v>
      </c>
      <c r="J1" t="s">
        <v>1932</v>
      </c>
    </row>
    <row r="2" spans="1:10" x14ac:dyDescent="0.15">
      <c r="A2" t="s">
        <v>454</v>
      </c>
      <c r="B2" t="s">
        <v>1921</v>
      </c>
      <c r="C2" t="s">
        <v>101</v>
      </c>
      <c r="D2">
        <v>1</v>
      </c>
      <c r="F2">
        <f>OUTPUTAvatarMeshResID[[#This Row],[AvatarPardID]]*1000+OUTPUTAvatarMeshResID[[#This Row],[SexID]]*100+AvatarMeshResID[[#This Row],[CountIndex]]</f>
        <v>1001</v>
      </c>
      <c r="G2">
        <f>VLOOKUP(AvatarMeshResID[[#This Row],[AvatarPart]],AvatarPartID[],2,0)</f>
        <v>1</v>
      </c>
      <c r="H2">
        <f>VLOOKUP(AvatarMeshResID[[#This Row],[Sex]],SexID[],2,0)</f>
        <v>0</v>
      </c>
      <c r="I2" s="3" t="str">
        <f>AvatarMeshResID[[#This Row],[Mesh]]</f>
        <v>Base Normal</v>
      </c>
      <c r="J2" s="3"/>
    </row>
    <row r="3" spans="1:10" x14ac:dyDescent="0.15">
      <c r="A3" t="s">
        <v>454</v>
      </c>
      <c r="B3" t="s">
        <v>1921</v>
      </c>
      <c r="C3" t="s">
        <v>102</v>
      </c>
      <c r="D3">
        <v>2</v>
      </c>
      <c r="F3">
        <f>OUTPUTAvatarMeshResID[[#This Row],[AvatarPardID]]*1000+OUTPUTAvatarMeshResID[[#This Row],[SexID]]*100+AvatarMeshResID[[#This Row],[CountIndex]]</f>
        <v>1002</v>
      </c>
      <c r="G3">
        <f>VLOOKUP(AvatarMeshResID[[#This Row],[AvatarPart]],AvatarPartID[],2,0)</f>
        <v>1</v>
      </c>
      <c r="H3">
        <f>VLOOKUP(AvatarMeshResID[[#This Row],[Sex]],SexID[],2,0)</f>
        <v>0</v>
      </c>
      <c r="I3" s="3" t="str">
        <f>AvatarMeshResID[[#This Row],[Mesh]]</f>
        <v>Base Robe 01</v>
      </c>
      <c r="J3" s="3"/>
    </row>
    <row r="4" spans="1:10" x14ac:dyDescent="0.15">
      <c r="A4" t="s">
        <v>454</v>
      </c>
      <c r="B4" t="s">
        <v>1921</v>
      </c>
      <c r="C4" t="s">
        <v>103</v>
      </c>
      <c r="D4">
        <v>3</v>
      </c>
      <c r="F4">
        <f>OUTPUTAvatarMeshResID[[#This Row],[AvatarPardID]]*1000+OUTPUTAvatarMeshResID[[#This Row],[SexID]]*100+AvatarMeshResID[[#This Row],[CountIndex]]</f>
        <v>1003</v>
      </c>
      <c r="G4">
        <f>VLOOKUP(AvatarMeshResID[[#This Row],[AvatarPart]],AvatarPartID[],2,0)</f>
        <v>1</v>
      </c>
      <c r="H4">
        <f>VLOOKUP(AvatarMeshResID[[#This Row],[Sex]],SexID[],2,0)</f>
        <v>0</v>
      </c>
      <c r="I4" s="3" t="str">
        <f>AvatarMeshResID[[#This Row],[Mesh]]</f>
        <v>Base Robe 02</v>
      </c>
      <c r="J4" s="3"/>
    </row>
    <row r="5" spans="1:10" x14ac:dyDescent="0.15">
      <c r="A5" t="s">
        <v>273</v>
      </c>
      <c r="B5" t="s">
        <v>1921</v>
      </c>
      <c r="C5" t="s">
        <v>268</v>
      </c>
      <c r="D5">
        <v>1</v>
      </c>
      <c r="F5">
        <f>OUTPUTAvatarMeshResID[[#This Row],[AvatarPardID]]*1000+OUTPUTAvatarMeshResID[[#This Row],[SexID]]*100+AvatarMeshResID[[#This Row],[CountIndex]]</f>
        <v>2001</v>
      </c>
      <c r="G5">
        <f>VLOOKUP(AvatarMeshResID[[#This Row],[AvatarPart]],AvatarPartID[],2,0)</f>
        <v>2</v>
      </c>
      <c r="H5">
        <f>VLOOKUP(AvatarMeshResID[[#This Row],[Sex]],SexID[],2,0)</f>
        <v>0</v>
      </c>
      <c r="I5" s="3" t="str">
        <f>AvatarMeshResID[[#This Row],[Mesh]]</f>
        <v>Beard 01</v>
      </c>
      <c r="J5" s="3"/>
    </row>
    <row r="6" spans="1:10" x14ac:dyDescent="0.15">
      <c r="A6" t="s">
        <v>273</v>
      </c>
      <c r="B6" t="s">
        <v>1921</v>
      </c>
      <c r="C6" t="s">
        <v>270</v>
      </c>
      <c r="D6">
        <v>2</v>
      </c>
      <c r="F6">
        <f>OUTPUTAvatarMeshResID[[#This Row],[AvatarPardID]]*1000+OUTPUTAvatarMeshResID[[#This Row],[SexID]]*100+AvatarMeshResID[[#This Row],[CountIndex]]</f>
        <v>2002</v>
      </c>
      <c r="G6">
        <f>VLOOKUP(AvatarMeshResID[[#This Row],[AvatarPart]],AvatarPartID[],2,0)</f>
        <v>2</v>
      </c>
      <c r="H6">
        <f>VLOOKUP(AvatarMeshResID[[#This Row],[Sex]],SexID[],2,0)</f>
        <v>0</v>
      </c>
      <c r="I6" s="3" t="str">
        <f>AvatarMeshResID[[#This Row],[Mesh]]</f>
        <v>Beard 02</v>
      </c>
      <c r="J6" s="3"/>
    </row>
    <row r="7" spans="1:10" x14ac:dyDescent="0.15">
      <c r="A7" t="s">
        <v>273</v>
      </c>
      <c r="B7" t="s">
        <v>1921</v>
      </c>
      <c r="C7" t="s">
        <v>271</v>
      </c>
      <c r="D7">
        <v>3</v>
      </c>
      <c r="F7">
        <f>OUTPUTAvatarMeshResID[[#This Row],[AvatarPardID]]*1000+OUTPUTAvatarMeshResID[[#This Row],[SexID]]*100+AvatarMeshResID[[#This Row],[CountIndex]]</f>
        <v>2003</v>
      </c>
      <c r="G7">
        <f>VLOOKUP(AvatarMeshResID[[#This Row],[AvatarPart]],AvatarPartID[],2,0)</f>
        <v>2</v>
      </c>
      <c r="H7">
        <f>VLOOKUP(AvatarMeshResID[[#This Row],[Sex]],SexID[],2,0)</f>
        <v>0</v>
      </c>
      <c r="I7" s="3" t="str">
        <f>AvatarMeshResID[[#This Row],[Mesh]]</f>
        <v>Beard 03</v>
      </c>
      <c r="J7" s="3"/>
    </row>
    <row r="8" spans="1:10" x14ac:dyDescent="0.15">
      <c r="A8" t="s">
        <v>273</v>
      </c>
      <c r="B8" t="s">
        <v>1921</v>
      </c>
      <c r="C8" t="s">
        <v>272</v>
      </c>
      <c r="D8">
        <v>4</v>
      </c>
      <c r="F8">
        <f>OUTPUTAvatarMeshResID[[#This Row],[AvatarPardID]]*1000+OUTPUTAvatarMeshResID[[#This Row],[SexID]]*100+AvatarMeshResID[[#This Row],[CountIndex]]</f>
        <v>2004</v>
      </c>
      <c r="G8">
        <f>VLOOKUP(AvatarMeshResID[[#This Row],[AvatarPart]],AvatarPartID[],2,0)</f>
        <v>2</v>
      </c>
      <c r="H8">
        <f>VLOOKUP(AvatarMeshResID[[#This Row],[Sex]],SexID[],2,0)</f>
        <v>0</v>
      </c>
      <c r="I8" s="3" t="str">
        <f>AvatarMeshResID[[#This Row],[Mesh]]</f>
        <v>Beard 04</v>
      </c>
      <c r="J8" s="3"/>
    </row>
    <row r="9" spans="1:10" x14ac:dyDescent="0.15">
      <c r="A9" t="s">
        <v>273</v>
      </c>
      <c r="B9" t="s">
        <v>1921</v>
      </c>
      <c r="C9" t="s">
        <v>269</v>
      </c>
      <c r="D9">
        <v>5</v>
      </c>
      <c r="F9">
        <f>OUTPUTAvatarMeshResID[[#This Row],[AvatarPardID]]*1000+OUTPUTAvatarMeshResID[[#This Row],[SexID]]*100+AvatarMeshResID[[#This Row],[CountIndex]]</f>
        <v>2005</v>
      </c>
      <c r="G9">
        <f>VLOOKUP(AvatarMeshResID[[#This Row],[AvatarPart]],AvatarPartID[],2,0)</f>
        <v>2</v>
      </c>
      <c r="H9">
        <f>VLOOKUP(AvatarMeshResID[[#This Row],[Sex]],SexID[],2,0)</f>
        <v>0</v>
      </c>
      <c r="I9" s="3" t="str">
        <f>AvatarMeshResID[[#This Row],[Mesh]]</f>
        <v>Jaw 01</v>
      </c>
      <c r="J9" s="3"/>
    </row>
    <row r="10" spans="1:10" x14ac:dyDescent="0.15">
      <c r="A10" t="s">
        <v>292</v>
      </c>
      <c r="B10" t="s">
        <v>1921</v>
      </c>
      <c r="C10" t="s">
        <v>105</v>
      </c>
      <c r="D10">
        <v>1</v>
      </c>
      <c r="F10">
        <f>OUTPUTAvatarMeshResID[[#This Row],[AvatarPardID]]*1000+OUTPUTAvatarMeshResID[[#This Row],[SexID]]*100+AvatarMeshResID[[#This Row],[CountIndex]]</f>
        <v>3001</v>
      </c>
      <c r="G10">
        <f>VLOOKUP(AvatarMeshResID[[#This Row],[AvatarPart]],AvatarPartID[],2,0)</f>
        <v>3</v>
      </c>
      <c r="H10">
        <f>VLOOKUP(AvatarMeshResID[[#This Row],[Sex]],SexID[],2,0)</f>
        <v>0</v>
      </c>
      <c r="I10" s="3" t="str">
        <f>AvatarMeshResID[[#This Row],[Mesh]]</f>
        <v>Bunny Ears</v>
      </c>
      <c r="J10" s="3"/>
    </row>
    <row r="11" spans="1:10" x14ac:dyDescent="0.15">
      <c r="A11" t="s">
        <v>292</v>
      </c>
      <c r="B11" t="s">
        <v>1921</v>
      </c>
      <c r="C11" t="s">
        <v>106</v>
      </c>
      <c r="D11">
        <v>2</v>
      </c>
      <c r="F11">
        <f>OUTPUTAvatarMeshResID[[#This Row],[AvatarPardID]]*1000+OUTPUTAvatarMeshResID[[#This Row],[SexID]]*100+AvatarMeshResID[[#This Row],[CountIndex]]</f>
        <v>3002</v>
      </c>
      <c r="G11">
        <f>VLOOKUP(AvatarMeshResID[[#This Row],[AvatarPart]],AvatarPartID[],2,0)</f>
        <v>3</v>
      </c>
      <c r="H11">
        <f>VLOOKUP(AvatarMeshResID[[#This Row],[Sex]],SexID[],2,0)</f>
        <v>0</v>
      </c>
      <c r="I11" s="3" t="str">
        <f>AvatarMeshResID[[#This Row],[Mesh]]</f>
        <v>Cat Ears</v>
      </c>
      <c r="J11" s="3"/>
    </row>
    <row r="12" spans="1:10" x14ac:dyDescent="0.15">
      <c r="A12" t="s">
        <v>292</v>
      </c>
      <c r="B12" t="s">
        <v>1921</v>
      </c>
      <c r="C12" t="s">
        <v>123</v>
      </c>
      <c r="D12">
        <v>3</v>
      </c>
      <c r="F12">
        <f>OUTPUTAvatarMeshResID[[#This Row],[AvatarPardID]]*1000+OUTPUTAvatarMeshResID[[#This Row],[SexID]]*100+AvatarMeshResID[[#This Row],[CountIndex]]</f>
        <v>3003</v>
      </c>
      <c r="G12">
        <f>VLOOKUP(AvatarMeshResID[[#This Row],[AvatarPart]],AvatarPartID[],2,0)</f>
        <v>3</v>
      </c>
      <c r="H12">
        <f>VLOOKUP(AvatarMeshResID[[#This Row],[Sex]],SexID[],2,0)</f>
        <v>0</v>
      </c>
      <c r="I12" s="3" t="str">
        <f>AvatarMeshResID[[#This Row],[Mesh]]</f>
        <v>Elf Ears 01</v>
      </c>
      <c r="J12" s="3"/>
    </row>
    <row r="13" spans="1:10" x14ac:dyDescent="0.15">
      <c r="A13" t="s">
        <v>292</v>
      </c>
      <c r="B13" t="s">
        <v>1921</v>
      </c>
      <c r="C13" t="s">
        <v>1858</v>
      </c>
      <c r="D13">
        <v>4</v>
      </c>
      <c r="F13">
        <f>OUTPUTAvatarMeshResID[[#This Row],[AvatarPardID]]*1000+OUTPUTAvatarMeshResID[[#This Row],[SexID]]*100+AvatarMeshResID[[#This Row],[CountIndex]]</f>
        <v>3004</v>
      </c>
      <c r="G13">
        <f>VLOOKUP(AvatarMeshResID[[#This Row],[AvatarPart]],AvatarPartID[],2,0)</f>
        <v>3</v>
      </c>
      <c r="H13">
        <f>VLOOKUP(AvatarMeshResID[[#This Row],[Sex]],SexID[],2,0)</f>
        <v>0</v>
      </c>
      <c r="I13" s="3" t="str">
        <f>AvatarMeshResID[[#This Row],[Mesh]]</f>
        <v>Elf Ears 02</v>
      </c>
      <c r="J13" s="3"/>
    </row>
    <row r="14" spans="1:10" x14ac:dyDescent="0.15">
      <c r="A14" t="s">
        <v>292</v>
      </c>
      <c r="B14" t="s">
        <v>1921</v>
      </c>
      <c r="C14" t="s">
        <v>1859</v>
      </c>
      <c r="D14">
        <v>5</v>
      </c>
      <c r="F14">
        <f>OUTPUTAvatarMeshResID[[#This Row],[AvatarPardID]]*1000+OUTPUTAvatarMeshResID[[#This Row],[SexID]]*100+AvatarMeshResID[[#This Row],[CountIndex]]</f>
        <v>3005</v>
      </c>
      <c r="G14">
        <f>VLOOKUP(AvatarMeshResID[[#This Row],[AvatarPart]],AvatarPartID[],2,0)</f>
        <v>3</v>
      </c>
      <c r="H14">
        <f>VLOOKUP(AvatarMeshResID[[#This Row],[Sex]],SexID[],2,0)</f>
        <v>0</v>
      </c>
      <c r="I14" s="3" t="str">
        <f>AvatarMeshResID[[#This Row],[Mesh]]</f>
        <v>Elf Ears 03</v>
      </c>
      <c r="J14" s="3"/>
    </row>
    <row r="15" spans="1:10" x14ac:dyDescent="0.15">
      <c r="A15" t="s">
        <v>297</v>
      </c>
      <c r="B15" t="s">
        <v>1920</v>
      </c>
      <c r="C15" t="s">
        <v>1878</v>
      </c>
      <c r="D15">
        <v>1</v>
      </c>
      <c r="F15">
        <f>OUTPUTAvatarMeshResID[[#This Row],[AvatarPardID]]*1000+OUTPUTAvatarMeshResID[[#This Row],[SexID]]*100+AvatarMeshResID[[#This Row],[CountIndex]]</f>
        <v>4101</v>
      </c>
      <c r="G15">
        <f>VLOOKUP(AvatarMeshResID[[#This Row],[AvatarPart]],AvatarPartID[],2,0)</f>
        <v>4</v>
      </c>
      <c r="H15">
        <f>VLOOKUP(AvatarMeshResID[[#This Row],[Sex]],SexID[],2,0)</f>
        <v>1</v>
      </c>
      <c r="I15" s="3" t="str">
        <f>AvatarMeshResID[[#This Row],[Mesh]]</f>
        <v>Hair Female 01</v>
      </c>
      <c r="J15" s="3"/>
    </row>
    <row r="16" spans="1:10" x14ac:dyDescent="0.15">
      <c r="A16" t="s">
        <v>297</v>
      </c>
      <c r="B16" t="s">
        <v>1920</v>
      </c>
      <c r="C16" t="s">
        <v>1879</v>
      </c>
      <c r="D16">
        <v>2</v>
      </c>
      <c r="F16">
        <f>OUTPUTAvatarMeshResID[[#This Row],[AvatarPardID]]*1000+OUTPUTAvatarMeshResID[[#This Row],[SexID]]*100+AvatarMeshResID[[#This Row],[CountIndex]]</f>
        <v>4102</v>
      </c>
      <c r="G16">
        <f>VLOOKUP(AvatarMeshResID[[#This Row],[AvatarPart]],AvatarPartID[],2,0)</f>
        <v>4</v>
      </c>
      <c r="H16">
        <f>VLOOKUP(AvatarMeshResID[[#This Row],[Sex]],SexID[],2,0)</f>
        <v>1</v>
      </c>
      <c r="I16" s="3" t="str">
        <f>AvatarMeshResID[[#This Row],[Mesh]]</f>
        <v>Hair Female 02</v>
      </c>
      <c r="J16" s="3"/>
    </row>
    <row r="17" spans="1:10" x14ac:dyDescent="0.15">
      <c r="A17" t="s">
        <v>297</v>
      </c>
      <c r="B17" t="s">
        <v>1920</v>
      </c>
      <c r="C17" t="s">
        <v>126</v>
      </c>
      <c r="D17">
        <v>3</v>
      </c>
      <c r="F17">
        <f>OUTPUTAvatarMeshResID[[#This Row],[AvatarPardID]]*1000+OUTPUTAvatarMeshResID[[#This Row],[SexID]]*100+AvatarMeshResID[[#This Row],[CountIndex]]</f>
        <v>4103</v>
      </c>
      <c r="G17">
        <f>VLOOKUP(AvatarMeshResID[[#This Row],[AvatarPart]],AvatarPartID[],2,0)</f>
        <v>4</v>
      </c>
      <c r="H17">
        <f>VLOOKUP(AvatarMeshResID[[#This Row],[Sex]],SexID[],2,0)</f>
        <v>1</v>
      </c>
      <c r="I17" s="3" t="str">
        <f>AvatarMeshResID[[#This Row],[Mesh]]</f>
        <v>Hair Female 03</v>
      </c>
      <c r="J17" s="3"/>
    </row>
    <row r="18" spans="1:10" x14ac:dyDescent="0.15">
      <c r="A18" t="s">
        <v>297</v>
      </c>
      <c r="B18" t="s">
        <v>1920</v>
      </c>
      <c r="C18" t="s">
        <v>127</v>
      </c>
      <c r="D18">
        <v>4</v>
      </c>
      <c r="F18">
        <f>OUTPUTAvatarMeshResID[[#This Row],[AvatarPardID]]*1000+OUTPUTAvatarMeshResID[[#This Row],[SexID]]*100+AvatarMeshResID[[#This Row],[CountIndex]]</f>
        <v>4104</v>
      </c>
      <c r="G18">
        <f>VLOOKUP(AvatarMeshResID[[#This Row],[AvatarPart]],AvatarPartID[],2,0)</f>
        <v>4</v>
      </c>
      <c r="H18">
        <f>VLOOKUP(AvatarMeshResID[[#This Row],[Sex]],SexID[],2,0)</f>
        <v>1</v>
      </c>
      <c r="I18" s="3" t="str">
        <f>AvatarMeshResID[[#This Row],[Mesh]]</f>
        <v>Hair Female 04</v>
      </c>
      <c r="J18" s="3"/>
    </row>
    <row r="19" spans="1:10" x14ac:dyDescent="0.15">
      <c r="A19" t="s">
        <v>297</v>
      </c>
      <c r="B19" t="s">
        <v>1920</v>
      </c>
      <c r="C19" t="s">
        <v>128</v>
      </c>
      <c r="D19">
        <v>5</v>
      </c>
      <c r="F19">
        <f>OUTPUTAvatarMeshResID[[#This Row],[AvatarPardID]]*1000+OUTPUTAvatarMeshResID[[#This Row],[SexID]]*100+AvatarMeshResID[[#This Row],[CountIndex]]</f>
        <v>4105</v>
      </c>
      <c r="G19">
        <f>VLOOKUP(AvatarMeshResID[[#This Row],[AvatarPart]],AvatarPartID[],2,0)</f>
        <v>4</v>
      </c>
      <c r="H19">
        <f>VLOOKUP(AvatarMeshResID[[#This Row],[Sex]],SexID[],2,0)</f>
        <v>1</v>
      </c>
      <c r="I19" s="3" t="str">
        <f>AvatarMeshResID[[#This Row],[Mesh]]</f>
        <v>Hair Female 05</v>
      </c>
      <c r="J19" s="3"/>
    </row>
    <row r="20" spans="1:10" x14ac:dyDescent="0.15">
      <c r="A20" t="s">
        <v>297</v>
      </c>
      <c r="B20" t="s">
        <v>1920</v>
      </c>
      <c r="C20" t="s">
        <v>129</v>
      </c>
      <c r="D20">
        <v>6</v>
      </c>
      <c r="F20">
        <f>OUTPUTAvatarMeshResID[[#This Row],[AvatarPardID]]*1000+OUTPUTAvatarMeshResID[[#This Row],[SexID]]*100+AvatarMeshResID[[#This Row],[CountIndex]]</f>
        <v>4106</v>
      </c>
      <c r="G20">
        <f>VLOOKUP(AvatarMeshResID[[#This Row],[AvatarPart]],AvatarPartID[],2,0)</f>
        <v>4</v>
      </c>
      <c r="H20">
        <f>VLOOKUP(AvatarMeshResID[[#This Row],[Sex]],SexID[],2,0)</f>
        <v>1</v>
      </c>
      <c r="I20" s="3" t="str">
        <f>AvatarMeshResID[[#This Row],[Mesh]]</f>
        <v>Hair Female 06</v>
      </c>
      <c r="J20" s="3"/>
    </row>
    <row r="21" spans="1:10" x14ac:dyDescent="0.15">
      <c r="A21" t="s">
        <v>297</v>
      </c>
      <c r="B21" t="s">
        <v>1920</v>
      </c>
      <c r="C21" t="s">
        <v>130</v>
      </c>
      <c r="D21">
        <v>7</v>
      </c>
      <c r="F21">
        <f>OUTPUTAvatarMeshResID[[#This Row],[AvatarPardID]]*1000+OUTPUTAvatarMeshResID[[#This Row],[SexID]]*100+AvatarMeshResID[[#This Row],[CountIndex]]</f>
        <v>4107</v>
      </c>
      <c r="G21">
        <f>VLOOKUP(AvatarMeshResID[[#This Row],[AvatarPart]],AvatarPartID[],2,0)</f>
        <v>4</v>
      </c>
      <c r="H21">
        <f>VLOOKUP(AvatarMeshResID[[#This Row],[Sex]],SexID[],2,0)</f>
        <v>1</v>
      </c>
      <c r="I21" s="3" t="str">
        <f>AvatarMeshResID[[#This Row],[Mesh]]</f>
        <v>Hair Female 07</v>
      </c>
      <c r="J21" s="3"/>
    </row>
    <row r="22" spans="1:10" x14ac:dyDescent="0.15">
      <c r="A22" t="s">
        <v>297</v>
      </c>
      <c r="B22" t="s">
        <v>1920</v>
      </c>
      <c r="C22" t="s">
        <v>131</v>
      </c>
      <c r="D22">
        <v>8</v>
      </c>
      <c r="F22">
        <f>OUTPUTAvatarMeshResID[[#This Row],[AvatarPardID]]*1000+OUTPUTAvatarMeshResID[[#This Row],[SexID]]*100+AvatarMeshResID[[#This Row],[CountIndex]]</f>
        <v>4108</v>
      </c>
      <c r="G22">
        <f>VLOOKUP(AvatarMeshResID[[#This Row],[AvatarPart]],AvatarPartID[],2,0)</f>
        <v>4</v>
      </c>
      <c r="H22">
        <f>VLOOKUP(AvatarMeshResID[[#This Row],[Sex]],SexID[],2,0)</f>
        <v>1</v>
      </c>
      <c r="I22" s="3" t="str">
        <f>AvatarMeshResID[[#This Row],[Mesh]]</f>
        <v>Hair Female 08</v>
      </c>
      <c r="J22" s="3"/>
    </row>
    <row r="23" spans="1:10" x14ac:dyDescent="0.15">
      <c r="A23" t="s">
        <v>297</v>
      </c>
      <c r="B23" t="s">
        <v>1920</v>
      </c>
      <c r="C23" t="s">
        <v>132</v>
      </c>
      <c r="D23">
        <v>9</v>
      </c>
      <c r="F23">
        <f>OUTPUTAvatarMeshResID[[#This Row],[AvatarPardID]]*1000+OUTPUTAvatarMeshResID[[#This Row],[SexID]]*100+AvatarMeshResID[[#This Row],[CountIndex]]</f>
        <v>4109</v>
      </c>
      <c r="G23">
        <f>VLOOKUP(AvatarMeshResID[[#This Row],[AvatarPart]],AvatarPartID[],2,0)</f>
        <v>4</v>
      </c>
      <c r="H23">
        <f>VLOOKUP(AvatarMeshResID[[#This Row],[Sex]],SexID[],2,0)</f>
        <v>1</v>
      </c>
      <c r="I23" s="3" t="str">
        <f>AvatarMeshResID[[#This Row],[Mesh]]</f>
        <v>Hair Female 09</v>
      </c>
      <c r="J23" s="3"/>
    </row>
    <row r="24" spans="1:10" x14ac:dyDescent="0.15">
      <c r="A24" t="s">
        <v>297</v>
      </c>
      <c r="B24" t="s">
        <v>1920</v>
      </c>
      <c r="C24" t="s">
        <v>133</v>
      </c>
      <c r="D24">
        <v>10</v>
      </c>
      <c r="F24">
        <f>OUTPUTAvatarMeshResID[[#This Row],[AvatarPardID]]*1000+OUTPUTAvatarMeshResID[[#This Row],[SexID]]*100+AvatarMeshResID[[#This Row],[CountIndex]]</f>
        <v>4110</v>
      </c>
      <c r="G24">
        <f>VLOOKUP(AvatarMeshResID[[#This Row],[AvatarPart]],AvatarPartID[],2,0)</f>
        <v>4</v>
      </c>
      <c r="H24">
        <f>VLOOKUP(AvatarMeshResID[[#This Row],[Sex]],SexID[],2,0)</f>
        <v>1</v>
      </c>
      <c r="I24" s="3" t="str">
        <f>AvatarMeshResID[[#This Row],[Mesh]]</f>
        <v>Hair Female 10</v>
      </c>
      <c r="J24" s="3"/>
    </row>
    <row r="25" spans="1:10" x14ac:dyDescent="0.15">
      <c r="A25" t="s">
        <v>297</v>
      </c>
      <c r="B25" t="s">
        <v>1920</v>
      </c>
      <c r="C25" t="s">
        <v>134</v>
      </c>
      <c r="D25">
        <v>11</v>
      </c>
      <c r="F25">
        <f>OUTPUTAvatarMeshResID[[#This Row],[AvatarPardID]]*1000+OUTPUTAvatarMeshResID[[#This Row],[SexID]]*100+AvatarMeshResID[[#This Row],[CountIndex]]</f>
        <v>4111</v>
      </c>
      <c r="G25">
        <f>VLOOKUP(AvatarMeshResID[[#This Row],[AvatarPart]],AvatarPartID[],2,0)</f>
        <v>4</v>
      </c>
      <c r="H25">
        <f>VLOOKUP(AvatarMeshResID[[#This Row],[Sex]],SexID[],2,0)</f>
        <v>1</v>
      </c>
      <c r="I25" s="3" t="str">
        <f>AvatarMeshResID[[#This Row],[Mesh]]</f>
        <v>Hair Female 11</v>
      </c>
      <c r="J25" s="3"/>
    </row>
    <row r="26" spans="1:10" x14ac:dyDescent="0.15">
      <c r="A26" t="s">
        <v>297</v>
      </c>
      <c r="B26" t="s">
        <v>1920</v>
      </c>
      <c r="C26" t="s">
        <v>135</v>
      </c>
      <c r="D26">
        <v>12</v>
      </c>
      <c r="F26">
        <f>OUTPUTAvatarMeshResID[[#This Row],[AvatarPardID]]*1000+OUTPUTAvatarMeshResID[[#This Row],[SexID]]*100+AvatarMeshResID[[#This Row],[CountIndex]]</f>
        <v>4112</v>
      </c>
      <c r="G26">
        <f>VLOOKUP(AvatarMeshResID[[#This Row],[AvatarPart]],AvatarPartID[],2,0)</f>
        <v>4</v>
      </c>
      <c r="H26">
        <f>VLOOKUP(AvatarMeshResID[[#This Row],[Sex]],SexID[],2,0)</f>
        <v>1</v>
      </c>
      <c r="I26" s="3" t="str">
        <f>AvatarMeshResID[[#This Row],[Mesh]]</f>
        <v>Hair Female 12</v>
      </c>
      <c r="J26" s="3"/>
    </row>
    <row r="27" spans="1:10" x14ac:dyDescent="0.15">
      <c r="A27" t="s">
        <v>297</v>
      </c>
      <c r="B27" t="s">
        <v>1920</v>
      </c>
      <c r="C27" t="s">
        <v>136</v>
      </c>
      <c r="D27">
        <v>13</v>
      </c>
      <c r="F27">
        <f>OUTPUTAvatarMeshResID[[#This Row],[AvatarPardID]]*1000+OUTPUTAvatarMeshResID[[#This Row],[SexID]]*100+AvatarMeshResID[[#This Row],[CountIndex]]</f>
        <v>4113</v>
      </c>
      <c r="G27">
        <f>VLOOKUP(AvatarMeshResID[[#This Row],[AvatarPart]],AvatarPartID[],2,0)</f>
        <v>4</v>
      </c>
      <c r="H27">
        <f>VLOOKUP(AvatarMeshResID[[#This Row],[Sex]],SexID[],2,0)</f>
        <v>1</v>
      </c>
      <c r="I27" s="3" t="str">
        <f>AvatarMeshResID[[#This Row],[Mesh]]</f>
        <v>Hair Female 13</v>
      </c>
      <c r="J27" s="3"/>
    </row>
    <row r="28" spans="1:10" x14ac:dyDescent="0.15">
      <c r="A28" t="s">
        <v>297</v>
      </c>
      <c r="B28" t="s">
        <v>1920</v>
      </c>
      <c r="C28" t="s">
        <v>137</v>
      </c>
      <c r="D28">
        <v>14</v>
      </c>
      <c r="F28">
        <f>OUTPUTAvatarMeshResID[[#This Row],[AvatarPardID]]*1000+OUTPUTAvatarMeshResID[[#This Row],[SexID]]*100+AvatarMeshResID[[#This Row],[CountIndex]]</f>
        <v>4114</v>
      </c>
      <c r="G28">
        <f>VLOOKUP(AvatarMeshResID[[#This Row],[AvatarPart]],AvatarPartID[],2,0)</f>
        <v>4</v>
      </c>
      <c r="H28">
        <f>VLOOKUP(AvatarMeshResID[[#This Row],[Sex]],SexID[],2,0)</f>
        <v>1</v>
      </c>
      <c r="I28" s="3" t="str">
        <f>AvatarMeshResID[[#This Row],[Mesh]]</f>
        <v>Hair Female 14</v>
      </c>
      <c r="J28" s="3"/>
    </row>
    <row r="29" spans="1:10" x14ac:dyDescent="0.15">
      <c r="A29" t="s">
        <v>297</v>
      </c>
      <c r="B29" t="s">
        <v>1920</v>
      </c>
      <c r="C29" t="s">
        <v>138</v>
      </c>
      <c r="D29">
        <v>15</v>
      </c>
      <c r="F29">
        <f>OUTPUTAvatarMeshResID[[#This Row],[AvatarPardID]]*1000+OUTPUTAvatarMeshResID[[#This Row],[SexID]]*100+AvatarMeshResID[[#This Row],[CountIndex]]</f>
        <v>4115</v>
      </c>
      <c r="G29">
        <f>VLOOKUP(AvatarMeshResID[[#This Row],[AvatarPart]],AvatarPartID[],2,0)</f>
        <v>4</v>
      </c>
      <c r="H29">
        <f>VLOOKUP(AvatarMeshResID[[#This Row],[Sex]],SexID[],2,0)</f>
        <v>1</v>
      </c>
      <c r="I29" s="3" t="str">
        <f>AvatarMeshResID[[#This Row],[Mesh]]</f>
        <v>Hair Female 15</v>
      </c>
      <c r="J29" s="3"/>
    </row>
    <row r="30" spans="1:10" x14ac:dyDescent="0.15">
      <c r="A30" t="s">
        <v>297</v>
      </c>
      <c r="B30" t="s">
        <v>1920</v>
      </c>
      <c r="C30" t="s">
        <v>139</v>
      </c>
      <c r="D30">
        <v>16</v>
      </c>
      <c r="F30">
        <f>OUTPUTAvatarMeshResID[[#This Row],[AvatarPardID]]*1000+OUTPUTAvatarMeshResID[[#This Row],[SexID]]*100+AvatarMeshResID[[#This Row],[CountIndex]]</f>
        <v>4116</v>
      </c>
      <c r="G30">
        <f>VLOOKUP(AvatarMeshResID[[#This Row],[AvatarPart]],AvatarPartID[],2,0)</f>
        <v>4</v>
      </c>
      <c r="H30">
        <f>VLOOKUP(AvatarMeshResID[[#This Row],[Sex]],SexID[],2,0)</f>
        <v>1</v>
      </c>
      <c r="I30" s="3" t="str">
        <f>AvatarMeshResID[[#This Row],[Mesh]]</f>
        <v>Hair Female 16</v>
      </c>
      <c r="J30" s="3"/>
    </row>
    <row r="31" spans="1:10" x14ac:dyDescent="0.15">
      <c r="A31" t="s">
        <v>297</v>
      </c>
      <c r="B31" t="s">
        <v>1920</v>
      </c>
      <c r="C31" t="s">
        <v>140</v>
      </c>
      <c r="D31">
        <v>17</v>
      </c>
      <c r="F31">
        <f>OUTPUTAvatarMeshResID[[#This Row],[AvatarPardID]]*1000+OUTPUTAvatarMeshResID[[#This Row],[SexID]]*100+AvatarMeshResID[[#This Row],[CountIndex]]</f>
        <v>4117</v>
      </c>
      <c r="G31">
        <f>VLOOKUP(AvatarMeshResID[[#This Row],[AvatarPart]],AvatarPartID[],2,0)</f>
        <v>4</v>
      </c>
      <c r="H31">
        <f>VLOOKUP(AvatarMeshResID[[#This Row],[Sex]],SexID[],2,0)</f>
        <v>1</v>
      </c>
      <c r="I31" s="3" t="str">
        <f>AvatarMeshResID[[#This Row],[Mesh]]</f>
        <v>Hair Female 17</v>
      </c>
      <c r="J31" s="3"/>
    </row>
    <row r="32" spans="1:10" x14ac:dyDescent="0.15">
      <c r="A32" t="s">
        <v>297</v>
      </c>
      <c r="B32" t="s">
        <v>1920</v>
      </c>
      <c r="C32" t="s">
        <v>141</v>
      </c>
      <c r="D32">
        <v>18</v>
      </c>
      <c r="F32">
        <f>OUTPUTAvatarMeshResID[[#This Row],[AvatarPardID]]*1000+OUTPUTAvatarMeshResID[[#This Row],[SexID]]*100+AvatarMeshResID[[#This Row],[CountIndex]]</f>
        <v>4118</v>
      </c>
      <c r="G32">
        <f>VLOOKUP(AvatarMeshResID[[#This Row],[AvatarPart]],AvatarPartID[],2,0)</f>
        <v>4</v>
      </c>
      <c r="H32">
        <f>VLOOKUP(AvatarMeshResID[[#This Row],[Sex]],SexID[],2,0)</f>
        <v>1</v>
      </c>
      <c r="I32" s="3" t="str">
        <f>AvatarMeshResID[[#This Row],[Mesh]]</f>
        <v>Hair Female 18</v>
      </c>
      <c r="J32" s="3"/>
    </row>
    <row r="33" spans="1:10" x14ac:dyDescent="0.15">
      <c r="A33" t="s">
        <v>297</v>
      </c>
      <c r="B33" t="s">
        <v>1924</v>
      </c>
      <c r="C33" t="s">
        <v>142</v>
      </c>
      <c r="D33">
        <v>1</v>
      </c>
      <c r="F33">
        <f>OUTPUTAvatarMeshResID[[#This Row],[AvatarPardID]]*1000+OUTPUTAvatarMeshResID[[#This Row],[SexID]]*100+AvatarMeshResID[[#This Row],[CountIndex]]</f>
        <v>4201</v>
      </c>
      <c r="G33">
        <f>VLOOKUP(AvatarMeshResID[[#This Row],[AvatarPart]],AvatarPartID[],2,0)</f>
        <v>4</v>
      </c>
      <c r="H33">
        <f>VLOOKUP(AvatarMeshResID[[#This Row],[Sex]],SexID[],2,0)</f>
        <v>2</v>
      </c>
      <c r="I33" s="3" t="str">
        <f>AvatarMeshResID[[#This Row],[Mesh]]</f>
        <v>Hair Male 01</v>
      </c>
      <c r="J33" s="3"/>
    </row>
    <row r="34" spans="1:10" x14ac:dyDescent="0.15">
      <c r="A34" t="s">
        <v>297</v>
      </c>
      <c r="B34" t="s">
        <v>1924</v>
      </c>
      <c r="C34" t="s">
        <v>143</v>
      </c>
      <c r="D34">
        <v>2</v>
      </c>
      <c r="F34">
        <f>OUTPUTAvatarMeshResID[[#This Row],[AvatarPardID]]*1000+OUTPUTAvatarMeshResID[[#This Row],[SexID]]*100+AvatarMeshResID[[#This Row],[CountIndex]]</f>
        <v>4202</v>
      </c>
      <c r="G34">
        <f>VLOOKUP(AvatarMeshResID[[#This Row],[AvatarPart]],AvatarPartID[],2,0)</f>
        <v>4</v>
      </c>
      <c r="H34">
        <f>VLOOKUP(AvatarMeshResID[[#This Row],[Sex]],SexID[],2,0)</f>
        <v>2</v>
      </c>
      <c r="I34" s="3" t="str">
        <f>AvatarMeshResID[[#This Row],[Mesh]]</f>
        <v>Hair Male 02</v>
      </c>
      <c r="J34" s="3"/>
    </row>
    <row r="35" spans="1:10" x14ac:dyDescent="0.15">
      <c r="A35" t="s">
        <v>297</v>
      </c>
      <c r="B35" t="s">
        <v>1924</v>
      </c>
      <c r="C35" t="s">
        <v>144</v>
      </c>
      <c r="D35">
        <v>3</v>
      </c>
      <c r="F35">
        <f>OUTPUTAvatarMeshResID[[#This Row],[AvatarPardID]]*1000+OUTPUTAvatarMeshResID[[#This Row],[SexID]]*100+AvatarMeshResID[[#This Row],[CountIndex]]</f>
        <v>4203</v>
      </c>
      <c r="G35">
        <f>VLOOKUP(AvatarMeshResID[[#This Row],[AvatarPart]],AvatarPartID[],2,0)</f>
        <v>4</v>
      </c>
      <c r="H35">
        <f>VLOOKUP(AvatarMeshResID[[#This Row],[Sex]],SexID[],2,0)</f>
        <v>2</v>
      </c>
      <c r="I35" s="3" t="str">
        <f>AvatarMeshResID[[#This Row],[Mesh]]</f>
        <v>Hair Male 03 Old</v>
      </c>
      <c r="J35" s="3"/>
    </row>
    <row r="36" spans="1:10" x14ac:dyDescent="0.15">
      <c r="A36" t="s">
        <v>297</v>
      </c>
      <c r="B36" t="s">
        <v>1924</v>
      </c>
      <c r="C36" t="s">
        <v>145</v>
      </c>
      <c r="D36">
        <v>4</v>
      </c>
      <c r="F36">
        <f>OUTPUTAvatarMeshResID[[#This Row],[AvatarPardID]]*1000+OUTPUTAvatarMeshResID[[#This Row],[SexID]]*100+AvatarMeshResID[[#This Row],[CountIndex]]</f>
        <v>4204</v>
      </c>
      <c r="G36">
        <f>VLOOKUP(AvatarMeshResID[[#This Row],[AvatarPart]],AvatarPartID[],2,0)</f>
        <v>4</v>
      </c>
      <c r="H36">
        <f>VLOOKUP(AvatarMeshResID[[#This Row],[Sex]],SexID[],2,0)</f>
        <v>2</v>
      </c>
      <c r="I36" s="3" t="str">
        <f>AvatarMeshResID[[#This Row],[Mesh]]</f>
        <v>Hair Male 04</v>
      </c>
      <c r="J36" s="3"/>
    </row>
    <row r="37" spans="1:10" x14ac:dyDescent="0.15">
      <c r="A37" t="s">
        <v>297</v>
      </c>
      <c r="B37" t="s">
        <v>1924</v>
      </c>
      <c r="C37" t="s">
        <v>146</v>
      </c>
      <c r="D37">
        <v>5</v>
      </c>
      <c r="F37">
        <f>OUTPUTAvatarMeshResID[[#This Row],[AvatarPardID]]*1000+OUTPUTAvatarMeshResID[[#This Row],[SexID]]*100+AvatarMeshResID[[#This Row],[CountIndex]]</f>
        <v>4205</v>
      </c>
      <c r="G37">
        <f>VLOOKUP(AvatarMeshResID[[#This Row],[AvatarPart]],AvatarPartID[],2,0)</f>
        <v>4</v>
      </c>
      <c r="H37">
        <f>VLOOKUP(AvatarMeshResID[[#This Row],[Sex]],SexID[],2,0)</f>
        <v>2</v>
      </c>
      <c r="I37" s="3" t="str">
        <f>AvatarMeshResID[[#This Row],[Mesh]]</f>
        <v>Hair Male 05</v>
      </c>
      <c r="J37" s="3"/>
    </row>
    <row r="38" spans="1:10" x14ac:dyDescent="0.15">
      <c r="A38" t="s">
        <v>297</v>
      </c>
      <c r="B38" t="s">
        <v>1924</v>
      </c>
      <c r="C38" t="s">
        <v>147</v>
      </c>
      <c r="D38">
        <v>6</v>
      </c>
      <c r="F38">
        <f>OUTPUTAvatarMeshResID[[#This Row],[AvatarPardID]]*1000+OUTPUTAvatarMeshResID[[#This Row],[SexID]]*100+AvatarMeshResID[[#This Row],[CountIndex]]</f>
        <v>4206</v>
      </c>
      <c r="G38">
        <f>VLOOKUP(AvatarMeshResID[[#This Row],[AvatarPart]],AvatarPartID[],2,0)</f>
        <v>4</v>
      </c>
      <c r="H38">
        <f>VLOOKUP(AvatarMeshResID[[#This Row],[Sex]],SexID[],2,0)</f>
        <v>2</v>
      </c>
      <c r="I38" s="3" t="str">
        <f>AvatarMeshResID[[#This Row],[Mesh]]</f>
        <v>Hair Male 06</v>
      </c>
      <c r="J38" s="3"/>
    </row>
    <row r="39" spans="1:10" x14ac:dyDescent="0.15">
      <c r="A39" t="s">
        <v>297</v>
      </c>
      <c r="B39" t="s">
        <v>1924</v>
      </c>
      <c r="C39" t="s">
        <v>148</v>
      </c>
      <c r="D39">
        <v>7</v>
      </c>
      <c r="F39">
        <f>OUTPUTAvatarMeshResID[[#This Row],[AvatarPardID]]*1000+OUTPUTAvatarMeshResID[[#This Row],[SexID]]*100+AvatarMeshResID[[#This Row],[CountIndex]]</f>
        <v>4207</v>
      </c>
      <c r="G39">
        <f>VLOOKUP(AvatarMeshResID[[#This Row],[AvatarPart]],AvatarPartID[],2,0)</f>
        <v>4</v>
      </c>
      <c r="H39">
        <f>VLOOKUP(AvatarMeshResID[[#This Row],[Sex]],SexID[],2,0)</f>
        <v>2</v>
      </c>
      <c r="I39" s="3" t="str">
        <f>AvatarMeshResID[[#This Row],[Mesh]]</f>
        <v>Hair Male 07</v>
      </c>
      <c r="J39" s="3"/>
    </row>
    <row r="40" spans="1:10" x14ac:dyDescent="0.15">
      <c r="A40" t="s">
        <v>297</v>
      </c>
      <c r="B40" t="s">
        <v>1924</v>
      </c>
      <c r="C40" t="s">
        <v>149</v>
      </c>
      <c r="D40">
        <v>8</v>
      </c>
      <c r="F40">
        <f>OUTPUTAvatarMeshResID[[#This Row],[AvatarPardID]]*1000+OUTPUTAvatarMeshResID[[#This Row],[SexID]]*100+AvatarMeshResID[[#This Row],[CountIndex]]</f>
        <v>4208</v>
      </c>
      <c r="G40">
        <f>VLOOKUP(AvatarMeshResID[[#This Row],[AvatarPart]],AvatarPartID[],2,0)</f>
        <v>4</v>
      </c>
      <c r="H40">
        <f>VLOOKUP(AvatarMeshResID[[#This Row],[Sex]],SexID[],2,0)</f>
        <v>2</v>
      </c>
      <c r="I40" s="3" t="str">
        <f>AvatarMeshResID[[#This Row],[Mesh]]</f>
        <v>Hair Male 08</v>
      </c>
      <c r="J40" s="3"/>
    </row>
    <row r="41" spans="1:10" x14ac:dyDescent="0.15">
      <c r="A41" t="s">
        <v>297</v>
      </c>
      <c r="B41" t="s">
        <v>1924</v>
      </c>
      <c r="C41" t="s">
        <v>150</v>
      </c>
      <c r="D41">
        <v>9</v>
      </c>
      <c r="F41">
        <f>OUTPUTAvatarMeshResID[[#This Row],[AvatarPardID]]*1000+OUTPUTAvatarMeshResID[[#This Row],[SexID]]*100+AvatarMeshResID[[#This Row],[CountIndex]]</f>
        <v>4209</v>
      </c>
      <c r="G41">
        <f>VLOOKUP(AvatarMeshResID[[#This Row],[AvatarPart]],AvatarPartID[],2,0)</f>
        <v>4</v>
      </c>
      <c r="H41">
        <f>VLOOKUP(AvatarMeshResID[[#This Row],[Sex]],SexID[],2,0)</f>
        <v>2</v>
      </c>
      <c r="I41" s="3" t="str">
        <f>AvatarMeshResID[[#This Row],[Mesh]]</f>
        <v>Hair Male 09</v>
      </c>
      <c r="J41" s="3"/>
    </row>
    <row r="42" spans="1:10" x14ac:dyDescent="0.15">
      <c r="A42" t="s">
        <v>297</v>
      </c>
      <c r="B42" t="s">
        <v>1924</v>
      </c>
      <c r="C42" t="s">
        <v>151</v>
      </c>
      <c r="D42">
        <v>10</v>
      </c>
      <c r="F42">
        <f>OUTPUTAvatarMeshResID[[#This Row],[AvatarPardID]]*1000+OUTPUTAvatarMeshResID[[#This Row],[SexID]]*100+AvatarMeshResID[[#This Row],[CountIndex]]</f>
        <v>4210</v>
      </c>
      <c r="G42">
        <f>VLOOKUP(AvatarMeshResID[[#This Row],[AvatarPart]],AvatarPartID[],2,0)</f>
        <v>4</v>
      </c>
      <c r="H42">
        <f>VLOOKUP(AvatarMeshResID[[#This Row],[Sex]],SexID[],2,0)</f>
        <v>2</v>
      </c>
      <c r="I42" s="3" t="str">
        <f>AvatarMeshResID[[#This Row],[Mesh]]</f>
        <v>Hair Male 10</v>
      </c>
      <c r="J42" s="3"/>
    </row>
    <row r="43" spans="1:10" x14ac:dyDescent="0.15">
      <c r="A43" t="s">
        <v>297</v>
      </c>
      <c r="B43" t="s">
        <v>1924</v>
      </c>
      <c r="C43" t="s">
        <v>152</v>
      </c>
      <c r="D43">
        <v>11</v>
      </c>
      <c r="F43">
        <f>OUTPUTAvatarMeshResID[[#This Row],[AvatarPardID]]*1000+OUTPUTAvatarMeshResID[[#This Row],[SexID]]*100+AvatarMeshResID[[#This Row],[CountIndex]]</f>
        <v>4211</v>
      </c>
      <c r="G43">
        <f>VLOOKUP(AvatarMeshResID[[#This Row],[AvatarPart]],AvatarPartID[],2,0)</f>
        <v>4</v>
      </c>
      <c r="H43">
        <f>VLOOKUP(AvatarMeshResID[[#This Row],[Sex]],SexID[],2,0)</f>
        <v>2</v>
      </c>
      <c r="I43" s="3" t="str">
        <f>AvatarMeshResID[[#This Row],[Mesh]]</f>
        <v>Hair Male 11</v>
      </c>
      <c r="J43" s="3"/>
    </row>
    <row r="44" spans="1:10" x14ac:dyDescent="0.15">
      <c r="A44" t="s">
        <v>297</v>
      </c>
      <c r="B44" t="s">
        <v>1924</v>
      </c>
      <c r="C44" t="s">
        <v>153</v>
      </c>
      <c r="D44">
        <v>12</v>
      </c>
      <c r="F44">
        <f>OUTPUTAvatarMeshResID[[#This Row],[AvatarPardID]]*1000+OUTPUTAvatarMeshResID[[#This Row],[SexID]]*100+AvatarMeshResID[[#This Row],[CountIndex]]</f>
        <v>4212</v>
      </c>
      <c r="G44">
        <f>VLOOKUP(AvatarMeshResID[[#This Row],[AvatarPart]],AvatarPartID[],2,0)</f>
        <v>4</v>
      </c>
      <c r="H44">
        <f>VLOOKUP(AvatarMeshResID[[#This Row],[Sex]],SexID[],2,0)</f>
        <v>2</v>
      </c>
      <c r="I44" s="3" t="str">
        <f>AvatarMeshResID[[#This Row],[Mesh]]</f>
        <v>Hair Male 12</v>
      </c>
      <c r="J44" s="3"/>
    </row>
    <row r="45" spans="1:10" x14ac:dyDescent="0.15">
      <c r="A45" t="s">
        <v>297</v>
      </c>
      <c r="B45" t="s">
        <v>1924</v>
      </c>
      <c r="C45" t="s">
        <v>154</v>
      </c>
      <c r="D45">
        <v>13</v>
      </c>
      <c r="F45">
        <f>OUTPUTAvatarMeshResID[[#This Row],[AvatarPardID]]*1000+OUTPUTAvatarMeshResID[[#This Row],[SexID]]*100+AvatarMeshResID[[#This Row],[CountIndex]]</f>
        <v>4213</v>
      </c>
      <c r="G45">
        <f>VLOOKUP(AvatarMeshResID[[#This Row],[AvatarPart]],AvatarPartID[],2,0)</f>
        <v>4</v>
      </c>
      <c r="H45">
        <f>VLOOKUP(AvatarMeshResID[[#This Row],[Sex]],SexID[],2,0)</f>
        <v>2</v>
      </c>
      <c r="I45" s="3" t="str">
        <f>AvatarMeshResID[[#This Row],[Mesh]]</f>
        <v>Hair Male 13</v>
      </c>
      <c r="J45" s="3"/>
    </row>
    <row r="46" spans="1:10" x14ac:dyDescent="0.15">
      <c r="A46" t="s">
        <v>297</v>
      </c>
      <c r="B46" t="s">
        <v>1924</v>
      </c>
      <c r="C46" t="s">
        <v>155</v>
      </c>
      <c r="D46">
        <v>14</v>
      </c>
      <c r="F46">
        <f>OUTPUTAvatarMeshResID[[#This Row],[AvatarPardID]]*1000+OUTPUTAvatarMeshResID[[#This Row],[SexID]]*100+AvatarMeshResID[[#This Row],[CountIndex]]</f>
        <v>4214</v>
      </c>
      <c r="G46">
        <f>VLOOKUP(AvatarMeshResID[[#This Row],[AvatarPart]],AvatarPartID[],2,0)</f>
        <v>4</v>
      </c>
      <c r="H46">
        <f>VLOOKUP(AvatarMeshResID[[#This Row],[Sex]],SexID[],2,0)</f>
        <v>2</v>
      </c>
      <c r="I46" s="3" t="str">
        <f>AvatarMeshResID[[#This Row],[Mesh]]</f>
        <v>Hair Male 14</v>
      </c>
      <c r="J46" s="3"/>
    </row>
    <row r="47" spans="1:10" x14ac:dyDescent="0.15">
      <c r="A47" t="s">
        <v>297</v>
      </c>
      <c r="B47" t="s">
        <v>1924</v>
      </c>
      <c r="C47" t="s">
        <v>156</v>
      </c>
      <c r="D47">
        <v>15</v>
      </c>
      <c r="F47">
        <f>OUTPUTAvatarMeshResID[[#This Row],[AvatarPardID]]*1000+OUTPUTAvatarMeshResID[[#This Row],[SexID]]*100+AvatarMeshResID[[#This Row],[CountIndex]]</f>
        <v>4215</v>
      </c>
      <c r="G47">
        <f>VLOOKUP(AvatarMeshResID[[#This Row],[AvatarPart]],AvatarPartID[],2,0)</f>
        <v>4</v>
      </c>
      <c r="H47">
        <f>VLOOKUP(AvatarMeshResID[[#This Row],[Sex]],SexID[],2,0)</f>
        <v>2</v>
      </c>
      <c r="I47" s="3" t="str">
        <f>AvatarMeshResID[[#This Row],[Mesh]]</f>
        <v>Hair Male 15</v>
      </c>
      <c r="J47" s="3"/>
    </row>
    <row r="48" spans="1:10" x14ac:dyDescent="0.15">
      <c r="A48" t="s">
        <v>297</v>
      </c>
      <c r="B48" t="s">
        <v>1924</v>
      </c>
      <c r="C48" t="s">
        <v>157</v>
      </c>
      <c r="D48">
        <v>16</v>
      </c>
      <c r="F48">
        <f>OUTPUTAvatarMeshResID[[#This Row],[AvatarPardID]]*1000+OUTPUTAvatarMeshResID[[#This Row],[SexID]]*100+AvatarMeshResID[[#This Row],[CountIndex]]</f>
        <v>4216</v>
      </c>
      <c r="G48">
        <f>VLOOKUP(AvatarMeshResID[[#This Row],[AvatarPart]],AvatarPartID[],2,0)</f>
        <v>4</v>
      </c>
      <c r="H48">
        <f>VLOOKUP(AvatarMeshResID[[#This Row],[Sex]],SexID[],2,0)</f>
        <v>2</v>
      </c>
      <c r="I48" s="3" t="str">
        <f>AvatarMeshResID[[#This Row],[Mesh]]</f>
        <v>Hair Male 16</v>
      </c>
      <c r="J48" s="3"/>
    </row>
    <row r="49" spans="1:10" x14ac:dyDescent="0.15">
      <c r="A49" t="s">
        <v>297</v>
      </c>
      <c r="B49" t="s">
        <v>1924</v>
      </c>
      <c r="C49" t="s">
        <v>158</v>
      </c>
      <c r="D49">
        <v>17</v>
      </c>
      <c r="F49">
        <f>OUTPUTAvatarMeshResID[[#This Row],[AvatarPardID]]*1000+OUTPUTAvatarMeshResID[[#This Row],[SexID]]*100+AvatarMeshResID[[#This Row],[CountIndex]]</f>
        <v>4217</v>
      </c>
      <c r="G49">
        <f>VLOOKUP(AvatarMeshResID[[#This Row],[AvatarPart]],AvatarPartID[],2,0)</f>
        <v>4</v>
      </c>
      <c r="H49">
        <f>VLOOKUP(AvatarMeshResID[[#This Row],[Sex]],SexID[],2,0)</f>
        <v>2</v>
      </c>
      <c r="I49" s="3" t="str">
        <f>AvatarMeshResID[[#This Row],[Mesh]]</f>
        <v>Hair Male 17</v>
      </c>
      <c r="J49" s="3"/>
    </row>
    <row r="50" spans="1:10" x14ac:dyDescent="0.15">
      <c r="A50" t="s">
        <v>297</v>
      </c>
      <c r="B50" t="s">
        <v>1924</v>
      </c>
      <c r="C50" t="s">
        <v>159</v>
      </c>
      <c r="D50">
        <v>18</v>
      </c>
      <c r="F50">
        <f>OUTPUTAvatarMeshResID[[#This Row],[AvatarPardID]]*1000+OUTPUTAvatarMeshResID[[#This Row],[SexID]]*100+AvatarMeshResID[[#This Row],[CountIndex]]</f>
        <v>4218</v>
      </c>
      <c r="G50">
        <f>VLOOKUP(AvatarMeshResID[[#This Row],[AvatarPart]],AvatarPartID[],2,0)</f>
        <v>4</v>
      </c>
      <c r="H50">
        <f>VLOOKUP(AvatarMeshResID[[#This Row],[Sex]],SexID[],2,0)</f>
        <v>2</v>
      </c>
      <c r="I50" s="3" t="str">
        <f>AvatarMeshResID[[#This Row],[Mesh]]</f>
        <v>Hair Male 18</v>
      </c>
      <c r="J50" s="3"/>
    </row>
    <row r="51" spans="1:10" x14ac:dyDescent="0.15">
      <c r="A51" t="s">
        <v>309</v>
      </c>
      <c r="B51" t="s">
        <v>1921</v>
      </c>
      <c r="C51" t="s">
        <v>96</v>
      </c>
      <c r="D51">
        <v>1</v>
      </c>
      <c r="F51">
        <f>OUTPUTAvatarMeshResID[[#This Row],[AvatarPardID]]*1000+OUTPUTAvatarMeshResID[[#This Row],[SexID]]*100+AvatarMeshResID[[#This Row],[CountIndex]]</f>
        <v>5001</v>
      </c>
      <c r="G51">
        <f>VLOOKUP(AvatarMeshResID[[#This Row],[AvatarPart]],AvatarPartID[],2,0)</f>
        <v>5</v>
      </c>
      <c r="H51">
        <f>VLOOKUP(AvatarMeshResID[[#This Row],[Sex]],SexID[],2,0)</f>
        <v>0</v>
      </c>
      <c r="I51" s="3" t="str">
        <f>AvatarMeshResID[[#This Row],[Mesh]]</f>
        <v>Antlers</v>
      </c>
      <c r="J51" s="3"/>
    </row>
    <row r="52" spans="1:10" x14ac:dyDescent="0.15">
      <c r="A52" t="s">
        <v>309</v>
      </c>
      <c r="B52" t="s">
        <v>1921</v>
      </c>
      <c r="C52" t="s">
        <v>20</v>
      </c>
      <c r="D52">
        <v>2</v>
      </c>
      <c r="F52">
        <f>OUTPUTAvatarMeshResID[[#This Row],[AvatarPardID]]*1000+OUTPUTAvatarMeshResID[[#This Row],[SexID]]*100+AvatarMeshResID[[#This Row],[CountIndex]]</f>
        <v>5002</v>
      </c>
      <c r="G52">
        <f>VLOOKUP(AvatarMeshResID[[#This Row],[AvatarPart]],AvatarPartID[],2,0)</f>
        <v>5</v>
      </c>
      <c r="H52">
        <f>VLOOKUP(AvatarMeshResID[[#This Row],[Sex]],SexID[],2,0)</f>
        <v>0</v>
      </c>
      <c r="I52" s="3" t="str">
        <f>AvatarMeshResID[[#This Row],[Mesh]]</f>
        <v>Horn 01 Front</v>
      </c>
      <c r="J52" s="3"/>
    </row>
    <row r="53" spans="1:10" x14ac:dyDescent="0.15">
      <c r="A53" t="s">
        <v>309</v>
      </c>
      <c r="B53" t="s">
        <v>1921</v>
      </c>
      <c r="C53" t="s">
        <v>21</v>
      </c>
      <c r="D53">
        <v>3</v>
      </c>
      <c r="F53">
        <f>OUTPUTAvatarMeshResID[[#This Row],[AvatarPardID]]*1000+OUTPUTAvatarMeshResID[[#This Row],[SexID]]*100+AvatarMeshResID[[#This Row],[CountIndex]]</f>
        <v>5003</v>
      </c>
      <c r="G53">
        <f>VLOOKUP(AvatarMeshResID[[#This Row],[AvatarPart]],AvatarPartID[],2,0)</f>
        <v>5</v>
      </c>
      <c r="H53">
        <f>VLOOKUP(AvatarMeshResID[[#This Row],[Sex]],SexID[],2,0)</f>
        <v>0</v>
      </c>
      <c r="I53" s="3" t="str">
        <f>AvatarMeshResID[[#This Row],[Mesh]]</f>
        <v>Horn 02 Side</v>
      </c>
      <c r="J53" s="3"/>
    </row>
    <row r="54" spans="1:10" x14ac:dyDescent="0.15">
      <c r="A54" t="s">
        <v>309</v>
      </c>
      <c r="B54" t="s">
        <v>1921</v>
      </c>
      <c r="C54" t="s">
        <v>1903</v>
      </c>
      <c r="D54">
        <v>4</v>
      </c>
      <c r="F54">
        <f>OUTPUTAvatarMeshResID[[#This Row],[AvatarPardID]]*1000+OUTPUTAvatarMeshResID[[#This Row],[SexID]]*100+AvatarMeshResID[[#This Row],[CountIndex]]</f>
        <v>5004</v>
      </c>
      <c r="G54">
        <f>VLOOKUP(AvatarMeshResID[[#This Row],[AvatarPart]],AvatarPartID[],2,0)</f>
        <v>5</v>
      </c>
      <c r="H54">
        <f>VLOOKUP(AvatarMeshResID[[#This Row],[Sex]],SexID[],2,0)</f>
        <v>0</v>
      </c>
      <c r="I54" s="3" t="str">
        <f>AvatarMeshResID[[#This Row],[Mesh]]</f>
        <v>Horn 03 Side</v>
      </c>
      <c r="J54" s="3"/>
    </row>
    <row r="55" spans="1:10" x14ac:dyDescent="0.15">
      <c r="A55" t="s">
        <v>309</v>
      </c>
      <c r="B55" t="s">
        <v>1921</v>
      </c>
      <c r="C55" t="s">
        <v>1904</v>
      </c>
      <c r="D55">
        <v>5</v>
      </c>
      <c r="F55">
        <f>OUTPUTAvatarMeshResID[[#This Row],[AvatarPardID]]*1000+OUTPUTAvatarMeshResID[[#This Row],[SexID]]*100+AvatarMeshResID[[#This Row],[CountIndex]]</f>
        <v>5005</v>
      </c>
      <c r="G55">
        <f>VLOOKUP(AvatarMeshResID[[#This Row],[AvatarPart]],AvatarPartID[],2,0)</f>
        <v>5</v>
      </c>
      <c r="H55">
        <f>VLOOKUP(AvatarMeshResID[[#This Row],[Sex]],SexID[],2,0)</f>
        <v>0</v>
      </c>
      <c r="I55" s="3" t="str">
        <f>AvatarMeshResID[[#This Row],[Mesh]]</f>
        <v>Horn 04 Side</v>
      </c>
      <c r="J55" s="3"/>
    </row>
    <row r="56" spans="1:10" x14ac:dyDescent="0.15">
      <c r="A56" t="s">
        <v>309</v>
      </c>
      <c r="B56" t="s">
        <v>1921</v>
      </c>
      <c r="C56" t="s">
        <v>1905</v>
      </c>
      <c r="D56">
        <v>6</v>
      </c>
      <c r="F56">
        <f>OUTPUTAvatarMeshResID[[#This Row],[AvatarPardID]]*1000+OUTPUTAvatarMeshResID[[#This Row],[SexID]]*100+AvatarMeshResID[[#This Row],[CountIndex]]</f>
        <v>5006</v>
      </c>
      <c r="G56">
        <f>VLOOKUP(AvatarMeshResID[[#This Row],[AvatarPart]],AvatarPartID[],2,0)</f>
        <v>5</v>
      </c>
      <c r="H56">
        <f>VLOOKUP(AvatarMeshResID[[#This Row],[Sex]],SexID[],2,0)</f>
        <v>0</v>
      </c>
      <c r="I56" s="3" t="str">
        <f>AvatarMeshResID[[#This Row],[Mesh]]</f>
        <v>Horn 05 Side</v>
      </c>
      <c r="J56" s="3"/>
    </row>
    <row r="57" spans="1:10" x14ac:dyDescent="0.15">
      <c r="A57" t="s">
        <v>309</v>
      </c>
      <c r="B57" t="s">
        <v>1921</v>
      </c>
      <c r="C57" t="s">
        <v>1906</v>
      </c>
      <c r="D57">
        <v>7</v>
      </c>
      <c r="F57">
        <f>OUTPUTAvatarMeshResID[[#This Row],[AvatarPardID]]*1000+OUTPUTAvatarMeshResID[[#This Row],[SexID]]*100+AvatarMeshResID[[#This Row],[CountIndex]]</f>
        <v>5007</v>
      </c>
      <c r="G57">
        <f>VLOOKUP(AvatarMeshResID[[#This Row],[AvatarPart]],AvatarPartID[],2,0)</f>
        <v>5</v>
      </c>
      <c r="H57">
        <f>VLOOKUP(AvatarMeshResID[[#This Row],[Sex]],SexID[],2,0)</f>
        <v>0</v>
      </c>
      <c r="I57" s="3" t="str">
        <f>AvatarMeshResID[[#This Row],[Mesh]]</f>
        <v>Horn 06 Side</v>
      </c>
      <c r="J57" s="3"/>
    </row>
    <row r="58" spans="1:10" x14ac:dyDescent="0.15">
      <c r="A58" t="s">
        <v>309</v>
      </c>
      <c r="B58" t="s">
        <v>1921</v>
      </c>
      <c r="C58" t="s">
        <v>1907</v>
      </c>
      <c r="D58">
        <v>8</v>
      </c>
      <c r="F58">
        <f>OUTPUTAvatarMeshResID[[#This Row],[AvatarPardID]]*1000+OUTPUTAvatarMeshResID[[#This Row],[SexID]]*100+AvatarMeshResID[[#This Row],[CountIndex]]</f>
        <v>5008</v>
      </c>
      <c r="G58">
        <f>VLOOKUP(AvatarMeshResID[[#This Row],[AvatarPart]],AvatarPartID[],2,0)</f>
        <v>5</v>
      </c>
      <c r="H58">
        <f>VLOOKUP(AvatarMeshResID[[#This Row],[Sex]],SexID[],2,0)</f>
        <v>0</v>
      </c>
      <c r="I58" s="3" t="str">
        <f>AvatarMeshResID[[#This Row],[Mesh]]</f>
        <v>Horn 07 Side</v>
      </c>
      <c r="J58" s="3"/>
    </row>
    <row r="59" spans="1:10" x14ac:dyDescent="0.15">
      <c r="A59" t="s">
        <v>309</v>
      </c>
      <c r="B59" t="s">
        <v>1921</v>
      </c>
      <c r="C59" t="s">
        <v>1908</v>
      </c>
      <c r="D59">
        <v>9</v>
      </c>
      <c r="F59">
        <f>OUTPUTAvatarMeshResID[[#This Row],[AvatarPardID]]*1000+OUTPUTAvatarMeshResID[[#This Row],[SexID]]*100+AvatarMeshResID[[#This Row],[CountIndex]]</f>
        <v>5009</v>
      </c>
      <c r="G59">
        <f>VLOOKUP(AvatarMeshResID[[#This Row],[AvatarPart]],AvatarPartID[],2,0)</f>
        <v>5</v>
      </c>
      <c r="H59">
        <f>VLOOKUP(AvatarMeshResID[[#This Row],[Sex]],SexID[],2,0)</f>
        <v>0</v>
      </c>
      <c r="I59" s="3" t="str">
        <f>AvatarMeshResID[[#This Row],[Mesh]]</f>
        <v>Horn 08 Side</v>
      </c>
      <c r="J59" s="3"/>
    </row>
    <row r="60" spans="1:10" x14ac:dyDescent="0.15">
      <c r="A60" t="s">
        <v>309</v>
      </c>
      <c r="B60" t="s">
        <v>1921</v>
      </c>
      <c r="C60" t="s">
        <v>1909</v>
      </c>
      <c r="D60">
        <v>10</v>
      </c>
      <c r="F60">
        <f>OUTPUTAvatarMeshResID[[#This Row],[AvatarPardID]]*1000+OUTPUTAvatarMeshResID[[#This Row],[SexID]]*100+AvatarMeshResID[[#This Row],[CountIndex]]</f>
        <v>5010</v>
      </c>
      <c r="G60">
        <f>VLOOKUP(AvatarMeshResID[[#This Row],[AvatarPart]],AvatarPartID[],2,0)</f>
        <v>5</v>
      </c>
      <c r="H60">
        <f>VLOOKUP(AvatarMeshResID[[#This Row],[Sex]],SexID[],2,0)</f>
        <v>0</v>
      </c>
      <c r="I60" s="3" t="str">
        <f>AvatarMeshResID[[#This Row],[Mesh]]</f>
        <v>Horn 09 Side</v>
      </c>
      <c r="J60" s="3"/>
    </row>
    <row r="61" spans="1:10" x14ac:dyDescent="0.15">
      <c r="A61" t="s">
        <v>309</v>
      </c>
      <c r="B61" t="s">
        <v>1921</v>
      </c>
      <c r="C61" t="s">
        <v>1910</v>
      </c>
      <c r="D61">
        <v>11</v>
      </c>
      <c r="F61">
        <f>OUTPUTAvatarMeshResID[[#This Row],[AvatarPardID]]*1000+OUTPUTAvatarMeshResID[[#This Row],[SexID]]*100+AvatarMeshResID[[#This Row],[CountIndex]]</f>
        <v>5011</v>
      </c>
      <c r="G61">
        <f>VLOOKUP(AvatarMeshResID[[#This Row],[AvatarPart]],AvatarPartID[],2,0)</f>
        <v>5</v>
      </c>
      <c r="H61">
        <f>VLOOKUP(AvatarMeshResID[[#This Row],[Sex]],SexID[],2,0)</f>
        <v>0</v>
      </c>
      <c r="I61" s="3" t="str">
        <f>AvatarMeshResID[[#This Row],[Mesh]]</f>
        <v>Horn 10 Side</v>
      </c>
      <c r="J61" s="3"/>
    </row>
    <row r="62" spans="1:10" x14ac:dyDescent="0.15">
      <c r="A62" t="s">
        <v>309</v>
      </c>
      <c r="B62" t="s">
        <v>1921</v>
      </c>
      <c r="C62" t="s">
        <v>22</v>
      </c>
      <c r="D62">
        <v>12</v>
      </c>
      <c r="F62">
        <f>OUTPUTAvatarMeshResID[[#This Row],[AvatarPardID]]*1000+OUTPUTAvatarMeshResID[[#This Row],[SexID]]*100+AvatarMeshResID[[#This Row],[CountIndex]]</f>
        <v>5012</v>
      </c>
      <c r="G62">
        <f>VLOOKUP(AvatarMeshResID[[#This Row],[AvatarPart]],AvatarPartID[],2,0)</f>
        <v>5</v>
      </c>
      <c r="H62">
        <f>VLOOKUP(AvatarMeshResID[[#This Row],[Sex]],SexID[],2,0)</f>
        <v>0</v>
      </c>
      <c r="I62" s="3" t="str">
        <f>AvatarMeshResID[[#This Row],[Mesh]]</f>
        <v>Horn 03</v>
      </c>
      <c r="J62" s="3"/>
    </row>
    <row r="63" spans="1:10" x14ac:dyDescent="0.15">
      <c r="A63" t="s">
        <v>309</v>
      </c>
      <c r="B63" t="s">
        <v>1921</v>
      </c>
      <c r="C63" t="s">
        <v>1911</v>
      </c>
      <c r="D63">
        <v>13</v>
      </c>
      <c r="F63">
        <f>OUTPUTAvatarMeshResID[[#This Row],[AvatarPardID]]*1000+OUTPUTAvatarMeshResID[[#This Row],[SexID]]*100+AvatarMeshResID[[#This Row],[CountIndex]]</f>
        <v>5013</v>
      </c>
      <c r="G63">
        <f>VLOOKUP(AvatarMeshResID[[#This Row],[AvatarPart]],AvatarPartID[],2,0)</f>
        <v>5</v>
      </c>
      <c r="H63">
        <f>VLOOKUP(AvatarMeshResID[[#This Row],[Sex]],SexID[],2,0)</f>
        <v>0</v>
      </c>
      <c r="I63" s="3" t="str">
        <f>AvatarMeshResID[[#This Row],[Mesh]]</f>
        <v>Horn 04</v>
      </c>
      <c r="J63" s="3"/>
    </row>
    <row r="64" spans="1:10" x14ac:dyDescent="0.15">
      <c r="A64" t="s">
        <v>309</v>
      </c>
      <c r="B64" t="s">
        <v>1921</v>
      </c>
      <c r="C64" t="s">
        <v>1912</v>
      </c>
      <c r="D64">
        <v>14</v>
      </c>
      <c r="F64">
        <f>OUTPUTAvatarMeshResID[[#This Row],[AvatarPardID]]*1000+OUTPUTAvatarMeshResID[[#This Row],[SexID]]*100+AvatarMeshResID[[#This Row],[CountIndex]]</f>
        <v>5014</v>
      </c>
      <c r="G64">
        <f>VLOOKUP(AvatarMeshResID[[#This Row],[AvatarPart]],AvatarPartID[],2,0)</f>
        <v>5</v>
      </c>
      <c r="H64">
        <f>VLOOKUP(AvatarMeshResID[[#This Row],[Sex]],SexID[],2,0)</f>
        <v>0</v>
      </c>
      <c r="I64" s="3" t="str">
        <f>AvatarMeshResID[[#This Row],[Mesh]]</f>
        <v>Horn 05</v>
      </c>
      <c r="J64" s="3"/>
    </row>
    <row r="65" spans="1:10" x14ac:dyDescent="0.15">
      <c r="A65" t="s">
        <v>309</v>
      </c>
      <c r="B65" t="s">
        <v>1921</v>
      </c>
      <c r="C65" t="s">
        <v>1913</v>
      </c>
      <c r="D65">
        <v>15</v>
      </c>
      <c r="F65">
        <f>OUTPUTAvatarMeshResID[[#This Row],[AvatarPardID]]*1000+OUTPUTAvatarMeshResID[[#This Row],[SexID]]*100+AvatarMeshResID[[#This Row],[CountIndex]]</f>
        <v>5015</v>
      </c>
      <c r="G65">
        <f>VLOOKUP(AvatarMeshResID[[#This Row],[AvatarPart]],AvatarPartID[],2,0)</f>
        <v>5</v>
      </c>
      <c r="H65">
        <f>VLOOKUP(AvatarMeshResID[[#This Row],[Sex]],SexID[],2,0)</f>
        <v>0</v>
      </c>
      <c r="I65" s="3" t="str">
        <f>AvatarMeshResID[[#This Row],[Mesh]]</f>
        <v>Horn 06</v>
      </c>
      <c r="J65" s="3"/>
    </row>
    <row r="66" spans="1:10" x14ac:dyDescent="0.15">
      <c r="A66" t="s">
        <v>309</v>
      </c>
      <c r="B66" t="s">
        <v>1921</v>
      </c>
      <c r="C66" t="s">
        <v>1914</v>
      </c>
      <c r="D66">
        <v>16</v>
      </c>
      <c r="F66">
        <f>OUTPUTAvatarMeshResID[[#This Row],[AvatarPardID]]*1000+OUTPUTAvatarMeshResID[[#This Row],[SexID]]*100+AvatarMeshResID[[#This Row],[CountIndex]]</f>
        <v>5016</v>
      </c>
      <c r="G66">
        <f>VLOOKUP(AvatarMeshResID[[#This Row],[AvatarPart]],AvatarPartID[],2,0)</f>
        <v>5</v>
      </c>
      <c r="H66">
        <f>VLOOKUP(AvatarMeshResID[[#This Row],[Sex]],SexID[],2,0)</f>
        <v>0</v>
      </c>
      <c r="I66" s="3" t="str">
        <f>AvatarMeshResID[[#This Row],[Mesh]]</f>
        <v>Horn 07</v>
      </c>
      <c r="J66" s="3"/>
    </row>
  </sheetData>
  <phoneticPr fontId="1" type="noConversion"/>
  <pageMargins left="0.7" right="0.7" top="0.75" bottom="0.75" header="0.3" footer="0.3"/>
  <pageSetup paperSize="9" orientation="portrait" r:id="rId1"/>
  <ignoredErrors>
    <ignoredError sqref="D2:D33 D34:D50 D51:D66" calculatedColumn="1"/>
  </ignoredErrors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31F95-DF84-4FEB-ADB3-316115A2DC6E}">
  <sheetPr codeName="Sheet7"/>
  <dimension ref="A1:I1443"/>
  <sheetViews>
    <sheetView workbookViewId="0">
      <selection activeCell="I2" sqref="I2"/>
    </sheetView>
  </sheetViews>
  <sheetFormatPr defaultRowHeight="13.5" x14ac:dyDescent="0.15"/>
  <cols>
    <col min="1" max="1" width="15.25" bestFit="1" customWidth="1"/>
    <col min="2" max="2" width="7.5" bestFit="1" customWidth="1"/>
    <col min="3" max="3" width="37.125" bestFit="1" customWidth="1"/>
    <col min="4" max="4" width="15.25" bestFit="1" customWidth="1"/>
    <col min="6" max="6" width="7.125" bestFit="1" customWidth="1"/>
    <col min="7" max="7" width="7.125" customWidth="1"/>
    <col min="8" max="8" width="9.375" bestFit="1" customWidth="1"/>
    <col min="9" max="9" width="37.125" bestFit="1" customWidth="1"/>
  </cols>
  <sheetData>
    <row r="1" spans="1:9" x14ac:dyDescent="0.15">
      <c r="A1" t="s">
        <v>1927</v>
      </c>
      <c r="B1" t="s">
        <v>1922</v>
      </c>
      <c r="C1" t="s">
        <v>453</v>
      </c>
      <c r="D1" t="s">
        <v>1918</v>
      </c>
      <c r="F1" t="s">
        <v>1919</v>
      </c>
      <c r="G1" t="s">
        <v>1933</v>
      </c>
      <c r="H1" t="s">
        <v>1930</v>
      </c>
      <c r="I1" t="s">
        <v>1931</v>
      </c>
    </row>
    <row r="2" spans="1:9" x14ac:dyDescent="0.15">
      <c r="A2" t="s">
        <v>273</v>
      </c>
      <c r="B2" t="s">
        <v>1921</v>
      </c>
      <c r="C2" t="s">
        <v>1824</v>
      </c>
      <c r="D2">
        <v>1</v>
      </c>
      <c r="F2">
        <f>OUTPUTAvatarMatResID[[#This Row],[AvatarPartID]]*10000+OUTPUTAvatarMatResID[[#This Row],[SexID]]*1000+AvatarMatResID[[#This Row],[CountIndex]]</f>
        <v>20001</v>
      </c>
      <c r="G2">
        <f>VLOOKUP(AvatarMatResID[[#This Row],[AvatarPart]],AvatarPartID[],2,0)</f>
        <v>2</v>
      </c>
      <c r="H2">
        <f>VLOOKUP(AvatarMatResID[[#This Row],[Sex]],SexID[],2,0)</f>
        <v>0</v>
      </c>
      <c r="I2" t="str">
        <f>AvatarMatResID[[#This Row],[Material]]</f>
        <v>Beard 04 Black</v>
      </c>
    </row>
    <row r="3" spans="1:9" x14ac:dyDescent="0.15">
      <c r="A3" t="s">
        <v>273</v>
      </c>
      <c r="B3" t="s">
        <v>1921</v>
      </c>
      <c r="C3" t="s">
        <v>1825</v>
      </c>
      <c r="D3">
        <v>2</v>
      </c>
      <c r="F3">
        <f>OUTPUTAvatarMatResID[[#This Row],[AvatarPartID]]*10000+OUTPUTAvatarMatResID[[#This Row],[SexID]]*1000+AvatarMatResID[[#This Row],[CountIndex]]</f>
        <v>20002</v>
      </c>
      <c r="G3">
        <f>VLOOKUP(AvatarMatResID[[#This Row],[AvatarPart]],AvatarPartID[],2,0)</f>
        <v>2</v>
      </c>
      <c r="H3">
        <f>VLOOKUP(AvatarMatResID[[#This Row],[Sex]],SexID[],2,0)</f>
        <v>0</v>
      </c>
      <c r="I3" t="str">
        <f>AvatarMatResID[[#This Row],[Material]]</f>
        <v>Beard 04 Blonde</v>
      </c>
    </row>
    <row r="4" spans="1:9" x14ac:dyDescent="0.15">
      <c r="A4" t="s">
        <v>273</v>
      </c>
      <c r="B4" t="s">
        <v>1921</v>
      </c>
      <c r="C4" t="s">
        <v>1826</v>
      </c>
      <c r="D4">
        <v>3</v>
      </c>
      <c r="F4">
        <f>OUTPUTAvatarMatResID[[#This Row],[AvatarPartID]]*10000+OUTPUTAvatarMatResID[[#This Row],[SexID]]*1000+AvatarMatResID[[#This Row],[CountIndex]]</f>
        <v>20003</v>
      </c>
      <c r="G4">
        <f>VLOOKUP(AvatarMatResID[[#This Row],[AvatarPart]],AvatarPartID[],2,0)</f>
        <v>2</v>
      </c>
      <c r="H4">
        <f>VLOOKUP(AvatarMatResID[[#This Row],[Sex]],SexID[],2,0)</f>
        <v>0</v>
      </c>
      <c r="I4" t="str">
        <f>AvatarMatResID[[#This Row],[Material]]</f>
        <v>Beard 04 Blue</v>
      </c>
    </row>
    <row r="5" spans="1:9" x14ac:dyDescent="0.15">
      <c r="A5" t="s">
        <v>273</v>
      </c>
      <c r="B5" t="s">
        <v>1921</v>
      </c>
      <c r="C5" t="s">
        <v>1827</v>
      </c>
      <c r="D5">
        <v>4</v>
      </c>
      <c r="F5">
        <f>OUTPUTAvatarMatResID[[#This Row],[AvatarPartID]]*10000+OUTPUTAvatarMatResID[[#This Row],[SexID]]*1000+AvatarMatResID[[#This Row],[CountIndex]]</f>
        <v>20004</v>
      </c>
      <c r="G5">
        <f>VLOOKUP(AvatarMatResID[[#This Row],[AvatarPart]],AvatarPartID[],2,0)</f>
        <v>2</v>
      </c>
      <c r="H5">
        <f>VLOOKUP(AvatarMatResID[[#This Row],[Sex]],SexID[],2,0)</f>
        <v>0</v>
      </c>
      <c r="I5" t="str">
        <f>AvatarMatResID[[#This Row],[Material]]</f>
        <v>Beard 04 Brown</v>
      </c>
    </row>
    <row r="6" spans="1:9" x14ac:dyDescent="0.15">
      <c r="A6" t="s">
        <v>273</v>
      </c>
      <c r="B6" t="s">
        <v>1921</v>
      </c>
      <c r="C6" t="s">
        <v>1828</v>
      </c>
      <c r="D6">
        <v>5</v>
      </c>
      <c r="F6">
        <f>OUTPUTAvatarMatResID[[#This Row],[AvatarPartID]]*10000+OUTPUTAvatarMatResID[[#This Row],[SexID]]*1000+AvatarMatResID[[#This Row],[CountIndex]]</f>
        <v>20005</v>
      </c>
      <c r="G6">
        <f>VLOOKUP(AvatarMatResID[[#This Row],[AvatarPart]],AvatarPartID[],2,0)</f>
        <v>2</v>
      </c>
      <c r="H6">
        <f>VLOOKUP(AvatarMatResID[[#This Row],[Sex]],SexID[],2,0)</f>
        <v>0</v>
      </c>
      <c r="I6" t="str">
        <f>AvatarMatResID[[#This Row],[Material]]</f>
        <v>Beard 04 Purple</v>
      </c>
    </row>
    <row r="7" spans="1:9" x14ac:dyDescent="0.15">
      <c r="A7" t="s">
        <v>273</v>
      </c>
      <c r="B7" t="s">
        <v>1921</v>
      </c>
      <c r="C7" t="s">
        <v>1829</v>
      </c>
      <c r="D7">
        <v>6</v>
      </c>
      <c r="F7">
        <f>OUTPUTAvatarMatResID[[#This Row],[AvatarPartID]]*10000+OUTPUTAvatarMatResID[[#This Row],[SexID]]*1000+AvatarMatResID[[#This Row],[CountIndex]]</f>
        <v>20006</v>
      </c>
      <c r="G7">
        <f>VLOOKUP(AvatarMatResID[[#This Row],[AvatarPart]],AvatarPartID[],2,0)</f>
        <v>2</v>
      </c>
      <c r="H7">
        <f>VLOOKUP(AvatarMatResID[[#This Row],[Sex]],SexID[],2,0)</f>
        <v>0</v>
      </c>
      <c r="I7" t="str">
        <f>AvatarMatResID[[#This Row],[Material]]</f>
        <v>Beard 04 Red</v>
      </c>
    </row>
    <row r="8" spans="1:9" x14ac:dyDescent="0.15">
      <c r="A8" t="s">
        <v>273</v>
      </c>
      <c r="B8" t="s">
        <v>1921</v>
      </c>
      <c r="C8" t="s">
        <v>1830</v>
      </c>
      <c r="D8">
        <v>7</v>
      </c>
      <c r="F8">
        <f>OUTPUTAvatarMatResID[[#This Row],[AvatarPartID]]*10000+OUTPUTAvatarMatResID[[#This Row],[SexID]]*1000+AvatarMatResID[[#This Row],[CountIndex]]</f>
        <v>20007</v>
      </c>
      <c r="G8">
        <f>VLOOKUP(AvatarMatResID[[#This Row],[AvatarPart]],AvatarPartID[],2,0)</f>
        <v>2</v>
      </c>
      <c r="H8">
        <f>VLOOKUP(AvatarMatResID[[#This Row],[Sex]],SexID[],2,0)</f>
        <v>0</v>
      </c>
      <c r="I8" t="str">
        <f>AvatarMatResID[[#This Row],[Material]]</f>
        <v>Beard 04 White</v>
      </c>
    </row>
    <row r="9" spans="1:9" x14ac:dyDescent="0.15">
      <c r="A9" t="s">
        <v>273</v>
      </c>
      <c r="B9" t="s">
        <v>1921</v>
      </c>
      <c r="C9" t="s">
        <v>1816</v>
      </c>
      <c r="D9">
        <v>8</v>
      </c>
      <c r="F9">
        <f>OUTPUTAvatarMatResID[[#This Row],[AvatarPartID]]*10000+OUTPUTAvatarMatResID[[#This Row],[SexID]]*1000+AvatarMatResID[[#This Row],[CountIndex]]</f>
        <v>20008</v>
      </c>
      <c r="G9">
        <f>VLOOKUP(AvatarMatResID[[#This Row],[AvatarPart]],AvatarPartID[],2,0)</f>
        <v>2</v>
      </c>
      <c r="H9">
        <f>VLOOKUP(AvatarMatResID[[#This Row],[Sex]],SexID[],2,0)</f>
        <v>0</v>
      </c>
      <c r="I9" t="str">
        <f>AvatarMatResID[[#This Row],[Material]]</f>
        <v>Beard Aqua</v>
      </c>
    </row>
    <row r="10" spans="1:9" x14ac:dyDescent="0.15">
      <c r="A10" t="s">
        <v>273</v>
      </c>
      <c r="B10" t="s">
        <v>1921</v>
      </c>
      <c r="C10" t="s">
        <v>1817</v>
      </c>
      <c r="D10">
        <v>9</v>
      </c>
      <c r="F10">
        <f>OUTPUTAvatarMatResID[[#This Row],[AvatarPartID]]*10000+OUTPUTAvatarMatResID[[#This Row],[SexID]]*1000+AvatarMatResID[[#This Row],[CountIndex]]</f>
        <v>20009</v>
      </c>
      <c r="G10">
        <f>VLOOKUP(AvatarMatResID[[#This Row],[AvatarPart]],AvatarPartID[],2,0)</f>
        <v>2</v>
      </c>
      <c r="H10">
        <f>VLOOKUP(AvatarMatResID[[#This Row],[Sex]],SexID[],2,0)</f>
        <v>0</v>
      </c>
      <c r="I10" t="str">
        <f>AvatarMatResID[[#This Row],[Material]]</f>
        <v>Beard Black</v>
      </c>
    </row>
    <row r="11" spans="1:9" x14ac:dyDescent="0.15">
      <c r="A11" t="s">
        <v>273</v>
      </c>
      <c r="B11" t="s">
        <v>1921</v>
      </c>
      <c r="C11" t="s">
        <v>1818</v>
      </c>
      <c r="D11">
        <v>10</v>
      </c>
      <c r="F11">
        <f>OUTPUTAvatarMatResID[[#This Row],[AvatarPartID]]*10000+OUTPUTAvatarMatResID[[#This Row],[SexID]]*1000+AvatarMatResID[[#This Row],[CountIndex]]</f>
        <v>20010</v>
      </c>
      <c r="G11">
        <f>VLOOKUP(AvatarMatResID[[#This Row],[AvatarPart]],AvatarPartID[],2,0)</f>
        <v>2</v>
      </c>
      <c r="H11">
        <f>VLOOKUP(AvatarMatResID[[#This Row],[Sex]],SexID[],2,0)</f>
        <v>0</v>
      </c>
      <c r="I11" t="str">
        <f>AvatarMatResID[[#This Row],[Material]]</f>
        <v>Beard Blonde</v>
      </c>
    </row>
    <row r="12" spans="1:9" x14ac:dyDescent="0.15">
      <c r="A12" t="s">
        <v>273</v>
      </c>
      <c r="B12" t="s">
        <v>1921</v>
      </c>
      <c r="C12" t="s">
        <v>1819</v>
      </c>
      <c r="D12">
        <v>11</v>
      </c>
      <c r="F12">
        <f>OUTPUTAvatarMatResID[[#This Row],[AvatarPartID]]*10000+OUTPUTAvatarMatResID[[#This Row],[SexID]]*1000+AvatarMatResID[[#This Row],[CountIndex]]</f>
        <v>20011</v>
      </c>
      <c r="G12">
        <f>VLOOKUP(AvatarMatResID[[#This Row],[AvatarPart]],AvatarPartID[],2,0)</f>
        <v>2</v>
      </c>
      <c r="H12">
        <f>VLOOKUP(AvatarMatResID[[#This Row],[Sex]],SexID[],2,0)</f>
        <v>0</v>
      </c>
      <c r="I12" t="str">
        <f>AvatarMatResID[[#This Row],[Material]]</f>
        <v>Beard Brown</v>
      </c>
    </row>
    <row r="13" spans="1:9" x14ac:dyDescent="0.15">
      <c r="A13" t="s">
        <v>273</v>
      </c>
      <c r="B13" t="s">
        <v>1921</v>
      </c>
      <c r="C13" t="s">
        <v>1820</v>
      </c>
      <c r="D13">
        <v>12</v>
      </c>
      <c r="F13">
        <f>OUTPUTAvatarMatResID[[#This Row],[AvatarPartID]]*10000+OUTPUTAvatarMatResID[[#This Row],[SexID]]*1000+AvatarMatResID[[#This Row],[CountIndex]]</f>
        <v>20012</v>
      </c>
      <c r="G13">
        <f>VLOOKUP(AvatarMatResID[[#This Row],[AvatarPart]],AvatarPartID[],2,0)</f>
        <v>2</v>
      </c>
      <c r="H13">
        <f>VLOOKUP(AvatarMatResID[[#This Row],[Sex]],SexID[],2,0)</f>
        <v>0</v>
      </c>
      <c r="I13" t="str">
        <f>AvatarMatResID[[#This Row],[Material]]</f>
        <v>Beard Cyan</v>
      </c>
    </row>
    <row r="14" spans="1:9" x14ac:dyDescent="0.15">
      <c r="A14" t="s">
        <v>273</v>
      </c>
      <c r="B14" t="s">
        <v>1921</v>
      </c>
      <c r="C14" t="s">
        <v>1821</v>
      </c>
      <c r="D14">
        <v>13</v>
      </c>
      <c r="F14">
        <f>OUTPUTAvatarMatResID[[#This Row],[AvatarPartID]]*10000+OUTPUTAvatarMatResID[[#This Row],[SexID]]*1000+AvatarMatResID[[#This Row],[CountIndex]]</f>
        <v>20013</v>
      </c>
      <c r="G14">
        <f>VLOOKUP(AvatarMatResID[[#This Row],[AvatarPart]],AvatarPartID[],2,0)</f>
        <v>2</v>
      </c>
      <c r="H14">
        <f>VLOOKUP(AvatarMatResID[[#This Row],[Sex]],SexID[],2,0)</f>
        <v>0</v>
      </c>
      <c r="I14" t="str">
        <f>AvatarMatResID[[#This Row],[Material]]</f>
        <v>Beard Grey</v>
      </c>
    </row>
    <row r="15" spans="1:9" x14ac:dyDescent="0.15">
      <c r="A15" t="s">
        <v>273</v>
      </c>
      <c r="B15" t="s">
        <v>1921</v>
      </c>
      <c r="C15" t="s">
        <v>1822</v>
      </c>
      <c r="D15">
        <v>14</v>
      </c>
      <c r="F15">
        <f>OUTPUTAvatarMatResID[[#This Row],[AvatarPartID]]*10000+OUTPUTAvatarMatResID[[#This Row],[SexID]]*1000+AvatarMatResID[[#This Row],[CountIndex]]</f>
        <v>20014</v>
      </c>
      <c r="G15">
        <f>VLOOKUP(AvatarMatResID[[#This Row],[AvatarPart]],AvatarPartID[],2,0)</f>
        <v>2</v>
      </c>
      <c r="H15">
        <f>VLOOKUP(AvatarMatResID[[#This Row],[Sex]],SexID[],2,0)</f>
        <v>0</v>
      </c>
      <c r="I15" t="str">
        <f>AvatarMatResID[[#This Row],[Material]]</f>
        <v>Beard Purple</v>
      </c>
    </row>
    <row r="16" spans="1:9" x14ac:dyDescent="0.15">
      <c r="A16" t="s">
        <v>273</v>
      </c>
      <c r="B16" t="s">
        <v>1921</v>
      </c>
      <c r="C16" t="s">
        <v>1823</v>
      </c>
      <c r="D16">
        <v>15</v>
      </c>
      <c r="F16">
        <f>OUTPUTAvatarMatResID[[#This Row],[AvatarPartID]]*10000+OUTPUTAvatarMatResID[[#This Row],[SexID]]*1000+AvatarMatResID[[#This Row],[CountIndex]]</f>
        <v>20015</v>
      </c>
      <c r="G16">
        <f>VLOOKUP(AvatarMatResID[[#This Row],[AvatarPart]],AvatarPartID[],2,0)</f>
        <v>2</v>
      </c>
      <c r="H16">
        <f>VLOOKUP(AvatarMatResID[[#This Row],[Sex]],SexID[],2,0)</f>
        <v>0</v>
      </c>
      <c r="I16" t="str">
        <f>AvatarMatResID[[#This Row],[Material]]</f>
        <v>Beard Red</v>
      </c>
    </row>
    <row r="17" spans="1:9" x14ac:dyDescent="0.15">
      <c r="A17" t="s">
        <v>273</v>
      </c>
      <c r="B17" t="s">
        <v>1921</v>
      </c>
      <c r="C17" t="s">
        <v>1831</v>
      </c>
      <c r="D17">
        <v>16</v>
      </c>
      <c r="F17">
        <f>OUTPUTAvatarMatResID[[#This Row],[AvatarPartID]]*10000+OUTPUTAvatarMatResID[[#This Row],[SexID]]*1000+AvatarMatResID[[#This Row],[CountIndex]]</f>
        <v>20016</v>
      </c>
      <c r="G17">
        <f>VLOOKUP(AvatarMatResID[[#This Row],[AvatarPart]],AvatarPartID[],2,0)</f>
        <v>2</v>
      </c>
      <c r="H17">
        <f>VLOOKUP(AvatarMatResID[[#This Row],[Sex]],SexID[],2,0)</f>
        <v>0</v>
      </c>
      <c r="I17" t="str">
        <f>AvatarMatResID[[#This Row],[Material]]</f>
        <v>Jaw 01 Black</v>
      </c>
    </row>
    <row r="18" spans="1:9" x14ac:dyDescent="0.15">
      <c r="A18" t="s">
        <v>273</v>
      </c>
      <c r="B18" t="s">
        <v>1921</v>
      </c>
      <c r="C18" t="s">
        <v>1832</v>
      </c>
      <c r="D18">
        <v>17</v>
      </c>
      <c r="F18">
        <f>OUTPUTAvatarMatResID[[#This Row],[AvatarPartID]]*10000+OUTPUTAvatarMatResID[[#This Row],[SexID]]*1000+AvatarMatResID[[#This Row],[CountIndex]]</f>
        <v>20017</v>
      </c>
      <c r="G18">
        <f>VLOOKUP(AvatarMatResID[[#This Row],[AvatarPart]],AvatarPartID[],2,0)</f>
        <v>2</v>
      </c>
      <c r="H18">
        <f>VLOOKUP(AvatarMatResID[[#This Row],[Sex]],SexID[],2,0)</f>
        <v>0</v>
      </c>
      <c r="I18" t="str">
        <f>AvatarMatResID[[#This Row],[Material]]</f>
        <v>Jaw 01 Blue</v>
      </c>
    </row>
    <row r="19" spans="1:9" x14ac:dyDescent="0.15">
      <c r="A19" t="s">
        <v>273</v>
      </c>
      <c r="B19" t="s">
        <v>1921</v>
      </c>
      <c r="C19" t="s">
        <v>1833</v>
      </c>
      <c r="D19">
        <v>18</v>
      </c>
      <c r="F19">
        <f>OUTPUTAvatarMatResID[[#This Row],[AvatarPartID]]*10000+OUTPUTAvatarMatResID[[#This Row],[SexID]]*1000+AvatarMatResID[[#This Row],[CountIndex]]</f>
        <v>20018</v>
      </c>
      <c r="G19">
        <f>VLOOKUP(AvatarMatResID[[#This Row],[AvatarPart]],AvatarPartID[],2,0)</f>
        <v>2</v>
      </c>
      <c r="H19">
        <f>VLOOKUP(AvatarMatResID[[#This Row],[Sex]],SexID[],2,0)</f>
        <v>0</v>
      </c>
      <c r="I19" t="str">
        <f>AvatarMatResID[[#This Row],[Material]]</f>
        <v>Jaw 01 Green</v>
      </c>
    </row>
    <row r="20" spans="1:9" x14ac:dyDescent="0.15">
      <c r="A20" t="s">
        <v>273</v>
      </c>
      <c r="B20" t="s">
        <v>1921</v>
      </c>
      <c r="C20" t="s">
        <v>1834</v>
      </c>
      <c r="D20">
        <v>19</v>
      </c>
      <c r="F20">
        <f>OUTPUTAvatarMatResID[[#This Row],[AvatarPartID]]*10000+OUTPUTAvatarMatResID[[#This Row],[SexID]]*1000+AvatarMatResID[[#This Row],[CountIndex]]</f>
        <v>20019</v>
      </c>
      <c r="G20">
        <f>VLOOKUP(AvatarMatResID[[#This Row],[AvatarPart]],AvatarPartID[],2,0)</f>
        <v>2</v>
      </c>
      <c r="H20">
        <f>VLOOKUP(AvatarMatResID[[#This Row],[Sex]],SexID[],2,0)</f>
        <v>0</v>
      </c>
      <c r="I20" t="str">
        <f>AvatarMatResID[[#This Row],[Material]]</f>
        <v>Jaw 01 Purple</v>
      </c>
    </row>
    <row r="21" spans="1:9" x14ac:dyDescent="0.15">
      <c r="A21" t="s">
        <v>273</v>
      </c>
      <c r="B21" t="s">
        <v>1921</v>
      </c>
      <c r="C21" t="s">
        <v>1835</v>
      </c>
      <c r="D21">
        <v>20</v>
      </c>
      <c r="F21">
        <f>OUTPUTAvatarMatResID[[#This Row],[AvatarPartID]]*10000+OUTPUTAvatarMatResID[[#This Row],[SexID]]*1000+AvatarMatResID[[#This Row],[CountIndex]]</f>
        <v>20020</v>
      </c>
      <c r="G21">
        <f>VLOOKUP(AvatarMatResID[[#This Row],[AvatarPart]],AvatarPartID[],2,0)</f>
        <v>2</v>
      </c>
      <c r="H21">
        <f>VLOOKUP(AvatarMatResID[[#This Row],[Sex]],SexID[],2,0)</f>
        <v>0</v>
      </c>
      <c r="I21" t="str">
        <f>AvatarMatResID[[#This Row],[Material]]</f>
        <v>Jaw 01 Red</v>
      </c>
    </row>
    <row r="22" spans="1:9" x14ac:dyDescent="0.15">
      <c r="A22" t="s">
        <v>454</v>
      </c>
      <c r="B22" t="s">
        <v>1920</v>
      </c>
      <c r="C22" t="s">
        <v>457</v>
      </c>
      <c r="D22">
        <v>1</v>
      </c>
      <c r="F22">
        <f>OUTPUTAvatarMatResID[[#This Row],[AvatarPartID]]*10000+OUTPUTAvatarMatResID[[#This Row],[SexID]]*1000+AvatarMatResID[[#This Row],[CountIndex]]</f>
        <v>11001</v>
      </c>
      <c r="G22">
        <f>VLOOKUP(AvatarMatResID[[#This Row],[AvatarPart]],AvatarPartID[],2,0)</f>
        <v>1</v>
      </c>
      <c r="H22">
        <f>VLOOKUP(AvatarMatResID[[#This Row],[Sex]],SexID[],2,0)</f>
        <v>1</v>
      </c>
      <c r="I22" t="str">
        <f>AvatarMatResID[[#This Row],[Material]]</f>
        <v>Female Aqua 01 Blue</v>
      </c>
    </row>
    <row r="23" spans="1:9" x14ac:dyDescent="0.15">
      <c r="A23" t="s">
        <v>454</v>
      </c>
      <c r="B23" t="s">
        <v>1920</v>
      </c>
      <c r="C23" t="s">
        <v>458</v>
      </c>
      <c r="D23">
        <v>2</v>
      </c>
      <c r="F23">
        <f>OUTPUTAvatarMatResID[[#This Row],[AvatarPartID]]*10000+OUTPUTAvatarMatResID[[#This Row],[SexID]]*1000+AvatarMatResID[[#This Row],[CountIndex]]</f>
        <v>11002</v>
      </c>
      <c r="G23">
        <f>VLOOKUP(AvatarMatResID[[#This Row],[AvatarPart]],AvatarPartID[],2,0)</f>
        <v>1</v>
      </c>
      <c r="H23">
        <f>VLOOKUP(AvatarMatResID[[#This Row],[Sex]],SexID[],2,0)</f>
        <v>1</v>
      </c>
      <c r="I23" t="str">
        <f>AvatarMatResID[[#This Row],[Material]]</f>
        <v>Female Aqua 01 Cyan</v>
      </c>
    </row>
    <row r="24" spans="1:9" x14ac:dyDescent="0.15">
      <c r="A24" t="s">
        <v>454</v>
      </c>
      <c r="B24" t="s">
        <v>1920</v>
      </c>
      <c r="C24" t="s">
        <v>459</v>
      </c>
      <c r="D24">
        <v>3</v>
      </c>
      <c r="F24">
        <f>OUTPUTAvatarMatResID[[#This Row],[AvatarPartID]]*10000+OUTPUTAvatarMatResID[[#This Row],[SexID]]*1000+AvatarMatResID[[#This Row],[CountIndex]]</f>
        <v>11003</v>
      </c>
      <c r="G24">
        <f>VLOOKUP(AvatarMatResID[[#This Row],[AvatarPart]],AvatarPartID[],2,0)</f>
        <v>1</v>
      </c>
      <c r="H24">
        <f>VLOOKUP(AvatarMatResID[[#This Row],[Sex]],SexID[],2,0)</f>
        <v>1</v>
      </c>
      <c r="I24" t="str">
        <f>AvatarMatResID[[#This Row],[Material]]</f>
        <v>Female Black Archer 01 Black</v>
      </c>
    </row>
    <row r="25" spans="1:9" x14ac:dyDescent="0.15">
      <c r="A25" t="s">
        <v>454</v>
      </c>
      <c r="B25" t="s">
        <v>1920</v>
      </c>
      <c r="C25" t="s">
        <v>460</v>
      </c>
      <c r="D25">
        <v>4</v>
      </c>
      <c r="F25">
        <f>OUTPUTAvatarMatResID[[#This Row],[AvatarPartID]]*10000+OUTPUTAvatarMatResID[[#This Row],[SexID]]*1000+AvatarMatResID[[#This Row],[CountIndex]]</f>
        <v>11004</v>
      </c>
      <c r="G25">
        <f>VLOOKUP(AvatarMatResID[[#This Row],[AvatarPart]],AvatarPartID[],2,0)</f>
        <v>1</v>
      </c>
      <c r="H25">
        <f>VLOOKUP(AvatarMatResID[[#This Row],[Sex]],SexID[],2,0)</f>
        <v>1</v>
      </c>
      <c r="I25" t="str">
        <f>AvatarMatResID[[#This Row],[Material]]</f>
        <v>Female Black Archer 01 Blue</v>
      </c>
    </row>
    <row r="26" spans="1:9" x14ac:dyDescent="0.15">
      <c r="A26" t="s">
        <v>454</v>
      </c>
      <c r="B26" t="s">
        <v>1920</v>
      </c>
      <c r="C26" t="s">
        <v>461</v>
      </c>
      <c r="D26">
        <v>5</v>
      </c>
      <c r="F26">
        <f>OUTPUTAvatarMatResID[[#This Row],[AvatarPartID]]*10000+OUTPUTAvatarMatResID[[#This Row],[SexID]]*1000+AvatarMatResID[[#This Row],[CountIndex]]</f>
        <v>11005</v>
      </c>
      <c r="G26">
        <f>VLOOKUP(AvatarMatResID[[#This Row],[AvatarPart]],AvatarPartID[],2,0)</f>
        <v>1</v>
      </c>
      <c r="H26">
        <f>VLOOKUP(AvatarMatResID[[#This Row],[Sex]],SexID[],2,0)</f>
        <v>1</v>
      </c>
      <c r="I26" t="str">
        <f>AvatarMatResID[[#This Row],[Material]]</f>
        <v>Female Black Archer 01 Green</v>
      </c>
    </row>
    <row r="27" spans="1:9" x14ac:dyDescent="0.15">
      <c r="A27" t="s">
        <v>454</v>
      </c>
      <c r="B27" t="s">
        <v>1920</v>
      </c>
      <c r="C27" t="s">
        <v>462</v>
      </c>
      <c r="D27">
        <v>6</v>
      </c>
      <c r="F27">
        <f>OUTPUTAvatarMatResID[[#This Row],[AvatarPartID]]*10000+OUTPUTAvatarMatResID[[#This Row],[SexID]]*1000+AvatarMatResID[[#This Row],[CountIndex]]</f>
        <v>11006</v>
      </c>
      <c r="G27">
        <f>VLOOKUP(AvatarMatResID[[#This Row],[AvatarPart]],AvatarPartID[],2,0)</f>
        <v>1</v>
      </c>
      <c r="H27">
        <f>VLOOKUP(AvatarMatResID[[#This Row],[Sex]],SexID[],2,0)</f>
        <v>1</v>
      </c>
      <c r="I27" t="str">
        <f>AvatarMatResID[[#This Row],[Material]]</f>
        <v>Female Black Archer 01 Magenta</v>
      </c>
    </row>
    <row r="28" spans="1:9" x14ac:dyDescent="0.15">
      <c r="A28" t="s">
        <v>454</v>
      </c>
      <c r="B28" t="s">
        <v>1920</v>
      </c>
      <c r="C28" t="s">
        <v>463</v>
      </c>
      <c r="D28">
        <v>7</v>
      </c>
      <c r="F28">
        <f>OUTPUTAvatarMatResID[[#This Row],[AvatarPartID]]*10000+OUTPUTAvatarMatResID[[#This Row],[SexID]]*1000+AvatarMatResID[[#This Row],[CountIndex]]</f>
        <v>11007</v>
      </c>
      <c r="G28">
        <f>VLOOKUP(AvatarMatResID[[#This Row],[AvatarPart]],AvatarPartID[],2,0)</f>
        <v>1</v>
      </c>
      <c r="H28">
        <f>VLOOKUP(AvatarMatResID[[#This Row],[Sex]],SexID[],2,0)</f>
        <v>1</v>
      </c>
      <c r="I28" t="str">
        <f>AvatarMatResID[[#This Row],[Material]]</f>
        <v>Female Black Archer 01 Purple</v>
      </c>
    </row>
    <row r="29" spans="1:9" x14ac:dyDescent="0.15">
      <c r="A29" t="s">
        <v>454</v>
      </c>
      <c r="B29" t="s">
        <v>1920</v>
      </c>
      <c r="C29" t="s">
        <v>464</v>
      </c>
      <c r="D29">
        <v>8</v>
      </c>
      <c r="F29">
        <f>OUTPUTAvatarMatResID[[#This Row],[AvatarPartID]]*10000+OUTPUTAvatarMatResID[[#This Row],[SexID]]*1000+AvatarMatResID[[#This Row],[CountIndex]]</f>
        <v>11008</v>
      </c>
      <c r="G29">
        <f>VLOOKUP(AvatarMatResID[[#This Row],[AvatarPart]],AvatarPartID[],2,0)</f>
        <v>1</v>
      </c>
      <c r="H29">
        <f>VLOOKUP(AvatarMatResID[[#This Row],[Sex]],SexID[],2,0)</f>
        <v>1</v>
      </c>
      <c r="I29" t="str">
        <f>AvatarMatResID[[#This Row],[Material]]</f>
        <v>Female Black Archer 01 White</v>
      </c>
    </row>
    <row r="30" spans="1:9" x14ac:dyDescent="0.15">
      <c r="A30" t="s">
        <v>454</v>
      </c>
      <c r="B30" t="s">
        <v>1920</v>
      </c>
      <c r="C30" t="s">
        <v>465</v>
      </c>
      <c r="D30">
        <v>9</v>
      </c>
      <c r="F30">
        <f>OUTPUTAvatarMatResID[[#This Row],[AvatarPartID]]*10000+OUTPUTAvatarMatResID[[#This Row],[SexID]]*1000+AvatarMatResID[[#This Row],[CountIndex]]</f>
        <v>11009</v>
      </c>
      <c r="G30">
        <f>VLOOKUP(AvatarMatResID[[#This Row],[AvatarPart]],AvatarPartID[],2,0)</f>
        <v>1</v>
      </c>
      <c r="H30">
        <f>VLOOKUP(AvatarMatResID[[#This Row],[Sex]],SexID[],2,0)</f>
        <v>1</v>
      </c>
      <c r="I30" t="str">
        <f>AvatarMatResID[[#This Row],[Material]]</f>
        <v>Female Black Archer 02 Black</v>
      </c>
    </row>
    <row r="31" spans="1:9" x14ac:dyDescent="0.15">
      <c r="A31" t="s">
        <v>454</v>
      </c>
      <c r="B31" t="s">
        <v>1920</v>
      </c>
      <c r="C31" t="s">
        <v>466</v>
      </c>
      <c r="D31">
        <v>10</v>
      </c>
      <c r="F31">
        <f>OUTPUTAvatarMatResID[[#This Row],[AvatarPartID]]*10000+OUTPUTAvatarMatResID[[#This Row],[SexID]]*1000+AvatarMatResID[[#This Row],[CountIndex]]</f>
        <v>11010</v>
      </c>
      <c r="G31">
        <f>VLOOKUP(AvatarMatResID[[#This Row],[AvatarPart]],AvatarPartID[],2,0)</f>
        <v>1</v>
      </c>
      <c r="H31">
        <f>VLOOKUP(AvatarMatResID[[#This Row],[Sex]],SexID[],2,0)</f>
        <v>1</v>
      </c>
      <c r="I31" t="str">
        <f>AvatarMatResID[[#This Row],[Material]]</f>
        <v>Female Black Archer 02 Blue</v>
      </c>
    </row>
    <row r="32" spans="1:9" x14ac:dyDescent="0.15">
      <c r="A32" t="s">
        <v>454</v>
      </c>
      <c r="B32" t="s">
        <v>1920</v>
      </c>
      <c r="C32" t="s">
        <v>467</v>
      </c>
      <c r="D32">
        <v>11</v>
      </c>
      <c r="F32">
        <f>OUTPUTAvatarMatResID[[#This Row],[AvatarPartID]]*10000+OUTPUTAvatarMatResID[[#This Row],[SexID]]*1000+AvatarMatResID[[#This Row],[CountIndex]]</f>
        <v>11011</v>
      </c>
      <c r="G32">
        <f>VLOOKUP(AvatarMatResID[[#This Row],[AvatarPart]],AvatarPartID[],2,0)</f>
        <v>1</v>
      </c>
      <c r="H32">
        <f>VLOOKUP(AvatarMatResID[[#This Row],[Sex]],SexID[],2,0)</f>
        <v>1</v>
      </c>
      <c r="I32" t="str">
        <f>AvatarMatResID[[#This Row],[Material]]</f>
        <v>Female Black Archer 02 Green</v>
      </c>
    </row>
    <row r="33" spans="1:9" x14ac:dyDescent="0.15">
      <c r="A33" t="s">
        <v>454</v>
      </c>
      <c r="B33" t="s">
        <v>1920</v>
      </c>
      <c r="C33" t="s">
        <v>468</v>
      </c>
      <c r="D33">
        <v>12</v>
      </c>
      <c r="F33">
        <f>OUTPUTAvatarMatResID[[#This Row],[AvatarPartID]]*10000+OUTPUTAvatarMatResID[[#This Row],[SexID]]*1000+AvatarMatResID[[#This Row],[CountIndex]]</f>
        <v>11012</v>
      </c>
      <c r="G33">
        <f>VLOOKUP(AvatarMatResID[[#This Row],[AvatarPart]],AvatarPartID[],2,0)</f>
        <v>1</v>
      </c>
      <c r="H33">
        <f>VLOOKUP(AvatarMatResID[[#This Row],[Sex]],SexID[],2,0)</f>
        <v>1</v>
      </c>
      <c r="I33" t="str">
        <f>AvatarMatResID[[#This Row],[Material]]</f>
        <v>Female Black Archer 02 Lime</v>
      </c>
    </row>
    <row r="34" spans="1:9" x14ac:dyDescent="0.15">
      <c r="A34" t="s">
        <v>454</v>
      </c>
      <c r="B34" t="s">
        <v>1920</v>
      </c>
      <c r="C34" t="s">
        <v>469</v>
      </c>
      <c r="D34">
        <v>13</v>
      </c>
      <c r="F34">
        <f>OUTPUTAvatarMatResID[[#This Row],[AvatarPartID]]*10000+OUTPUTAvatarMatResID[[#This Row],[SexID]]*1000+AvatarMatResID[[#This Row],[CountIndex]]</f>
        <v>11013</v>
      </c>
      <c r="G34">
        <f>VLOOKUP(AvatarMatResID[[#This Row],[AvatarPart]],AvatarPartID[],2,0)</f>
        <v>1</v>
      </c>
      <c r="H34">
        <f>VLOOKUP(AvatarMatResID[[#This Row],[Sex]],SexID[],2,0)</f>
        <v>1</v>
      </c>
      <c r="I34" t="str">
        <f>AvatarMatResID[[#This Row],[Material]]</f>
        <v>Female Black Archer 02 Magenta</v>
      </c>
    </row>
    <row r="35" spans="1:9" x14ac:dyDescent="0.15">
      <c r="A35" t="s">
        <v>454</v>
      </c>
      <c r="B35" t="s">
        <v>1920</v>
      </c>
      <c r="C35" t="s">
        <v>470</v>
      </c>
      <c r="D35">
        <v>14</v>
      </c>
      <c r="F35">
        <f>OUTPUTAvatarMatResID[[#This Row],[AvatarPartID]]*10000+OUTPUTAvatarMatResID[[#This Row],[SexID]]*1000+AvatarMatResID[[#This Row],[CountIndex]]</f>
        <v>11014</v>
      </c>
      <c r="G35">
        <f>VLOOKUP(AvatarMatResID[[#This Row],[AvatarPart]],AvatarPartID[],2,0)</f>
        <v>1</v>
      </c>
      <c r="H35">
        <f>VLOOKUP(AvatarMatResID[[#This Row],[Sex]],SexID[],2,0)</f>
        <v>1</v>
      </c>
      <c r="I35" t="str">
        <f>AvatarMatResID[[#This Row],[Material]]</f>
        <v>Female Black Archer 02 Purple</v>
      </c>
    </row>
    <row r="36" spans="1:9" x14ac:dyDescent="0.15">
      <c r="A36" t="s">
        <v>454</v>
      </c>
      <c r="B36" t="s">
        <v>1920</v>
      </c>
      <c r="C36" t="s">
        <v>471</v>
      </c>
      <c r="D36">
        <v>15</v>
      </c>
      <c r="F36">
        <f>OUTPUTAvatarMatResID[[#This Row],[AvatarPartID]]*10000+OUTPUTAvatarMatResID[[#This Row],[SexID]]*1000+AvatarMatResID[[#This Row],[CountIndex]]</f>
        <v>11015</v>
      </c>
      <c r="G36">
        <f>VLOOKUP(AvatarMatResID[[#This Row],[AvatarPart]],AvatarPartID[],2,0)</f>
        <v>1</v>
      </c>
      <c r="H36">
        <f>VLOOKUP(AvatarMatResID[[#This Row],[Sex]],SexID[],2,0)</f>
        <v>1</v>
      </c>
      <c r="I36" t="str">
        <f>AvatarMatResID[[#This Row],[Material]]</f>
        <v>Female Black Archer 02 White</v>
      </c>
    </row>
    <row r="37" spans="1:9" x14ac:dyDescent="0.15">
      <c r="A37" t="s">
        <v>454</v>
      </c>
      <c r="B37" t="s">
        <v>1920</v>
      </c>
      <c r="C37" t="s">
        <v>472</v>
      </c>
      <c r="D37">
        <v>16</v>
      </c>
      <c r="F37">
        <f>OUTPUTAvatarMatResID[[#This Row],[AvatarPartID]]*10000+OUTPUTAvatarMatResID[[#This Row],[SexID]]*1000+AvatarMatResID[[#This Row],[CountIndex]]</f>
        <v>11016</v>
      </c>
      <c r="G37">
        <f>VLOOKUP(AvatarMatResID[[#This Row],[AvatarPart]],AvatarPartID[],2,0)</f>
        <v>1</v>
      </c>
      <c r="H37">
        <f>VLOOKUP(AvatarMatResID[[#This Row],[Sex]],SexID[],2,0)</f>
        <v>1</v>
      </c>
      <c r="I37" t="str">
        <f>AvatarMatResID[[#This Row],[Material]]</f>
        <v>Female Black Archer 03 Black</v>
      </c>
    </row>
    <row r="38" spans="1:9" x14ac:dyDescent="0.15">
      <c r="A38" t="s">
        <v>454</v>
      </c>
      <c r="B38" t="s">
        <v>1920</v>
      </c>
      <c r="C38" t="s">
        <v>473</v>
      </c>
      <c r="D38">
        <v>17</v>
      </c>
      <c r="F38">
        <f>OUTPUTAvatarMatResID[[#This Row],[AvatarPartID]]*10000+OUTPUTAvatarMatResID[[#This Row],[SexID]]*1000+AvatarMatResID[[#This Row],[CountIndex]]</f>
        <v>11017</v>
      </c>
      <c r="G38">
        <f>VLOOKUP(AvatarMatResID[[#This Row],[AvatarPart]],AvatarPartID[],2,0)</f>
        <v>1</v>
      </c>
      <c r="H38">
        <f>VLOOKUP(AvatarMatResID[[#This Row],[Sex]],SexID[],2,0)</f>
        <v>1</v>
      </c>
      <c r="I38" t="str">
        <f>AvatarMatResID[[#This Row],[Material]]</f>
        <v>Female Black Archer 03 Blue</v>
      </c>
    </row>
    <row r="39" spans="1:9" x14ac:dyDescent="0.15">
      <c r="A39" t="s">
        <v>454</v>
      </c>
      <c r="B39" t="s">
        <v>1920</v>
      </c>
      <c r="C39" t="s">
        <v>474</v>
      </c>
      <c r="D39">
        <v>18</v>
      </c>
      <c r="F39">
        <f>OUTPUTAvatarMatResID[[#This Row],[AvatarPartID]]*10000+OUTPUTAvatarMatResID[[#This Row],[SexID]]*1000+AvatarMatResID[[#This Row],[CountIndex]]</f>
        <v>11018</v>
      </c>
      <c r="G39">
        <f>VLOOKUP(AvatarMatResID[[#This Row],[AvatarPart]],AvatarPartID[],2,0)</f>
        <v>1</v>
      </c>
      <c r="H39">
        <f>VLOOKUP(AvatarMatResID[[#This Row],[Sex]],SexID[],2,0)</f>
        <v>1</v>
      </c>
      <c r="I39" t="str">
        <f>AvatarMatResID[[#This Row],[Material]]</f>
        <v>Female Black Archer 03 Green</v>
      </c>
    </row>
    <row r="40" spans="1:9" x14ac:dyDescent="0.15">
      <c r="A40" t="s">
        <v>454</v>
      </c>
      <c r="B40" t="s">
        <v>1920</v>
      </c>
      <c r="C40" t="s">
        <v>475</v>
      </c>
      <c r="D40">
        <v>19</v>
      </c>
      <c r="F40">
        <f>OUTPUTAvatarMatResID[[#This Row],[AvatarPartID]]*10000+OUTPUTAvatarMatResID[[#This Row],[SexID]]*1000+AvatarMatResID[[#This Row],[CountIndex]]</f>
        <v>11019</v>
      </c>
      <c r="G40">
        <f>VLOOKUP(AvatarMatResID[[#This Row],[AvatarPart]],AvatarPartID[],2,0)</f>
        <v>1</v>
      </c>
      <c r="H40">
        <f>VLOOKUP(AvatarMatResID[[#This Row],[Sex]],SexID[],2,0)</f>
        <v>1</v>
      </c>
      <c r="I40" t="str">
        <f>AvatarMatResID[[#This Row],[Material]]</f>
        <v>Female Black Archer 03 Maroon</v>
      </c>
    </row>
    <row r="41" spans="1:9" x14ac:dyDescent="0.15">
      <c r="A41" t="s">
        <v>454</v>
      </c>
      <c r="B41" t="s">
        <v>1920</v>
      </c>
      <c r="C41" t="s">
        <v>476</v>
      </c>
      <c r="D41">
        <v>20</v>
      </c>
      <c r="F41">
        <f>OUTPUTAvatarMatResID[[#This Row],[AvatarPartID]]*10000+OUTPUTAvatarMatResID[[#This Row],[SexID]]*1000+AvatarMatResID[[#This Row],[CountIndex]]</f>
        <v>11020</v>
      </c>
      <c r="G41">
        <f>VLOOKUP(AvatarMatResID[[#This Row],[AvatarPart]],AvatarPartID[],2,0)</f>
        <v>1</v>
      </c>
      <c r="H41">
        <f>VLOOKUP(AvatarMatResID[[#This Row],[Sex]],SexID[],2,0)</f>
        <v>1</v>
      </c>
      <c r="I41" t="str">
        <f>AvatarMatResID[[#This Row],[Material]]</f>
        <v>Female Black Archer 03 Olive</v>
      </c>
    </row>
    <row r="42" spans="1:9" x14ac:dyDescent="0.15">
      <c r="A42" t="s">
        <v>454</v>
      </c>
      <c r="B42" t="s">
        <v>1920</v>
      </c>
      <c r="C42" t="s">
        <v>477</v>
      </c>
      <c r="D42">
        <v>21</v>
      </c>
      <c r="F42">
        <f>OUTPUTAvatarMatResID[[#This Row],[AvatarPartID]]*10000+OUTPUTAvatarMatResID[[#This Row],[SexID]]*1000+AvatarMatResID[[#This Row],[CountIndex]]</f>
        <v>11021</v>
      </c>
      <c r="G42">
        <f>VLOOKUP(AvatarMatResID[[#This Row],[AvatarPart]],AvatarPartID[],2,0)</f>
        <v>1</v>
      </c>
      <c r="H42">
        <f>VLOOKUP(AvatarMatResID[[#This Row],[Sex]],SexID[],2,0)</f>
        <v>1</v>
      </c>
      <c r="I42" t="str">
        <f>AvatarMatResID[[#This Row],[Material]]</f>
        <v>Female Black Archer 03 Purple</v>
      </c>
    </row>
    <row r="43" spans="1:9" x14ac:dyDescent="0.15">
      <c r="A43" t="s">
        <v>454</v>
      </c>
      <c r="B43" t="s">
        <v>1920</v>
      </c>
      <c r="C43" t="s">
        <v>478</v>
      </c>
      <c r="D43">
        <v>22</v>
      </c>
      <c r="F43">
        <f>OUTPUTAvatarMatResID[[#This Row],[AvatarPartID]]*10000+OUTPUTAvatarMatResID[[#This Row],[SexID]]*1000+AvatarMatResID[[#This Row],[CountIndex]]</f>
        <v>11022</v>
      </c>
      <c r="G43">
        <f>VLOOKUP(AvatarMatResID[[#This Row],[AvatarPart]],AvatarPartID[],2,0)</f>
        <v>1</v>
      </c>
      <c r="H43">
        <f>VLOOKUP(AvatarMatResID[[#This Row],[Sex]],SexID[],2,0)</f>
        <v>1</v>
      </c>
      <c r="I43" t="str">
        <f>AvatarMatResID[[#This Row],[Material]]</f>
        <v>Female Black Archer 03 White</v>
      </c>
    </row>
    <row r="44" spans="1:9" x14ac:dyDescent="0.15">
      <c r="A44" t="s">
        <v>454</v>
      </c>
      <c r="B44" t="s">
        <v>1920</v>
      </c>
      <c r="C44" t="s">
        <v>479</v>
      </c>
      <c r="D44">
        <v>23</v>
      </c>
      <c r="F44">
        <f>OUTPUTAvatarMatResID[[#This Row],[AvatarPartID]]*10000+OUTPUTAvatarMatResID[[#This Row],[SexID]]*1000+AvatarMatResID[[#This Row],[CountIndex]]</f>
        <v>11023</v>
      </c>
      <c r="G44">
        <f>VLOOKUP(AvatarMatResID[[#This Row],[AvatarPart]],AvatarPartID[],2,0)</f>
        <v>1</v>
      </c>
      <c r="H44">
        <f>VLOOKUP(AvatarMatResID[[#This Row],[Sex]],SexID[],2,0)</f>
        <v>1</v>
      </c>
      <c r="I44" t="str">
        <f>AvatarMatResID[[#This Row],[Material]]</f>
        <v>Female Black Archer 04 Black</v>
      </c>
    </row>
    <row r="45" spans="1:9" x14ac:dyDescent="0.15">
      <c r="A45" t="s">
        <v>454</v>
      </c>
      <c r="B45" t="s">
        <v>1920</v>
      </c>
      <c r="C45" t="s">
        <v>480</v>
      </c>
      <c r="D45">
        <v>24</v>
      </c>
      <c r="F45">
        <f>OUTPUTAvatarMatResID[[#This Row],[AvatarPartID]]*10000+OUTPUTAvatarMatResID[[#This Row],[SexID]]*1000+AvatarMatResID[[#This Row],[CountIndex]]</f>
        <v>11024</v>
      </c>
      <c r="G45">
        <f>VLOOKUP(AvatarMatResID[[#This Row],[AvatarPart]],AvatarPartID[],2,0)</f>
        <v>1</v>
      </c>
      <c r="H45">
        <f>VLOOKUP(AvatarMatResID[[#This Row],[Sex]],SexID[],2,0)</f>
        <v>1</v>
      </c>
      <c r="I45" t="str">
        <f>AvatarMatResID[[#This Row],[Material]]</f>
        <v>Female Black Archer 04 Blue</v>
      </c>
    </row>
    <row r="46" spans="1:9" x14ac:dyDescent="0.15">
      <c r="A46" t="s">
        <v>454</v>
      </c>
      <c r="B46" t="s">
        <v>1920</v>
      </c>
      <c r="C46" t="s">
        <v>481</v>
      </c>
      <c r="D46">
        <v>25</v>
      </c>
      <c r="F46">
        <f>OUTPUTAvatarMatResID[[#This Row],[AvatarPartID]]*10000+OUTPUTAvatarMatResID[[#This Row],[SexID]]*1000+AvatarMatResID[[#This Row],[CountIndex]]</f>
        <v>11025</v>
      </c>
      <c r="G46">
        <f>VLOOKUP(AvatarMatResID[[#This Row],[AvatarPart]],AvatarPartID[],2,0)</f>
        <v>1</v>
      </c>
      <c r="H46">
        <f>VLOOKUP(AvatarMatResID[[#This Row],[Sex]],SexID[],2,0)</f>
        <v>1</v>
      </c>
      <c r="I46" t="str">
        <f>AvatarMatResID[[#This Row],[Material]]</f>
        <v>Female Black Archer 04 Green</v>
      </c>
    </row>
    <row r="47" spans="1:9" x14ac:dyDescent="0.15">
      <c r="A47" t="s">
        <v>454</v>
      </c>
      <c r="B47" t="s">
        <v>1920</v>
      </c>
      <c r="C47" t="s">
        <v>482</v>
      </c>
      <c r="D47">
        <v>26</v>
      </c>
      <c r="F47">
        <f>OUTPUTAvatarMatResID[[#This Row],[AvatarPartID]]*10000+OUTPUTAvatarMatResID[[#This Row],[SexID]]*1000+AvatarMatResID[[#This Row],[CountIndex]]</f>
        <v>11026</v>
      </c>
      <c r="G47">
        <f>VLOOKUP(AvatarMatResID[[#This Row],[AvatarPart]],AvatarPartID[],2,0)</f>
        <v>1</v>
      </c>
      <c r="H47">
        <f>VLOOKUP(AvatarMatResID[[#This Row],[Sex]],SexID[],2,0)</f>
        <v>1</v>
      </c>
      <c r="I47" t="str">
        <f>AvatarMatResID[[#This Row],[Material]]</f>
        <v>Female Black Archer 04 Magenta</v>
      </c>
    </row>
    <row r="48" spans="1:9" x14ac:dyDescent="0.15">
      <c r="A48" t="s">
        <v>454</v>
      </c>
      <c r="B48" t="s">
        <v>1920</v>
      </c>
      <c r="C48" t="s">
        <v>483</v>
      </c>
      <c r="D48">
        <v>27</v>
      </c>
      <c r="F48">
        <f>OUTPUTAvatarMatResID[[#This Row],[AvatarPartID]]*10000+OUTPUTAvatarMatResID[[#This Row],[SexID]]*1000+AvatarMatResID[[#This Row],[CountIndex]]</f>
        <v>11027</v>
      </c>
      <c r="G48">
        <f>VLOOKUP(AvatarMatResID[[#This Row],[AvatarPart]],AvatarPartID[],2,0)</f>
        <v>1</v>
      </c>
      <c r="H48">
        <f>VLOOKUP(AvatarMatResID[[#This Row],[Sex]],SexID[],2,0)</f>
        <v>1</v>
      </c>
      <c r="I48" t="str">
        <f>AvatarMatResID[[#This Row],[Material]]</f>
        <v>Female Black Archer 04 Purple</v>
      </c>
    </row>
    <row r="49" spans="1:9" x14ac:dyDescent="0.15">
      <c r="A49" t="s">
        <v>454</v>
      </c>
      <c r="B49" t="s">
        <v>1920</v>
      </c>
      <c r="C49" t="s">
        <v>484</v>
      </c>
      <c r="D49">
        <v>28</v>
      </c>
      <c r="F49">
        <f>OUTPUTAvatarMatResID[[#This Row],[AvatarPartID]]*10000+OUTPUTAvatarMatResID[[#This Row],[SexID]]*1000+AvatarMatResID[[#This Row],[CountIndex]]</f>
        <v>11028</v>
      </c>
      <c r="G49">
        <f>VLOOKUP(AvatarMatResID[[#This Row],[AvatarPart]],AvatarPartID[],2,0)</f>
        <v>1</v>
      </c>
      <c r="H49">
        <f>VLOOKUP(AvatarMatResID[[#This Row],[Sex]],SexID[],2,0)</f>
        <v>1</v>
      </c>
      <c r="I49" t="str">
        <f>AvatarMatResID[[#This Row],[Material]]</f>
        <v>Female Black Archer 04 Red</v>
      </c>
    </row>
    <row r="50" spans="1:9" x14ac:dyDescent="0.15">
      <c r="A50" t="s">
        <v>454</v>
      </c>
      <c r="B50" t="s">
        <v>1920</v>
      </c>
      <c r="C50" t="s">
        <v>485</v>
      </c>
      <c r="D50">
        <v>29</v>
      </c>
      <c r="F50">
        <f>OUTPUTAvatarMatResID[[#This Row],[AvatarPartID]]*10000+OUTPUTAvatarMatResID[[#This Row],[SexID]]*1000+AvatarMatResID[[#This Row],[CountIndex]]</f>
        <v>11029</v>
      </c>
      <c r="G50">
        <f>VLOOKUP(AvatarMatResID[[#This Row],[AvatarPart]],AvatarPartID[],2,0)</f>
        <v>1</v>
      </c>
      <c r="H50">
        <f>VLOOKUP(AvatarMatResID[[#This Row],[Sex]],SexID[],2,0)</f>
        <v>1</v>
      </c>
      <c r="I50" t="str">
        <f>AvatarMatResID[[#This Row],[Material]]</f>
        <v>Female Black Archer 04 White</v>
      </c>
    </row>
    <row r="51" spans="1:9" x14ac:dyDescent="0.15">
      <c r="A51" t="s">
        <v>454</v>
      </c>
      <c r="B51" t="s">
        <v>1920</v>
      </c>
      <c r="C51" t="s">
        <v>486</v>
      </c>
      <c r="D51">
        <v>30</v>
      </c>
      <c r="F51">
        <f>OUTPUTAvatarMatResID[[#This Row],[AvatarPartID]]*10000+OUTPUTAvatarMatResID[[#This Row],[SexID]]*1000+AvatarMatResID[[#This Row],[CountIndex]]</f>
        <v>11030</v>
      </c>
      <c r="G51">
        <f>VLOOKUP(AvatarMatResID[[#This Row],[AvatarPart]],AvatarPartID[],2,0)</f>
        <v>1</v>
      </c>
      <c r="H51">
        <f>VLOOKUP(AvatarMatResID[[#This Row],[Sex]],SexID[],2,0)</f>
        <v>1</v>
      </c>
      <c r="I51" t="str">
        <f>AvatarMatResID[[#This Row],[Material]]</f>
        <v>Female Black Archer 04 Yellow</v>
      </c>
    </row>
    <row r="52" spans="1:9" x14ac:dyDescent="0.15">
      <c r="A52" t="s">
        <v>454</v>
      </c>
      <c r="B52" t="s">
        <v>1920</v>
      </c>
      <c r="C52" t="s">
        <v>487</v>
      </c>
      <c r="D52">
        <v>31</v>
      </c>
      <c r="F52">
        <f>OUTPUTAvatarMatResID[[#This Row],[AvatarPartID]]*10000+OUTPUTAvatarMatResID[[#This Row],[SexID]]*1000+AvatarMatResID[[#This Row],[CountIndex]]</f>
        <v>11031</v>
      </c>
      <c r="G52">
        <f>VLOOKUP(AvatarMatResID[[#This Row],[AvatarPart]],AvatarPartID[],2,0)</f>
        <v>1</v>
      </c>
      <c r="H52">
        <f>VLOOKUP(AvatarMatResID[[#This Row],[Sex]],SexID[],2,0)</f>
        <v>1</v>
      </c>
      <c r="I52" t="str">
        <f>AvatarMatResID[[#This Row],[Material]]</f>
        <v>Female Black Archer 05 Black</v>
      </c>
    </row>
    <row r="53" spans="1:9" x14ac:dyDescent="0.15">
      <c r="A53" t="s">
        <v>454</v>
      </c>
      <c r="B53" t="s">
        <v>1920</v>
      </c>
      <c r="C53" t="s">
        <v>488</v>
      </c>
      <c r="D53">
        <v>32</v>
      </c>
      <c r="F53">
        <f>OUTPUTAvatarMatResID[[#This Row],[AvatarPartID]]*10000+OUTPUTAvatarMatResID[[#This Row],[SexID]]*1000+AvatarMatResID[[#This Row],[CountIndex]]</f>
        <v>11032</v>
      </c>
      <c r="G53">
        <f>VLOOKUP(AvatarMatResID[[#This Row],[AvatarPart]],AvatarPartID[],2,0)</f>
        <v>1</v>
      </c>
      <c r="H53">
        <f>VLOOKUP(AvatarMatResID[[#This Row],[Sex]],SexID[],2,0)</f>
        <v>1</v>
      </c>
      <c r="I53" t="str">
        <f>AvatarMatResID[[#This Row],[Material]]</f>
        <v>Female Black Archer 05 Blue</v>
      </c>
    </row>
    <row r="54" spans="1:9" x14ac:dyDescent="0.15">
      <c r="A54" t="s">
        <v>454</v>
      </c>
      <c r="B54" t="s">
        <v>1920</v>
      </c>
      <c r="C54" t="s">
        <v>489</v>
      </c>
      <c r="D54">
        <v>33</v>
      </c>
      <c r="F54">
        <f>OUTPUTAvatarMatResID[[#This Row],[AvatarPartID]]*10000+OUTPUTAvatarMatResID[[#This Row],[SexID]]*1000+AvatarMatResID[[#This Row],[CountIndex]]</f>
        <v>11033</v>
      </c>
      <c r="G54">
        <f>VLOOKUP(AvatarMatResID[[#This Row],[AvatarPart]],AvatarPartID[],2,0)</f>
        <v>1</v>
      </c>
      <c r="H54">
        <f>VLOOKUP(AvatarMatResID[[#This Row],[Sex]],SexID[],2,0)</f>
        <v>1</v>
      </c>
      <c r="I54" t="str">
        <f>AvatarMatResID[[#This Row],[Material]]</f>
        <v>Female Black Archer 05 Green</v>
      </c>
    </row>
    <row r="55" spans="1:9" x14ac:dyDescent="0.15">
      <c r="A55" t="s">
        <v>454</v>
      </c>
      <c r="B55" t="s">
        <v>1920</v>
      </c>
      <c r="C55" t="s">
        <v>490</v>
      </c>
      <c r="D55">
        <v>34</v>
      </c>
      <c r="F55">
        <f>OUTPUTAvatarMatResID[[#This Row],[AvatarPartID]]*10000+OUTPUTAvatarMatResID[[#This Row],[SexID]]*1000+AvatarMatResID[[#This Row],[CountIndex]]</f>
        <v>11034</v>
      </c>
      <c r="G55">
        <f>VLOOKUP(AvatarMatResID[[#This Row],[AvatarPart]],AvatarPartID[],2,0)</f>
        <v>1</v>
      </c>
      <c r="H55">
        <f>VLOOKUP(AvatarMatResID[[#This Row],[Sex]],SexID[],2,0)</f>
        <v>1</v>
      </c>
      <c r="I55" t="str">
        <f>AvatarMatResID[[#This Row],[Material]]</f>
        <v>Female Black Archer 05 Magenta</v>
      </c>
    </row>
    <row r="56" spans="1:9" x14ac:dyDescent="0.15">
      <c r="A56" t="s">
        <v>454</v>
      </c>
      <c r="B56" t="s">
        <v>1920</v>
      </c>
      <c r="C56" t="s">
        <v>491</v>
      </c>
      <c r="D56">
        <v>35</v>
      </c>
      <c r="F56">
        <f>OUTPUTAvatarMatResID[[#This Row],[AvatarPartID]]*10000+OUTPUTAvatarMatResID[[#This Row],[SexID]]*1000+AvatarMatResID[[#This Row],[CountIndex]]</f>
        <v>11035</v>
      </c>
      <c r="G56">
        <f>VLOOKUP(AvatarMatResID[[#This Row],[AvatarPart]],AvatarPartID[],2,0)</f>
        <v>1</v>
      </c>
      <c r="H56">
        <f>VLOOKUP(AvatarMatResID[[#This Row],[Sex]],SexID[],2,0)</f>
        <v>1</v>
      </c>
      <c r="I56" t="str">
        <f>AvatarMatResID[[#This Row],[Material]]</f>
        <v>Female Black Archer 05 Purple</v>
      </c>
    </row>
    <row r="57" spans="1:9" x14ac:dyDescent="0.15">
      <c r="A57" t="s">
        <v>454</v>
      </c>
      <c r="B57" t="s">
        <v>1920</v>
      </c>
      <c r="C57" t="s">
        <v>492</v>
      </c>
      <c r="D57">
        <v>36</v>
      </c>
      <c r="F57">
        <f>OUTPUTAvatarMatResID[[#This Row],[AvatarPartID]]*10000+OUTPUTAvatarMatResID[[#This Row],[SexID]]*1000+AvatarMatResID[[#This Row],[CountIndex]]</f>
        <v>11036</v>
      </c>
      <c r="G57">
        <f>VLOOKUP(AvatarMatResID[[#This Row],[AvatarPart]],AvatarPartID[],2,0)</f>
        <v>1</v>
      </c>
      <c r="H57">
        <f>VLOOKUP(AvatarMatResID[[#This Row],[Sex]],SexID[],2,0)</f>
        <v>1</v>
      </c>
      <c r="I57" t="str">
        <f>AvatarMatResID[[#This Row],[Material]]</f>
        <v>Female Black Archer 05 Red</v>
      </c>
    </row>
    <row r="58" spans="1:9" x14ac:dyDescent="0.15">
      <c r="A58" t="s">
        <v>454</v>
      </c>
      <c r="B58" t="s">
        <v>1920</v>
      </c>
      <c r="C58" t="s">
        <v>493</v>
      </c>
      <c r="D58">
        <v>37</v>
      </c>
      <c r="F58">
        <f>OUTPUTAvatarMatResID[[#This Row],[AvatarPartID]]*10000+OUTPUTAvatarMatResID[[#This Row],[SexID]]*1000+AvatarMatResID[[#This Row],[CountIndex]]</f>
        <v>11037</v>
      </c>
      <c r="G58">
        <f>VLOOKUP(AvatarMatResID[[#This Row],[AvatarPart]],AvatarPartID[],2,0)</f>
        <v>1</v>
      </c>
      <c r="H58">
        <f>VLOOKUP(AvatarMatResID[[#This Row],[Sex]],SexID[],2,0)</f>
        <v>1</v>
      </c>
      <c r="I58" t="str">
        <f>AvatarMatResID[[#This Row],[Material]]</f>
        <v>Female Black Archer 05 White</v>
      </c>
    </row>
    <row r="59" spans="1:9" x14ac:dyDescent="0.15">
      <c r="A59" t="s">
        <v>454</v>
      </c>
      <c r="B59" t="s">
        <v>1920</v>
      </c>
      <c r="C59" t="s">
        <v>494</v>
      </c>
      <c r="D59">
        <v>38</v>
      </c>
      <c r="F59">
        <f>OUTPUTAvatarMatResID[[#This Row],[AvatarPartID]]*10000+OUTPUTAvatarMatResID[[#This Row],[SexID]]*1000+AvatarMatResID[[#This Row],[CountIndex]]</f>
        <v>11038</v>
      </c>
      <c r="G59">
        <f>VLOOKUP(AvatarMatResID[[#This Row],[AvatarPart]],AvatarPartID[],2,0)</f>
        <v>1</v>
      </c>
      <c r="H59">
        <f>VLOOKUP(AvatarMatResID[[#This Row],[Sex]],SexID[],2,0)</f>
        <v>1</v>
      </c>
      <c r="I59" t="str">
        <f>AvatarMatResID[[#This Row],[Material]]</f>
        <v>Female Black Archer 05 Yellow</v>
      </c>
    </row>
    <row r="60" spans="1:9" x14ac:dyDescent="0.15">
      <c r="A60" t="s">
        <v>454</v>
      </c>
      <c r="B60" t="s">
        <v>1920</v>
      </c>
      <c r="C60" t="s">
        <v>495</v>
      </c>
      <c r="D60">
        <v>39</v>
      </c>
      <c r="F60">
        <f>OUTPUTAvatarMatResID[[#This Row],[AvatarPartID]]*10000+OUTPUTAvatarMatResID[[#This Row],[SexID]]*1000+AvatarMatResID[[#This Row],[CountIndex]]</f>
        <v>11039</v>
      </c>
      <c r="G60">
        <f>VLOOKUP(AvatarMatResID[[#This Row],[AvatarPart]],AvatarPartID[],2,0)</f>
        <v>1</v>
      </c>
      <c r="H60">
        <f>VLOOKUP(AvatarMatResID[[#This Row],[Sex]],SexID[],2,0)</f>
        <v>1</v>
      </c>
      <c r="I60" t="str">
        <f>AvatarMatResID[[#This Row],[Material]]</f>
        <v>Female Black Barbarian 01 Blue</v>
      </c>
    </row>
    <row r="61" spans="1:9" x14ac:dyDescent="0.15">
      <c r="A61" t="s">
        <v>454</v>
      </c>
      <c r="B61" t="s">
        <v>1920</v>
      </c>
      <c r="C61" t="s">
        <v>496</v>
      </c>
      <c r="D61">
        <v>40</v>
      </c>
      <c r="F61">
        <f>OUTPUTAvatarMatResID[[#This Row],[AvatarPartID]]*10000+OUTPUTAvatarMatResID[[#This Row],[SexID]]*1000+AvatarMatResID[[#This Row],[CountIndex]]</f>
        <v>11040</v>
      </c>
      <c r="G61">
        <f>VLOOKUP(AvatarMatResID[[#This Row],[AvatarPart]],AvatarPartID[],2,0)</f>
        <v>1</v>
      </c>
      <c r="H61">
        <f>VLOOKUP(AvatarMatResID[[#This Row],[Sex]],SexID[],2,0)</f>
        <v>1</v>
      </c>
      <c r="I61" t="str">
        <f>AvatarMatResID[[#This Row],[Material]]</f>
        <v>Female Black Barbarian 01 Green</v>
      </c>
    </row>
    <row r="62" spans="1:9" x14ac:dyDescent="0.15">
      <c r="A62" t="s">
        <v>454</v>
      </c>
      <c r="B62" t="s">
        <v>1920</v>
      </c>
      <c r="C62" t="s">
        <v>497</v>
      </c>
      <c r="D62">
        <v>41</v>
      </c>
      <c r="F62">
        <f>OUTPUTAvatarMatResID[[#This Row],[AvatarPartID]]*10000+OUTPUTAvatarMatResID[[#This Row],[SexID]]*1000+AvatarMatResID[[#This Row],[CountIndex]]</f>
        <v>11041</v>
      </c>
      <c r="G62">
        <f>VLOOKUP(AvatarMatResID[[#This Row],[AvatarPart]],AvatarPartID[],2,0)</f>
        <v>1</v>
      </c>
      <c r="H62">
        <f>VLOOKUP(AvatarMatResID[[#This Row],[Sex]],SexID[],2,0)</f>
        <v>1</v>
      </c>
      <c r="I62" t="str">
        <f>AvatarMatResID[[#This Row],[Material]]</f>
        <v>Female Black Barbarian 01 Pink</v>
      </c>
    </row>
    <row r="63" spans="1:9" x14ac:dyDescent="0.15">
      <c r="A63" t="s">
        <v>454</v>
      </c>
      <c r="B63" t="s">
        <v>1920</v>
      </c>
      <c r="C63" t="s">
        <v>498</v>
      </c>
      <c r="D63">
        <v>42</v>
      </c>
      <c r="F63">
        <f>OUTPUTAvatarMatResID[[#This Row],[AvatarPartID]]*10000+OUTPUTAvatarMatResID[[#This Row],[SexID]]*1000+AvatarMatResID[[#This Row],[CountIndex]]</f>
        <v>11042</v>
      </c>
      <c r="G63">
        <f>VLOOKUP(AvatarMatResID[[#This Row],[AvatarPart]],AvatarPartID[],2,0)</f>
        <v>1</v>
      </c>
      <c r="H63">
        <f>VLOOKUP(AvatarMatResID[[#This Row],[Sex]],SexID[],2,0)</f>
        <v>1</v>
      </c>
      <c r="I63" t="str">
        <f>AvatarMatResID[[#This Row],[Material]]</f>
        <v>Female Black Barbarian 01 Purple</v>
      </c>
    </row>
    <row r="64" spans="1:9" x14ac:dyDescent="0.15">
      <c r="A64" t="s">
        <v>454</v>
      </c>
      <c r="B64" t="s">
        <v>1920</v>
      </c>
      <c r="C64" t="s">
        <v>499</v>
      </c>
      <c r="D64">
        <v>43</v>
      </c>
      <c r="F64">
        <f>OUTPUTAvatarMatResID[[#This Row],[AvatarPartID]]*10000+OUTPUTAvatarMatResID[[#This Row],[SexID]]*1000+AvatarMatResID[[#This Row],[CountIndex]]</f>
        <v>11043</v>
      </c>
      <c r="G64">
        <f>VLOOKUP(AvatarMatResID[[#This Row],[AvatarPart]],AvatarPartID[],2,0)</f>
        <v>1</v>
      </c>
      <c r="H64">
        <f>VLOOKUP(AvatarMatResID[[#This Row],[Sex]],SexID[],2,0)</f>
        <v>1</v>
      </c>
      <c r="I64" t="str">
        <f>AvatarMatResID[[#This Row],[Material]]</f>
        <v>Female Black Barbarian 01 Yellow</v>
      </c>
    </row>
    <row r="65" spans="1:9" x14ac:dyDescent="0.15">
      <c r="A65" t="s">
        <v>454</v>
      </c>
      <c r="B65" t="s">
        <v>1920</v>
      </c>
      <c r="C65" t="s">
        <v>500</v>
      </c>
      <c r="D65">
        <v>44</v>
      </c>
      <c r="F65">
        <f>OUTPUTAvatarMatResID[[#This Row],[AvatarPartID]]*10000+OUTPUTAvatarMatResID[[#This Row],[SexID]]*1000+AvatarMatResID[[#This Row],[CountIndex]]</f>
        <v>11044</v>
      </c>
      <c r="G65">
        <f>VLOOKUP(AvatarMatResID[[#This Row],[AvatarPart]],AvatarPartID[],2,0)</f>
        <v>1</v>
      </c>
      <c r="H65">
        <f>VLOOKUP(AvatarMatResID[[#This Row],[Sex]],SexID[],2,0)</f>
        <v>1</v>
      </c>
      <c r="I65" t="str">
        <f>AvatarMatResID[[#This Row],[Material]]</f>
        <v>Female Black Barbarian 02 Black</v>
      </c>
    </row>
    <row r="66" spans="1:9" x14ac:dyDescent="0.15">
      <c r="A66" t="s">
        <v>454</v>
      </c>
      <c r="B66" t="s">
        <v>1920</v>
      </c>
      <c r="C66" t="s">
        <v>501</v>
      </c>
      <c r="D66">
        <v>45</v>
      </c>
      <c r="F66">
        <f>OUTPUTAvatarMatResID[[#This Row],[AvatarPartID]]*10000+OUTPUTAvatarMatResID[[#This Row],[SexID]]*1000+AvatarMatResID[[#This Row],[CountIndex]]</f>
        <v>11045</v>
      </c>
      <c r="G66">
        <f>VLOOKUP(AvatarMatResID[[#This Row],[AvatarPart]],AvatarPartID[],2,0)</f>
        <v>1</v>
      </c>
      <c r="H66">
        <f>VLOOKUP(AvatarMatResID[[#This Row],[Sex]],SexID[],2,0)</f>
        <v>1</v>
      </c>
      <c r="I66" t="str">
        <f>AvatarMatResID[[#This Row],[Material]]</f>
        <v>Female Black Barbarian 02 Blue</v>
      </c>
    </row>
    <row r="67" spans="1:9" x14ac:dyDescent="0.15">
      <c r="A67" t="s">
        <v>454</v>
      </c>
      <c r="B67" t="s">
        <v>1920</v>
      </c>
      <c r="C67" t="s">
        <v>502</v>
      </c>
      <c r="D67">
        <v>46</v>
      </c>
      <c r="F67">
        <f>OUTPUTAvatarMatResID[[#This Row],[AvatarPartID]]*10000+OUTPUTAvatarMatResID[[#This Row],[SexID]]*1000+AvatarMatResID[[#This Row],[CountIndex]]</f>
        <v>11046</v>
      </c>
      <c r="G67">
        <f>VLOOKUP(AvatarMatResID[[#This Row],[AvatarPart]],AvatarPartID[],2,0)</f>
        <v>1</v>
      </c>
      <c r="H67">
        <f>VLOOKUP(AvatarMatResID[[#This Row],[Sex]],SexID[],2,0)</f>
        <v>1</v>
      </c>
      <c r="I67" t="str">
        <f>AvatarMatResID[[#This Row],[Material]]</f>
        <v>Female Black Barbarian 02 Green</v>
      </c>
    </row>
    <row r="68" spans="1:9" x14ac:dyDescent="0.15">
      <c r="A68" t="s">
        <v>454</v>
      </c>
      <c r="B68" t="s">
        <v>1920</v>
      </c>
      <c r="C68" t="s">
        <v>503</v>
      </c>
      <c r="D68">
        <v>47</v>
      </c>
      <c r="F68">
        <f>OUTPUTAvatarMatResID[[#This Row],[AvatarPartID]]*10000+OUTPUTAvatarMatResID[[#This Row],[SexID]]*1000+AvatarMatResID[[#This Row],[CountIndex]]</f>
        <v>11047</v>
      </c>
      <c r="G68">
        <f>VLOOKUP(AvatarMatResID[[#This Row],[AvatarPart]],AvatarPartID[],2,0)</f>
        <v>1</v>
      </c>
      <c r="H68">
        <f>VLOOKUP(AvatarMatResID[[#This Row],[Sex]],SexID[],2,0)</f>
        <v>1</v>
      </c>
      <c r="I68" t="str">
        <f>AvatarMatResID[[#This Row],[Material]]</f>
        <v>Female Black Barbarian 02 Purple</v>
      </c>
    </row>
    <row r="69" spans="1:9" x14ac:dyDescent="0.15">
      <c r="A69" t="s">
        <v>454</v>
      </c>
      <c r="B69" t="s">
        <v>1920</v>
      </c>
      <c r="C69" t="s">
        <v>504</v>
      </c>
      <c r="D69">
        <v>48</v>
      </c>
      <c r="F69">
        <f>OUTPUTAvatarMatResID[[#This Row],[AvatarPartID]]*10000+OUTPUTAvatarMatResID[[#This Row],[SexID]]*1000+AvatarMatResID[[#This Row],[CountIndex]]</f>
        <v>11048</v>
      </c>
      <c r="G69">
        <f>VLOOKUP(AvatarMatResID[[#This Row],[AvatarPart]],AvatarPartID[],2,0)</f>
        <v>1</v>
      </c>
      <c r="H69">
        <f>VLOOKUP(AvatarMatResID[[#This Row],[Sex]],SexID[],2,0)</f>
        <v>1</v>
      </c>
      <c r="I69" t="str">
        <f>AvatarMatResID[[#This Row],[Material]]</f>
        <v>Female Black Barbarian 02 Red</v>
      </c>
    </row>
    <row r="70" spans="1:9" x14ac:dyDescent="0.15">
      <c r="A70" t="s">
        <v>454</v>
      </c>
      <c r="B70" t="s">
        <v>1920</v>
      </c>
      <c r="C70" t="s">
        <v>505</v>
      </c>
      <c r="D70">
        <v>49</v>
      </c>
      <c r="F70">
        <f>OUTPUTAvatarMatResID[[#This Row],[AvatarPartID]]*10000+OUTPUTAvatarMatResID[[#This Row],[SexID]]*1000+AvatarMatResID[[#This Row],[CountIndex]]</f>
        <v>11049</v>
      </c>
      <c r="G70">
        <f>VLOOKUP(AvatarMatResID[[#This Row],[AvatarPart]],AvatarPartID[],2,0)</f>
        <v>1</v>
      </c>
      <c r="H70">
        <f>VLOOKUP(AvatarMatResID[[#This Row],[Sex]],SexID[],2,0)</f>
        <v>1</v>
      </c>
      <c r="I70" t="str">
        <f>AvatarMatResID[[#This Row],[Material]]</f>
        <v>Female Black Barbarian 02 White</v>
      </c>
    </row>
    <row r="71" spans="1:9" x14ac:dyDescent="0.15">
      <c r="A71" t="s">
        <v>454</v>
      </c>
      <c r="B71" t="s">
        <v>1920</v>
      </c>
      <c r="C71" t="s">
        <v>506</v>
      </c>
      <c r="D71">
        <v>50</v>
      </c>
      <c r="F71">
        <f>OUTPUTAvatarMatResID[[#This Row],[AvatarPartID]]*10000+OUTPUTAvatarMatResID[[#This Row],[SexID]]*1000+AvatarMatResID[[#This Row],[CountIndex]]</f>
        <v>11050</v>
      </c>
      <c r="G71">
        <f>VLOOKUP(AvatarMatResID[[#This Row],[AvatarPart]],AvatarPartID[],2,0)</f>
        <v>1</v>
      </c>
      <c r="H71">
        <f>VLOOKUP(AvatarMatResID[[#This Row],[Sex]],SexID[],2,0)</f>
        <v>1</v>
      </c>
      <c r="I71" t="str">
        <f>AvatarMatResID[[#This Row],[Material]]</f>
        <v>Female Black Barbarian 03 Black</v>
      </c>
    </row>
    <row r="72" spans="1:9" x14ac:dyDescent="0.15">
      <c r="A72" t="s">
        <v>454</v>
      </c>
      <c r="B72" t="s">
        <v>1920</v>
      </c>
      <c r="C72" t="s">
        <v>507</v>
      </c>
      <c r="D72">
        <v>51</v>
      </c>
      <c r="F72">
        <f>OUTPUTAvatarMatResID[[#This Row],[AvatarPartID]]*10000+OUTPUTAvatarMatResID[[#This Row],[SexID]]*1000+AvatarMatResID[[#This Row],[CountIndex]]</f>
        <v>11051</v>
      </c>
      <c r="G72">
        <f>VLOOKUP(AvatarMatResID[[#This Row],[AvatarPart]],AvatarPartID[],2,0)</f>
        <v>1</v>
      </c>
      <c r="H72">
        <f>VLOOKUP(AvatarMatResID[[#This Row],[Sex]],SexID[],2,0)</f>
        <v>1</v>
      </c>
      <c r="I72" t="str">
        <f>AvatarMatResID[[#This Row],[Material]]</f>
        <v>Female Black Barbarian 03 Blue</v>
      </c>
    </row>
    <row r="73" spans="1:9" x14ac:dyDescent="0.15">
      <c r="A73" t="s">
        <v>454</v>
      </c>
      <c r="B73" t="s">
        <v>1920</v>
      </c>
      <c r="C73" t="s">
        <v>508</v>
      </c>
      <c r="D73">
        <v>52</v>
      </c>
      <c r="F73">
        <f>OUTPUTAvatarMatResID[[#This Row],[AvatarPartID]]*10000+OUTPUTAvatarMatResID[[#This Row],[SexID]]*1000+AvatarMatResID[[#This Row],[CountIndex]]</f>
        <v>11052</v>
      </c>
      <c r="G73">
        <f>VLOOKUP(AvatarMatResID[[#This Row],[AvatarPart]],AvatarPartID[],2,0)</f>
        <v>1</v>
      </c>
      <c r="H73">
        <f>VLOOKUP(AvatarMatResID[[#This Row],[Sex]],SexID[],2,0)</f>
        <v>1</v>
      </c>
      <c r="I73" t="str">
        <f>AvatarMatResID[[#This Row],[Material]]</f>
        <v>Female Black Barbarian 03 Brown</v>
      </c>
    </row>
    <row r="74" spans="1:9" x14ac:dyDescent="0.15">
      <c r="A74" t="s">
        <v>454</v>
      </c>
      <c r="B74" t="s">
        <v>1920</v>
      </c>
      <c r="C74" t="s">
        <v>509</v>
      </c>
      <c r="D74">
        <v>53</v>
      </c>
      <c r="F74">
        <f>OUTPUTAvatarMatResID[[#This Row],[AvatarPartID]]*10000+OUTPUTAvatarMatResID[[#This Row],[SexID]]*1000+AvatarMatResID[[#This Row],[CountIndex]]</f>
        <v>11053</v>
      </c>
      <c r="G74">
        <f>VLOOKUP(AvatarMatResID[[#This Row],[AvatarPart]],AvatarPartID[],2,0)</f>
        <v>1</v>
      </c>
      <c r="H74">
        <f>VLOOKUP(AvatarMatResID[[#This Row],[Sex]],SexID[],2,0)</f>
        <v>1</v>
      </c>
      <c r="I74" t="str">
        <f>AvatarMatResID[[#This Row],[Material]]</f>
        <v>Female Black Barbarian 03 Green</v>
      </c>
    </row>
    <row r="75" spans="1:9" x14ac:dyDescent="0.15">
      <c r="A75" t="s">
        <v>454</v>
      </c>
      <c r="B75" t="s">
        <v>1920</v>
      </c>
      <c r="C75" t="s">
        <v>510</v>
      </c>
      <c r="D75">
        <v>54</v>
      </c>
      <c r="F75">
        <f>OUTPUTAvatarMatResID[[#This Row],[AvatarPartID]]*10000+OUTPUTAvatarMatResID[[#This Row],[SexID]]*1000+AvatarMatResID[[#This Row],[CountIndex]]</f>
        <v>11054</v>
      </c>
      <c r="G75">
        <f>VLOOKUP(AvatarMatResID[[#This Row],[AvatarPart]],AvatarPartID[],2,0)</f>
        <v>1</v>
      </c>
      <c r="H75">
        <f>VLOOKUP(AvatarMatResID[[#This Row],[Sex]],SexID[],2,0)</f>
        <v>1</v>
      </c>
      <c r="I75" t="str">
        <f>AvatarMatResID[[#This Row],[Material]]</f>
        <v>Female Black Barbarian 03 Magenta</v>
      </c>
    </row>
    <row r="76" spans="1:9" x14ac:dyDescent="0.15">
      <c r="A76" t="s">
        <v>454</v>
      </c>
      <c r="B76" t="s">
        <v>1920</v>
      </c>
      <c r="C76" t="s">
        <v>511</v>
      </c>
      <c r="D76">
        <v>55</v>
      </c>
      <c r="F76">
        <f>OUTPUTAvatarMatResID[[#This Row],[AvatarPartID]]*10000+OUTPUTAvatarMatResID[[#This Row],[SexID]]*1000+AvatarMatResID[[#This Row],[CountIndex]]</f>
        <v>11055</v>
      </c>
      <c r="G76">
        <f>VLOOKUP(AvatarMatResID[[#This Row],[AvatarPart]],AvatarPartID[],2,0)</f>
        <v>1</v>
      </c>
      <c r="H76">
        <f>VLOOKUP(AvatarMatResID[[#This Row],[Sex]],SexID[],2,0)</f>
        <v>1</v>
      </c>
      <c r="I76" t="str">
        <f>AvatarMatResID[[#This Row],[Material]]</f>
        <v>Female Black Barbarian 03 Purple</v>
      </c>
    </row>
    <row r="77" spans="1:9" x14ac:dyDescent="0.15">
      <c r="A77" t="s">
        <v>454</v>
      </c>
      <c r="B77" t="s">
        <v>1920</v>
      </c>
      <c r="C77" t="s">
        <v>512</v>
      </c>
      <c r="D77">
        <v>56</v>
      </c>
      <c r="F77">
        <f>OUTPUTAvatarMatResID[[#This Row],[AvatarPartID]]*10000+OUTPUTAvatarMatResID[[#This Row],[SexID]]*1000+AvatarMatResID[[#This Row],[CountIndex]]</f>
        <v>11056</v>
      </c>
      <c r="G77">
        <f>VLOOKUP(AvatarMatResID[[#This Row],[AvatarPart]],AvatarPartID[],2,0)</f>
        <v>1</v>
      </c>
      <c r="H77">
        <f>VLOOKUP(AvatarMatResID[[#This Row],[Sex]],SexID[],2,0)</f>
        <v>1</v>
      </c>
      <c r="I77" t="str">
        <f>AvatarMatResID[[#This Row],[Material]]</f>
        <v>Female Black Barbarian 03 Red</v>
      </c>
    </row>
    <row r="78" spans="1:9" x14ac:dyDescent="0.15">
      <c r="A78" t="s">
        <v>454</v>
      </c>
      <c r="B78" t="s">
        <v>1920</v>
      </c>
      <c r="C78" t="s">
        <v>513</v>
      </c>
      <c r="D78">
        <v>57</v>
      </c>
      <c r="F78">
        <f>OUTPUTAvatarMatResID[[#This Row],[AvatarPartID]]*10000+OUTPUTAvatarMatResID[[#This Row],[SexID]]*1000+AvatarMatResID[[#This Row],[CountIndex]]</f>
        <v>11057</v>
      </c>
      <c r="G78">
        <f>VLOOKUP(AvatarMatResID[[#This Row],[AvatarPart]],AvatarPartID[],2,0)</f>
        <v>1</v>
      </c>
      <c r="H78">
        <f>VLOOKUP(AvatarMatResID[[#This Row],[Sex]],SexID[],2,0)</f>
        <v>1</v>
      </c>
      <c r="I78" t="str">
        <f>AvatarMatResID[[#This Row],[Material]]</f>
        <v>Female Black Barbarian 03 White</v>
      </c>
    </row>
    <row r="79" spans="1:9" x14ac:dyDescent="0.15">
      <c r="A79" t="s">
        <v>454</v>
      </c>
      <c r="B79" t="s">
        <v>1920</v>
      </c>
      <c r="C79" t="s">
        <v>514</v>
      </c>
      <c r="D79">
        <v>58</v>
      </c>
      <c r="F79">
        <f>OUTPUTAvatarMatResID[[#This Row],[AvatarPartID]]*10000+OUTPUTAvatarMatResID[[#This Row],[SexID]]*1000+AvatarMatResID[[#This Row],[CountIndex]]</f>
        <v>11058</v>
      </c>
      <c r="G79">
        <f>VLOOKUP(AvatarMatResID[[#This Row],[AvatarPart]],AvatarPartID[],2,0)</f>
        <v>1</v>
      </c>
      <c r="H79">
        <f>VLOOKUP(AvatarMatResID[[#This Row],[Sex]],SexID[],2,0)</f>
        <v>1</v>
      </c>
      <c r="I79" t="str">
        <f>AvatarMatResID[[#This Row],[Material]]</f>
        <v>Female Black Barbarian 04 Black</v>
      </c>
    </row>
    <row r="80" spans="1:9" x14ac:dyDescent="0.15">
      <c r="A80" t="s">
        <v>454</v>
      </c>
      <c r="B80" t="s">
        <v>1920</v>
      </c>
      <c r="C80" t="s">
        <v>515</v>
      </c>
      <c r="D80">
        <v>59</v>
      </c>
      <c r="F80">
        <f>OUTPUTAvatarMatResID[[#This Row],[AvatarPartID]]*10000+OUTPUTAvatarMatResID[[#This Row],[SexID]]*1000+AvatarMatResID[[#This Row],[CountIndex]]</f>
        <v>11059</v>
      </c>
      <c r="G80">
        <f>VLOOKUP(AvatarMatResID[[#This Row],[AvatarPart]],AvatarPartID[],2,0)</f>
        <v>1</v>
      </c>
      <c r="H80">
        <f>VLOOKUP(AvatarMatResID[[#This Row],[Sex]],SexID[],2,0)</f>
        <v>1</v>
      </c>
      <c r="I80" t="str">
        <f>AvatarMatResID[[#This Row],[Material]]</f>
        <v>Female Black Barbarian 04 Blue</v>
      </c>
    </row>
    <row r="81" spans="1:9" x14ac:dyDescent="0.15">
      <c r="A81" t="s">
        <v>454</v>
      </c>
      <c r="B81" t="s">
        <v>1920</v>
      </c>
      <c r="C81" t="s">
        <v>516</v>
      </c>
      <c r="D81">
        <v>60</v>
      </c>
      <c r="F81">
        <f>OUTPUTAvatarMatResID[[#This Row],[AvatarPartID]]*10000+OUTPUTAvatarMatResID[[#This Row],[SexID]]*1000+AvatarMatResID[[#This Row],[CountIndex]]</f>
        <v>11060</v>
      </c>
      <c r="G81">
        <f>VLOOKUP(AvatarMatResID[[#This Row],[AvatarPart]],AvatarPartID[],2,0)</f>
        <v>1</v>
      </c>
      <c r="H81">
        <f>VLOOKUP(AvatarMatResID[[#This Row],[Sex]],SexID[],2,0)</f>
        <v>1</v>
      </c>
      <c r="I81" t="str">
        <f>AvatarMatResID[[#This Row],[Material]]</f>
        <v>Female Black Barbarian 04 Green</v>
      </c>
    </row>
    <row r="82" spans="1:9" x14ac:dyDescent="0.15">
      <c r="A82" t="s">
        <v>454</v>
      </c>
      <c r="B82" t="s">
        <v>1920</v>
      </c>
      <c r="C82" t="s">
        <v>517</v>
      </c>
      <c r="D82">
        <v>61</v>
      </c>
      <c r="F82">
        <f>OUTPUTAvatarMatResID[[#This Row],[AvatarPartID]]*10000+OUTPUTAvatarMatResID[[#This Row],[SexID]]*1000+AvatarMatResID[[#This Row],[CountIndex]]</f>
        <v>11061</v>
      </c>
      <c r="G82">
        <f>VLOOKUP(AvatarMatResID[[#This Row],[AvatarPart]],AvatarPartID[],2,0)</f>
        <v>1</v>
      </c>
      <c r="H82">
        <f>VLOOKUP(AvatarMatResID[[#This Row],[Sex]],SexID[],2,0)</f>
        <v>1</v>
      </c>
      <c r="I82" t="str">
        <f>AvatarMatResID[[#This Row],[Material]]</f>
        <v>Female Black Barbarian 04 Magenta</v>
      </c>
    </row>
    <row r="83" spans="1:9" x14ac:dyDescent="0.15">
      <c r="A83" t="s">
        <v>454</v>
      </c>
      <c r="B83" t="s">
        <v>1920</v>
      </c>
      <c r="C83" t="s">
        <v>518</v>
      </c>
      <c r="D83">
        <v>62</v>
      </c>
      <c r="F83">
        <f>OUTPUTAvatarMatResID[[#This Row],[AvatarPartID]]*10000+OUTPUTAvatarMatResID[[#This Row],[SexID]]*1000+AvatarMatResID[[#This Row],[CountIndex]]</f>
        <v>11062</v>
      </c>
      <c r="G83">
        <f>VLOOKUP(AvatarMatResID[[#This Row],[AvatarPart]],AvatarPartID[],2,0)</f>
        <v>1</v>
      </c>
      <c r="H83">
        <f>VLOOKUP(AvatarMatResID[[#This Row],[Sex]],SexID[],2,0)</f>
        <v>1</v>
      </c>
      <c r="I83" t="str">
        <f>AvatarMatResID[[#This Row],[Material]]</f>
        <v>Female Black Barbarian 04 Purple</v>
      </c>
    </row>
    <row r="84" spans="1:9" x14ac:dyDescent="0.15">
      <c r="A84" t="s">
        <v>454</v>
      </c>
      <c r="B84" t="s">
        <v>1920</v>
      </c>
      <c r="C84" t="s">
        <v>519</v>
      </c>
      <c r="D84">
        <v>63</v>
      </c>
      <c r="F84">
        <f>OUTPUTAvatarMatResID[[#This Row],[AvatarPartID]]*10000+OUTPUTAvatarMatResID[[#This Row],[SexID]]*1000+AvatarMatResID[[#This Row],[CountIndex]]</f>
        <v>11063</v>
      </c>
      <c r="G84">
        <f>VLOOKUP(AvatarMatResID[[#This Row],[AvatarPart]],AvatarPartID[],2,0)</f>
        <v>1</v>
      </c>
      <c r="H84">
        <f>VLOOKUP(AvatarMatResID[[#This Row],[Sex]],SexID[],2,0)</f>
        <v>1</v>
      </c>
      <c r="I84" t="str">
        <f>AvatarMatResID[[#This Row],[Material]]</f>
        <v>Female Black Barbarian 04 Red</v>
      </c>
    </row>
    <row r="85" spans="1:9" x14ac:dyDescent="0.15">
      <c r="A85" t="s">
        <v>454</v>
      </c>
      <c r="B85" t="s">
        <v>1920</v>
      </c>
      <c r="C85" t="s">
        <v>520</v>
      </c>
      <c r="D85">
        <v>64</v>
      </c>
      <c r="F85">
        <f>OUTPUTAvatarMatResID[[#This Row],[AvatarPartID]]*10000+OUTPUTAvatarMatResID[[#This Row],[SexID]]*1000+AvatarMatResID[[#This Row],[CountIndex]]</f>
        <v>11064</v>
      </c>
      <c r="G85">
        <f>VLOOKUP(AvatarMatResID[[#This Row],[AvatarPart]],AvatarPartID[],2,0)</f>
        <v>1</v>
      </c>
      <c r="H85">
        <f>VLOOKUP(AvatarMatResID[[#This Row],[Sex]],SexID[],2,0)</f>
        <v>1</v>
      </c>
      <c r="I85" t="str">
        <f>AvatarMatResID[[#This Row],[Material]]</f>
        <v>Female Black Barbarian 04 White</v>
      </c>
    </row>
    <row r="86" spans="1:9" x14ac:dyDescent="0.15">
      <c r="A86" t="s">
        <v>454</v>
      </c>
      <c r="B86" t="s">
        <v>1920</v>
      </c>
      <c r="C86" t="s">
        <v>521</v>
      </c>
      <c r="D86">
        <v>65</v>
      </c>
      <c r="F86">
        <f>OUTPUTAvatarMatResID[[#This Row],[AvatarPartID]]*10000+OUTPUTAvatarMatResID[[#This Row],[SexID]]*1000+AvatarMatResID[[#This Row],[CountIndex]]</f>
        <v>11065</v>
      </c>
      <c r="G86">
        <f>VLOOKUP(AvatarMatResID[[#This Row],[AvatarPart]],AvatarPartID[],2,0)</f>
        <v>1</v>
      </c>
      <c r="H86">
        <f>VLOOKUP(AvatarMatResID[[#This Row],[Sex]],SexID[],2,0)</f>
        <v>1</v>
      </c>
      <c r="I86" t="str">
        <f>AvatarMatResID[[#This Row],[Material]]</f>
        <v>Female Black Barbarian 04 Yellow</v>
      </c>
    </row>
    <row r="87" spans="1:9" x14ac:dyDescent="0.15">
      <c r="A87" t="s">
        <v>454</v>
      </c>
      <c r="B87" t="s">
        <v>1920</v>
      </c>
      <c r="C87" t="s">
        <v>522</v>
      </c>
      <c r="D87">
        <v>66</v>
      </c>
      <c r="F87">
        <f>OUTPUTAvatarMatResID[[#This Row],[AvatarPartID]]*10000+OUTPUTAvatarMatResID[[#This Row],[SexID]]*1000+AvatarMatResID[[#This Row],[CountIndex]]</f>
        <v>11066</v>
      </c>
      <c r="G87">
        <f>VLOOKUP(AvatarMatResID[[#This Row],[AvatarPart]],AvatarPartID[],2,0)</f>
        <v>1</v>
      </c>
      <c r="H87">
        <f>VLOOKUP(AvatarMatResID[[#This Row],[Sex]],SexID[],2,0)</f>
        <v>1</v>
      </c>
      <c r="I87" t="str">
        <f>AvatarMatResID[[#This Row],[Material]]</f>
        <v>Female Black Barbarian 05 Black</v>
      </c>
    </row>
    <row r="88" spans="1:9" x14ac:dyDescent="0.15">
      <c r="A88" t="s">
        <v>454</v>
      </c>
      <c r="B88" t="s">
        <v>1920</v>
      </c>
      <c r="C88" t="s">
        <v>523</v>
      </c>
      <c r="D88">
        <v>67</v>
      </c>
      <c r="F88">
        <f>OUTPUTAvatarMatResID[[#This Row],[AvatarPartID]]*10000+OUTPUTAvatarMatResID[[#This Row],[SexID]]*1000+AvatarMatResID[[#This Row],[CountIndex]]</f>
        <v>11067</v>
      </c>
      <c r="G88">
        <f>VLOOKUP(AvatarMatResID[[#This Row],[AvatarPart]],AvatarPartID[],2,0)</f>
        <v>1</v>
      </c>
      <c r="H88">
        <f>VLOOKUP(AvatarMatResID[[#This Row],[Sex]],SexID[],2,0)</f>
        <v>1</v>
      </c>
      <c r="I88" t="str">
        <f>AvatarMatResID[[#This Row],[Material]]</f>
        <v>Female Black Barbarian 05 Blue</v>
      </c>
    </row>
    <row r="89" spans="1:9" x14ac:dyDescent="0.15">
      <c r="A89" t="s">
        <v>454</v>
      </c>
      <c r="B89" t="s">
        <v>1920</v>
      </c>
      <c r="C89" t="s">
        <v>524</v>
      </c>
      <c r="D89">
        <v>68</v>
      </c>
      <c r="F89">
        <f>OUTPUTAvatarMatResID[[#This Row],[AvatarPartID]]*10000+OUTPUTAvatarMatResID[[#This Row],[SexID]]*1000+AvatarMatResID[[#This Row],[CountIndex]]</f>
        <v>11068</v>
      </c>
      <c r="G89">
        <f>VLOOKUP(AvatarMatResID[[#This Row],[AvatarPart]],AvatarPartID[],2,0)</f>
        <v>1</v>
      </c>
      <c r="H89">
        <f>VLOOKUP(AvatarMatResID[[#This Row],[Sex]],SexID[],2,0)</f>
        <v>1</v>
      </c>
      <c r="I89" t="str">
        <f>AvatarMatResID[[#This Row],[Material]]</f>
        <v>Female Black Barbarian 05 Green</v>
      </c>
    </row>
    <row r="90" spans="1:9" x14ac:dyDescent="0.15">
      <c r="A90" t="s">
        <v>454</v>
      </c>
      <c r="B90" t="s">
        <v>1920</v>
      </c>
      <c r="C90" t="s">
        <v>525</v>
      </c>
      <c r="D90">
        <v>69</v>
      </c>
      <c r="F90">
        <f>OUTPUTAvatarMatResID[[#This Row],[AvatarPartID]]*10000+OUTPUTAvatarMatResID[[#This Row],[SexID]]*1000+AvatarMatResID[[#This Row],[CountIndex]]</f>
        <v>11069</v>
      </c>
      <c r="G90">
        <f>VLOOKUP(AvatarMatResID[[#This Row],[AvatarPart]],AvatarPartID[],2,0)</f>
        <v>1</v>
      </c>
      <c r="H90">
        <f>VLOOKUP(AvatarMatResID[[#This Row],[Sex]],SexID[],2,0)</f>
        <v>1</v>
      </c>
      <c r="I90" t="str">
        <f>AvatarMatResID[[#This Row],[Material]]</f>
        <v>Female Black Barbarian 05 Magenta</v>
      </c>
    </row>
    <row r="91" spans="1:9" x14ac:dyDescent="0.15">
      <c r="A91" t="s">
        <v>454</v>
      </c>
      <c r="B91" t="s">
        <v>1920</v>
      </c>
      <c r="C91" t="s">
        <v>526</v>
      </c>
      <c r="D91">
        <v>70</v>
      </c>
      <c r="F91">
        <f>OUTPUTAvatarMatResID[[#This Row],[AvatarPartID]]*10000+OUTPUTAvatarMatResID[[#This Row],[SexID]]*1000+AvatarMatResID[[#This Row],[CountIndex]]</f>
        <v>11070</v>
      </c>
      <c r="G91">
        <f>VLOOKUP(AvatarMatResID[[#This Row],[AvatarPart]],AvatarPartID[],2,0)</f>
        <v>1</v>
      </c>
      <c r="H91">
        <f>VLOOKUP(AvatarMatResID[[#This Row],[Sex]],SexID[],2,0)</f>
        <v>1</v>
      </c>
      <c r="I91" t="str">
        <f>AvatarMatResID[[#This Row],[Material]]</f>
        <v>Female Black Barbarian 05 Purple</v>
      </c>
    </row>
    <row r="92" spans="1:9" x14ac:dyDescent="0.15">
      <c r="A92" t="s">
        <v>454</v>
      </c>
      <c r="B92" t="s">
        <v>1920</v>
      </c>
      <c r="C92" t="s">
        <v>527</v>
      </c>
      <c r="D92">
        <v>71</v>
      </c>
      <c r="F92">
        <f>OUTPUTAvatarMatResID[[#This Row],[AvatarPartID]]*10000+OUTPUTAvatarMatResID[[#This Row],[SexID]]*1000+AvatarMatResID[[#This Row],[CountIndex]]</f>
        <v>11071</v>
      </c>
      <c r="G92">
        <f>VLOOKUP(AvatarMatResID[[#This Row],[AvatarPart]],AvatarPartID[],2,0)</f>
        <v>1</v>
      </c>
      <c r="H92">
        <f>VLOOKUP(AvatarMatResID[[#This Row],[Sex]],SexID[],2,0)</f>
        <v>1</v>
      </c>
      <c r="I92" t="str">
        <f>AvatarMatResID[[#This Row],[Material]]</f>
        <v>Female Black Barbarian 05 Red</v>
      </c>
    </row>
    <row r="93" spans="1:9" x14ac:dyDescent="0.15">
      <c r="A93" t="s">
        <v>454</v>
      </c>
      <c r="B93" t="s">
        <v>1920</v>
      </c>
      <c r="C93" t="s">
        <v>528</v>
      </c>
      <c r="D93">
        <v>72</v>
      </c>
      <c r="F93">
        <f>OUTPUTAvatarMatResID[[#This Row],[AvatarPartID]]*10000+OUTPUTAvatarMatResID[[#This Row],[SexID]]*1000+AvatarMatResID[[#This Row],[CountIndex]]</f>
        <v>11072</v>
      </c>
      <c r="G93">
        <f>VLOOKUP(AvatarMatResID[[#This Row],[AvatarPart]],AvatarPartID[],2,0)</f>
        <v>1</v>
      </c>
      <c r="H93">
        <f>VLOOKUP(AvatarMatResID[[#This Row],[Sex]],SexID[],2,0)</f>
        <v>1</v>
      </c>
      <c r="I93" t="str">
        <f>AvatarMatResID[[#This Row],[Material]]</f>
        <v>Female Black Barbarian 05 White</v>
      </c>
    </row>
    <row r="94" spans="1:9" x14ac:dyDescent="0.15">
      <c r="A94" t="s">
        <v>454</v>
      </c>
      <c r="B94" t="s">
        <v>1920</v>
      </c>
      <c r="C94" t="s">
        <v>529</v>
      </c>
      <c r="D94">
        <v>73</v>
      </c>
      <c r="F94">
        <f>OUTPUTAvatarMatResID[[#This Row],[AvatarPartID]]*10000+OUTPUTAvatarMatResID[[#This Row],[SexID]]*1000+AvatarMatResID[[#This Row],[CountIndex]]</f>
        <v>11073</v>
      </c>
      <c r="G94">
        <f>VLOOKUP(AvatarMatResID[[#This Row],[AvatarPart]],AvatarPartID[],2,0)</f>
        <v>1</v>
      </c>
      <c r="H94">
        <f>VLOOKUP(AvatarMatResID[[#This Row],[Sex]],SexID[],2,0)</f>
        <v>1</v>
      </c>
      <c r="I94" t="str">
        <f>AvatarMatResID[[#This Row],[Material]]</f>
        <v>Female Black Barbarian 05 Yellow</v>
      </c>
    </row>
    <row r="95" spans="1:9" x14ac:dyDescent="0.15">
      <c r="A95" t="s">
        <v>454</v>
      </c>
      <c r="B95" t="s">
        <v>1920</v>
      </c>
      <c r="C95" t="s">
        <v>530</v>
      </c>
      <c r="D95">
        <v>74</v>
      </c>
      <c r="F95">
        <f>OUTPUTAvatarMatResID[[#This Row],[AvatarPartID]]*10000+OUTPUTAvatarMatResID[[#This Row],[SexID]]*1000+AvatarMatResID[[#This Row],[CountIndex]]</f>
        <v>11074</v>
      </c>
      <c r="G95">
        <f>VLOOKUP(AvatarMatResID[[#This Row],[AvatarPart]],AvatarPartID[],2,0)</f>
        <v>1</v>
      </c>
      <c r="H95">
        <f>VLOOKUP(AvatarMatResID[[#This Row],[Sex]],SexID[],2,0)</f>
        <v>1</v>
      </c>
      <c r="I95" t="str">
        <f>AvatarMatResID[[#This Row],[Material]]</f>
        <v>Female Black Casual 01A</v>
      </c>
    </row>
    <row r="96" spans="1:9" x14ac:dyDescent="0.15">
      <c r="A96" t="s">
        <v>454</v>
      </c>
      <c r="B96" t="s">
        <v>1920</v>
      </c>
      <c r="C96" t="s">
        <v>531</v>
      </c>
      <c r="D96">
        <v>75</v>
      </c>
      <c r="F96">
        <f>OUTPUTAvatarMatResID[[#This Row],[AvatarPartID]]*10000+OUTPUTAvatarMatResID[[#This Row],[SexID]]*1000+AvatarMatResID[[#This Row],[CountIndex]]</f>
        <v>11075</v>
      </c>
      <c r="G96">
        <f>VLOOKUP(AvatarMatResID[[#This Row],[AvatarPart]],AvatarPartID[],2,0)</f>
        <v>1</v>
      </c>
      <c r="H96">
        <f>VLOOKUP(AvatarMatResID[[#This Row],[Sex]],SexID[],2,0)</f>
        <v>1</v>
      </c>
      <c r="I96" t="str">
        <f>AvatarMatResID[[#This Row],[Material]]</f>
        <v>Female Black Casual 01B</v>
      </c>
    </row>
    <row r="97" spans="1:9" x14ac:dyDescent="0.15">
      <c r="A97" t="s">
        <v>454</v>
      </c>
      <c r="B97" t="s">
        <v>1920</v>
      </c>
      <c r="C97" t="s">
        <v>532</v>
      </c>
      <c r="D97">
        <v>76</v>
      </c>
      <c r="F97">
        <f>OUTPUTAvatarMatResID[[#This Row],[AvatarPartID]]*10000+OUTPUTAvatarMatResID[[#This Row],[SexID]]*1000+AvatarMatResID[[#This Row],[CountIndex]]</f>
        <v>11076</v>
      </c>
      <c r="G97">
        <f>VLOOKUP(AvatarMatResID[[#This Row],[AvatarPart]],AvatarPartID[],2,0)</f>
        <v>1</v>
      </c>
      <c r="H97">
        <f>VLOOKUP(AvatarMatResID[[#This Row],[Sex]],SexID[],2,0)</f>
        <v>1</v>
      </c>
      <c r="I97" t="str">
        <f>AvatarMatResID[[#This Row],[Material]]</f>
        <v>Female Black Casual 01C</v>
      </c>
    </row>
    <row r="98" spans="1:9" x14ac:dyDescent="0.15">
      <c r="A98" t="s">
        <v>454</v>
      </c>
      <c r="B98" t="s">
        <v>1920</v>
      </c>
      <c r="C98" t="s">
        <v>533</v>
      </c>
      <c r="D98">
        <v>77</v>
      </c>
      <c r="F98">
        <f>OUTPUTAvatarMatResID[[#This Row],[AvatarPartID]]*10000+OUTPUTAvatarMatResID[[#This Row],[SexID]]*1000+AvatarMatResID[[#This Row],[CountIndex]]</f>
        <v>11077</v>
      </c>
      <c r="G98">
        <f>VLOOKUP(AvatarMatResID[[#This Row],[AvatarPart]],AvatarPartID[],2,0)</f>
        <v>1</v>
      </c>
      <c r="H98">
        <f>VLOOKUP(AvatarMatResID[[#This Row],[Sex]],SexID[],2,0)</f>
        <v>1</v>
      </c>
      <c r="I98" t="str">
        <f>AvatarMatResID[[#This Row],[Material]]</f>
        <v>Female Black Casual 02A</v>
      </c>
    </row>
    <row r="99" spans="1:9" x14ac:dyDescent="0.15">
      <c r="A99" t="s">
        <v>454</v>
      </c>
      <c r="B99" t="s">
        <v>1920</v>
      </c>
      <c r="C99" t="s">
        <v>534</v>
      </c>
      <c r="D99">
        <v>78</v>
      </c>
      <c r="F99">
        <f>OUTPUTAvatarMatResID[[#This Row],[AvatarPartID]]*10000+OUTPUTAvatarMatResID[[#This Row],[SexID]]*1000+AvatarMatResID[[#This Row],[CountIndex]]</f>
        <v>11078</v>
      </c>
      <c r="G99">
        <f>VLOOKUP(AvatarMatResID[[#This Row],[AvatarPart]],AvatarPartID[],2,0)</f>
        <v>1</v>
      </c>
      <c r="H99">
        <f>VLOOKUP(AvatarMatResID[[#This Row],[Sex]],SexID[],2,0)</f>
        <v>1</v>
      </c>
      <c r="I99" t="str">
        <f>AvatarMatResID[[#This Row],[Material]]</f>
        <v>Female Black Casual 02B</v>
      </c>
    </row>
    <row r="100" spans="1:9" x14ac:dyDescent="0.15">
      <c r="A100" t="s">
        <v>454</v>
      </c>
      <c r="B100" t="s">
        <v>1920</v>
      </c>
      <c r="C100" t="s">
        <v>535</v>
      </c>
      <c r="D100">
        <v>79</v>
      </c>
      <c r="F100">
        <f>OUTPUTAvatarMatResID[[#This Row],[AvatarPartID]]*10000+OUTPUTAvatarMatResID[[#This Row],[SexID]]*1000+AvatarMatResID[[#This Row],[CountIndex]]</f>
        <v>11079</v>
      </c>
      <c r="G100">
        <f>VLOOKUP(AvatarMatResID[[#This Row],[AvatarPart]],AvatarPartID[],2,0)</f>
        <v>1</v>
      </c>
      <c r="H100">
        <f>VLOOKUP(AvatarMatResID[[#This Row],[Sex]],SexID[],2,0)</f>
        <v>1</v>
      </c>
      <c r="I100" t="str">
        <f>AvatarMatResID[[#This Row],[Material]]</f>
        <v>Female Black Casual 02C</v>
      </c>
    </row>
    <row r="101" spans="1:9" x14ac:dyDescent="0.15">
      <c r="A101" t="s">
        <v>454</v>
      </c>
      <c r="B101" t="s">
        <v>1920</v>
      </c>
      <c r="C101" t="s">
        <v>536</v>
      </c>
      <c r="D101">
        <v>80</v>
      </c>
      <c r="F101">
        <f>OUTPUTAvatarMatResID[[#This Row],[AvatarPartID]]*10000+OUTPUTAvatarMatResID[[#This Row],[SexID]]*1000+AvatarMatResID[[#This Row],[CountIndex]]</f>
        <v>11080</v>
      </c>
      <c r="G101">
        <f>VLOOKUP(AvatarMatResID[[#This Row],[AvatarPart]],AvatarPartID[],2,0)</f>
        <v>1</v>
      </c>
      <c r="H101">
        <f>VLOOKUP(AvatarMatResID[[#This Row],[Sex]],SexID[],2,0)</f>
        <v>1</v>
      </c>
      <c r="I101" t="str">
        <f>AvatarMatResID[[#This Row],[Material]]</f>
        <v>Female Black Casual 03A</v>
      </c>
    </row>
    <row r="102" spans="1:9" x14ac:dyDescent="0.15">
      <c r="A102" t="s">
        <v>454</v>
      </c>
      <c r="B102" t="s">
        <v>1920</v>
      </c>
      <c r="C102" t="s">
        <v>537</v>
      </c>
      <c r="D102">
        <v>81</v>
      </c>
      <c r="F102">
        <f>OUTPUTAvatarMatResID[[#This Row],[AvatarPartID]]*10000+OUTPUTAvatarMatResID[[#This Row],[SexID]]*1000+AvatarMatResID[[#This Row],[CountIndex]]</f>
        <v>11081</v>
      </c>
      <c r="G102">
        <f>VLOOKUP(AvatarMatResID[[#This Row],[AvatarPart]],AvatarPartID[],2,0)</f>
        <v>1</v>
      </c>
      <c r="H102">
        <f>VLOOKUP(AvatarMatResID[[#This Row],[Sex]],SexID[],2,0)</f>
        <v>1</v>
      </c>
      <c r="I102" t="str">
        <f>AvatarMatResID[[#This Row],[Material]]</f>
        <v>Female Black Casual 03B</v>
      </c>
    </row>
    <row r="103" spans="1:9" x14ac:dyDescent="0.15">
      <c r="A103" t="s">
        <v>454</v>
      </c>
      <c r="B103" t="s">
        <v>1920</v>
      </c>
      <c r="C103" t="s">
        <v>538</v>
      </c>
      <c r="D103">
        <v>82</v>
      </c>
      <c r="F103">
        <f>OUTPUTAvatarMatResID[[#This Row],[AvatarPartID]]*10000+OUTPUTAvatarMatResID[[#This Row],[SexID]]*1000+AvatarMatResID[[#This Row],[CountIndex]]</f>
        <v>11082</v>
      </c>
      <c r="G103">
        <f>VLOOKUP(AvatarMatResID[[#This Row],[AvatarPart]],AvatarPartID[],2,0)</f>
        <v>1</v>
      </c>
      <c r="H103">
        <f>VLOOKUP(AvatarMatResID[[#This Row],[Sex]],SexID[],2,0)</f>
        <v>1</v>
      </c>
      <c r="I103" t="str">
        <f>AvatarMatResID[[#This Row],[Material]]</f>
        <v>Female Black Casual 03C</v>
      </c>
    </row>
    <row r="104" spans="1:9" x14ac:dyDescent="0.15">
      <c r="A104" t="s">
        <v>454</v>
      </c>
      <c r="B104" t="s">
        <v>1920</v>
      </c>
      <c r="C104" t="s">
        <v>539</v>
      </c>
      <c r="D104">
        <v>83</v>
      </c>
      <c r="F104">
        <f>OUTPUTAvatarMatResID[[#This Row],[AvatarPartID]]*10000+OUTPUTAvatarMatResID[[#This Row],[SexID]]*1000+AvatarMatResID[[#This Row],[CountIndex]]</f>
        <v>11083</v>
      </c>
      <c r="G104">
        <f>VLOOKUP(AvatarMatResID[[#This Row],[AvatarPart]],AvatarPartID[],2,0)</f>
        <v>1</v>
      </c>
      <c r="H104">
        <f>VLOOKUP(AvatarMatResID[[#This Row],[Sex]],SexID[],2,0)</f>
        <v>1</v>
      </c>
      <c r="I104" t="str">
        <f>AvatarMatResID[[#This Row],[Material]]</f>
        <v>Female Black Casual 04A</v>
      </c>
    </row>
    <row r="105" spans="1:9" x14ac:dyDescent="0.15">
      <c r="A105" t="s">
        <v>454</v>
      </c>
      <c r="B105" t="s">
        <v>1920</v>
      </c>
      <c r="C105" t="s">
        <v>540</v>
      </c>
      <c r="D105">
        <v>84</v>
      </c>
      <c r="F105">
        <f>OUTPUTAvatarMatResID[[#This Row],[AvatarPartID]]*10000+OUTPUTAvatarMatResID[[#This Row],[SexID]]*1000+AvatarMatResID[[#This Row],[CountIndex]]</f>
        <v>11084</v>
      </c>
      <c r="G105">
        <f>VLOOKUP(AvatarMatResID[[#This Row],[AvatarPart]],AvatarPartID[],2,0)</f>
        <v>1</v>
      </c>
      <c r="H105">
        <f>VLOOKUP(AvatarMatResID[[#This Row],[Sex]],SexID[],2,0)</f>
        <v>1</v>
      </c>
      <c r="I105" t="str">
        <f>AvatarMatResID[[#This Row],[Material]]</f>
        <v>Female Black Casual 04B</v>
      </c>
    </row>
    <row r="106" spans="1:9" x14ac:dyDescent="0.15">
      <c r="A106" t="s">
        <v>454</v>
      </c>
      <c r="B106" t="s">
        <v>1920</v>
      </c>
      <c r="C106" t="s">
        <v>541</v>
      </c>
      <c r="D106">
        <v>85</v>
      </c>
      <c r="F106">
        <f>OUTPUTAvatarMatResID[[#This Row],[AvatarPartID]]*10000+OUTPUTAvatarMatResID[[#This Row],[SexID]]*1000+AvatarMatResID[[#This Row],[CountIndex]]</f>
        <v>11085</v>
      </c>
      <c r="G106">
        <f>VLOOKUP(AvatarMatResID[[#This Row],[AvatarPart]],AvatarPartID[],2,0)</f>
        <v>1</v>
      </c>
      <c r="H106">
        <f>VLOOKUP(AvatarMatResID[[#This Row],[Sex]],SexID[],2,0)</f>
        <v>1</v>
      </c>
      <c r="I106" t="str">
        <f>AvatarMatResID[[#This Row],[Material]]</f>
        <v>Female Black Casual 04C</v>
      </c>
    </row>
    <row r="107" spans="1:9" x14ac:dyDescent="0.15">
      <c r="A107" t="s">
        <v>454</v>
      </c>
      <c r="B107" t="s">
        <v>1920</v>
      </c>
      <c r="C107" t="s">
        <v>542</v>
      </c>
      <c r="D107">
        <v>86</v>
      </c>
      <c r="F107">
        <f>OUTPUTAvatarMatResID[[#This Row],[AvatarPartID]]*10000+OUTPUTAvatarMatResID[[#This Row],[SexID]]*1000+AvatarMatResID[[#This Row],[CountIndex]]</f>
        <v>11086</v>
      </c>
      <c r="G107">
        <f>VLOOKUP(AvatarMatResID[[#This Row],[AvatarPart]],AvatarPartID[],2,0)</f>
        <v>1</v>
      </c>
      <c r="H107">
        <f>VLOOKUP(AvatarMatResID[[#This Row],[Sex]],SexID[],2,0)</f>
        <v>1</v>
      </c>
      <c r="I107" t="str">
        <f>AvatarMatResID[[#This Row],[Material]]</f>
        <v>Female Black Casual 05A</v>
      </c>
    </row>
    <row r="108" spans="1:9" x14ac:dyDescent="0.15">
      <c r="A108" t="s">
        <v>454</v>
      </c>
      <c r="B108" t="s">
        <v>1920</v>
      </c>
      <c r="C108" t="s">
        <v>543</v>
      </c>
      <c r="D108">
        <v>87</v>
      </c>
      <c r="F108">
        <f>OUTPUTAvatarMatResID[[#This Row],[AvatarPartID]]*10000+OUTPUTAvatarMatResID[[#This Row],[SexID]]*1000+AvatarMatResID[[#This Row],[CountIndex]]</f>
        <v>11087</v>
      </c>
      <c r="G108">
        <f>VLOOKUP(AvatarMatResID[[#This Row],[AvatarPart]],AvatarPartID[],2,0)</f>
        <v>1</v>
      </c>
      <c r="H108">
        <f>VLOOKUP(AvatarMatResID[[#This Row],[Sex]],SexID[],2,0)</f>
        <v>1</v>
      </c>
      <c r="I108" t="str">
        <f>AvatarMatResID[[#This Row],[Material]]</f>
        <v>Female Black Casual 05B</v>
      </c>
    </row>
    <row r="109" spans="1:9" x14ac:dyDescent="0.15">
      <c r="A109" t="s">
        <v>454</v>
      </c>
      <c r="B109" t="s">
        <v>1920</v>
      </c>
      <c r="C109" t="s">
        <v>544</v>
      </c>
      <c r="D109">
        <v>88</v>
      </c>
      <c r="F109">
        <f>OUTPUTAvatarMatResID[[#This Row],[AvatarPartID]]*10000+OUTPUTAvatarMatResID[[#This Row],[SexID]]*1000+AvatarMatResID[[#This Row],[CountIndex]]</f>
        <v>11088</v>
      </c>
      <c r="G109">
        <f>VLOOKUP(AvatarMatResID[[#This Row],[AvatarPart]],AvatarPartID[],2,0)</f>
        <v>1</v>
      </c>
      <c r="H109">
        <f>VLOOKUP(AvatarMatResID[[#This Row],[Sex]],SexID[],2,0)</f>
        <v>1</v>
      </c>
      <c r="I109" t="str">
        <f>AvatarMatResID[[#This Row],[Material]]</f>
        <v>Female Black Casual 05C</v>
      </c>
    </row>
    <row r="110" spans="1:9" x14ac:dyDescent="0.15">
      <c r="A110" t="s">
        <v>454</v>
      </c>
      <c r="B110" t="s">
        <v>1920</v>
      </c>
      <c r="C110" t="s">
        <v>545</v>
      </c>
      <c r="D110">
        <v>89</v>
      </c>
      <c r="F110">
        <f>OUTPUTAvatarMatResID[[#This Row],[AvatarPartID]]*10000+OUTPUTAvatarMatResID[[#This Row],[SexID]]*1000+AvatarMatResID[[#This Row],[CountIndex]]</f>
        <v>11089</v>
      </c>
      <c r="G110">
        <f>VLOOKUP(AvatarMatResID[[#This Row],[AvatarPart]],AvatarPartID[],2,0)</f>
        <v>1</v>
      </c>
      <c r="H110">
        <f>VLOOKUP(AvatarMatResID[[#This Row],[Sex]],SexID[],2,0)</f>
        <v>1</v>
      </c>
      <c r="I110" t="str">
        <f>AvatarMatResID[[#This Row],[Material]]</f>
        <v>Female Black Casual 06A</v>
      </c>
    </row>
    <row r="111" spans="1:9" x14ac:dyDescent="0.15">
      <c r="A111" t="s">
        <v>454</v>
      </c>
      <c r="B111" t="s">
        <v>1920</v>
      </c>
      <c r="C111" t="s">
        <v>546</v>
      </c>
      <c r="D111">
        <v>90</v>
      </c>
      <c r="F111">
        <f>OUTPUTAvatarMatResID[[#This Row],[AvatarPartID]]*10000+OUTPUTAvatarMatResID[[#This Row],[SexID]]*1000+AvatarMatResID[[#This Row],[CountIndex]]</f>
        <v>11090</v>
      </c>
      <c r="G111">
        <f>VLOOKUP(AvatarMatResID[[#This Row],[AvatarPart]],AvatarPartID[],2,0)</f>
        <v>1</v>
      </c>
      <c r="H111">
        <f>VLOOKUP(AvatarMatResID[[#This Row],[Sex]],SexID[],2,0)</f>
        <v>1</v>
      </c>
      <c r="I111" t="str">
        <f>AvatarMatResID[[#This Row],[Material]]</f>
        <v>Female Black Casual 06B</v>
      </c>
    </row>
    <row r="112" spans="1:9" x14ac:dyDescent="0.15">
      <c r="A112" t="s">
        <v>454</v>
      </c>
      <c r="B112" t="s">
        <v>1920</v>
      </c>
      <c r="C112" t="s">
        <v>547</v>
      </c>
      <c r="D112">
        <v>91</v>
      </c>
      <c r="F112">
        <f>OUTPUTAvatarMatResID[[#This Row],[AvatarPartID]]*10000+OUTPUTAvatarMatResID[[#This Row],[SexID]]*1000+AvatarMatResID[[#This Row],[CountIndex]]</f>
        <v>11091</v>
      </c>
      <c r="G112">
        <f>VLOOKUP(AvatarMatResID[[#This Row],[AvatarPart]],AvatarPartID[],2,0)</f>
        <v>1</v>
      </c>
      <c r="H112">
        <f>VLOOKUP(AvatarMatResID[[#This Row],[Sex]],SexID[],2,0)</f>
        <v>1</v>
      </c>
      <c r="I112" t="str">
        <f>AvatarMatResID[[#This Row],[Material]]</f>
        <v>Female Black Casual 06C</v>
      </c>
    </row>
    <row r="113" spans="1:9" x14ac:dyDescent="0.15">
      <c r="A113" t="s">
        <v>454</v>
      </c>
      <c r="B113" t="s">
        <v>1920</v>
      </c>
      <c r="C113" t="s">
        <v>548</v>
      </c>
      <c r="D113">
        <v>92</v>
      </c>
      <c r="F113">
        <f>OUTPUTAvatarMatResID[[#This Row],[AvatarPartID]]*10000+OUTPUTAvatarMatResID[[#This Row],[SexID]]*1000+AvatarMatResID[[#This Row],[CountIndex]]</f>
        <v>11092</v>
      </c>
      <c r="G113">
        <f>VLOOKUP(AvatarMatResID[[#This Row],[AvatarPart]],AvatarPartID[],2,0)</f>
        <v>1</v>
      </c>
      <c r="H113">
        <f>VLOOKUP(AvatarMatResID[[#This Row],[Sex]],SexID[],2,0)</f>
        <v>1</v>
      </c>
      <c r="I113" t="str">
        <f>AvatarMatResID[[#This Row],[Material]]</f>
        <v>Female Black Casual 07A</v>
      </c>
    </row>
    <row r="114" spans="1:9" x14ac:dyDescent="0.15">
      <c r="A114" t="s">
        <v>454</v>
      </c>
      <c r="B114" t="s">
        <v>1920</v>
      </c>
      <c r="C114" t="s">
        <v>549</v>
      </c>
      <c r="D114">
        <v>93</v>
      </c>
      <c r="F114">
        <f>OUTPUTAvatarMatResID[[#This Row],[AvatarPartID]]*10000+OUTPUTAvatarMatResID[[#This Row],[SexID]]*1000+AvatarMatResID[[#This Row],[CountIndex]]</f>
        <v>11093</v>
      </c>
      <c r="G114">
        <f>VLOOKUP(AvatarMatResID[[#This Row],[AvatarPart]],AvatarPartID[],2,0)</f>
        <v>1</v>
      </c>
      <c r="H114">
        <f>VLOOKUP(AvatarMatResID[[#This Row],[Sex]],SexID[],2,0)</f>
        <v>1</v>
      </c>
      <c r="I114" t="str">
        <f>AvatarMatResID[[#This Row],[Material]]</f>
        <v>Female Black Casual 07B</v>
      </c>
    </row>
    <row r="115" spans="1:9" x14ac:dyDescent="0.15">
      <c r="A115" t="s">
        <v>454</v>
      </c>
      <c r="B115" t="s">
        <v>1920</v>
      </c>
      <c r="C115" t="s">
        <v>550</v>
      </c>
      <c r="D115">
        <v>94</v>
      </c>
      <c r="F115">
        <f>OUTPUTAvatarMatResID[[#This Row],[AvatarPartID]]*10000+OUTPUTAvatarMatResID[[#This Row],[SexID]]*1000+AvatarMatResID[[#This Row],[CountIndex]]</f>
        <v>11094</v>
      </c>
      <c r="G115">
        <f>VLOOKUP(AvatarMatResID[[#This Row],[AvatarPart]],AvatarPartID[],2,0)</f>
        <v>1</v>
      </c>
      <c r="H115">
        <f>VLOOKUP(AvatarMatResID[[#This Row],[Sex]],SexID[],2,0)</f>
        <v>1</v>
      </c>
      <c r="I115" t="str">
        <f>AvatarMatResID[[#This Row],[Material]]</f>
        <v>Female Black Casual 07C</v>
      </c>
    </row>
    <row r="116" spans="1:9" x14ac:dyDescent="0.15">
      <c r="A116" t="s">
        <v>454</v>
      </c>
      <c r="B116" t="s">
        <v>1920</v>
      </c>
      <c r="C116" t="s">
        <v>551</v>
      </c>
      <c r="D116">
        <v>95</v>
      </c>
      <c r="F116">
        <f>OUTPUTAvatarMatResID[[#This Row],[AvatarPartID]]*10000+OUTPUTAvatarMatResID[[#This Row],[SexID]]*1000+AvatarMatResID[[#This Row],[CountIndex]]</f>
        <v>11095</v>
      </c>
      <c r="G116">
        <f>VLOOKUP(AvatarMatResID[[#This Row],[AvatarPart]],AvatarPartID[],2,0)</f>
        <v>1</v>
      </c>
      <c r="H116">
        <f>VLOOKUP(AvatarMatResID[[#This Row],[Sex]],SexID[],2,0)</f>
        <v>1</v>
      </c>
      <c r="I116" t="str">
        <f>AvatarMatResID[[#This Row],[Material]]</f>
        <v>Female Black Casual 08A</v>
      </c>
    </row>
    <row r="117" spans="1:9" x14ac:dyDescent="0.15">
      <c r="A117" t="s">
        <v>454</v>
      </c>
      <c r="B117" t="s">
        <v>1920</v>
      </c>
      <c r="C117" t="s">
        <v>552</v>
      </c>
      <c r="D117">
        <v>96</v>
      </c>
      <c r="F117">
        <f>OUTPUTAvatarMatResID[[#This Row],[AvatarPartID]]*10000+OUTPUTAvatarMatResID[[#This Row],[SexID]]*1000+AvatarMatResID[[#This Row],[CountIndex]]</f>
        <v>11096</v>
      </c>
      <c r="G117">
        <f>VLOOKUP(AvatarMatResID[[#This Row],[AvatarPart]],AvatarPartID[],2,0)</f>
        <v>1</v>
      </c>
      <c r="H117">
        <f>VLOOKUP(AvatarMatResID[[#This Row],[Sex]],SexID[],2,0)</f>
        <v>1</v>
      </c>
      <c r="I117" t="str">
        <f>AvatarMatResID[[#This Row],[Material]]</f>
        <v>Female Black Casual 08B</v>
      </c>
    </row>
    <row r="118" spans="1:9" x14ac:dyDescent="0.15">
      <c r="A118" t="s">
        <v>454</v>
      </c>
      <c r="B118" t="s">
        <v>1920</v>
      </c>
      <c r="C118" t="s">
        <v>553</v>
      </c>
      <c r="D118">
        <v>97</v>
      </c>
      <c r="F118">
        <f>OUTPUTAvatarMatResID[[#This Row],[AvatarPartID]]*10000+OUTPUTAvatarMatResID[[#This Row],[SexID]]*1000+AvatarMatResID[[#This Row],[CountIndex]]</f>
        <v>11097</v>
      </c>
      <c r="G118">
        <f>VLOOKUP(AvatarMatResID[[#This Row],[AvatarPart]],AvatarPartID[],2,0)</f>
        <v>1</v>
      </c>
      <c r="H118">
        <f>VLOOKUP(AvatarMatResID[[#This Row],[Sex]],SexID[],2,0)</f>
        <v>1</v>
      </c>
      <c r="I118" t="str">
        <f>AvatarMatResID[[#This Row],[Material]]</f>
        <v>Female Black Casual 08C</v>
      </c>
    </row>
    <row r="119" spans="1:9" x14ac:dyDescent="0.15">
      <c r="A119" t="s">
        <v>454</v>
      </c>
      <c r="B119" t="s">
        <v>1920</v>
      </c>
      <c r="C119" t="s">
        <v>554</v>
      </c>
      <c r="D119">
        <v>98</v>
      </c>
      <c r="F119">
        <f>OUTPUTAvatarMatResID[[#This Row],[AvatarPartID]]*10000+OUTPUTAvatarMatResID[[#This Row],[SexID]]*1000+AvatarMatResID[[#This Row],[CountIndex]]</f>
        <v>11098</v>
      </c>
      <c r="G119">
        <f>VLOOKUP(AvatarMatResID[[#This Row],[AvatarPart]],AvatarPartID[],2,0)</f>
        <v>1</v>
      </c>
      <c r="H119">
        <f>VLOOKUP(AvatarMatResID[[#This Row],[Sex]],SexID[],2,0)</f>
        <v>1</v>
      </c>
      <c r="I119" t="str">
        <f>AvatarMatResID[[#This Row],[Material]]</f>
        <v>Female Black Elf 01</v>
      </c>
    </row>
    <row r="120" spans="1:9" x14ac:dyDescent="0.15">
      <c r="A120" t="s">
        <v>454</v>
      </c>
      <c r="B120" t="s">
        <v>1920</v>
      </c>
      <c r="C120" t="s">
        <v>555</v>
      </c>
      <c r="D120">
        <v>99</v>
      </c>
      <c r="F120">
        <f>OUTPUTAvatarMatResID[[#This Row],[AvatarPartID]]*10000+OUTPUTAvatarMatResID[[#This Row],[SexID]]*1000+AvatarMatResID[[#This Row],[CountIndex]]</f>
        <v>11099</v>
      </c>
      <c r="G120">
        <f>VLOOKUP(AvatarMatResID[[#This Row],[AvatarPart]],AvatarPartID[],2,0)</f>
        <v>1</v>
      </c>
      <c r="H120">
        <f>VLOOKUP(AvatarMatResID[[#This Row],[Sex]],SexID[],2,0)</f>
        <v>1</v>
      </c>
      <c r="I120" t="str">
        <f>AvatarMatResID[[#This Row],[Material]]</f>
        <v>Female Black Knight 01 Black</v>
      </c>
    </row>
    <row r="121" spans="1:9" x14ac:dyDescent="0.15">
      <c r="A121" t="s">
        <v>454</v>
      </c>
      <c r="B121" t="s">
        <v>1920</v>
      </c>
      <c r="C121" t="s">
        <v>556</v>
      </c>
      <c r="D121">
        <v>100</v>
      </c>
      <c r="F121">
        <f>OUTPUTAvatarMatResID[[#This Row],[AvatarPartID]]*10000+OUTPUTAvatarMatResID[[#This Row],[SexID]]*1000+AvatarMatResID[[#This Row],[CountIndex]]</f>
        <v>11100</v>
      </c>
      <c r="G121">
        <f>VLOOKUP(AvatarMatResID[[#This Row],[AvatarPart]],AvatarPartID[],2,0)</f>
        <v>1</v>
      </c>
      <c r="H121">
        <f>VLOOKUP(AvatarMatResID[[#This Row],[Sex]],SexID[],2,0)</f>
        <v>1</v>
      </c>
      <c r="I121" t="str">
        <f>AvatarMatResID[[#This Row],[Material]]</f>
        <v>Female Black Knight 01 Blue</v>
      </c>
    </row>
    <row r="122" spans="1:9" x14ac:dyDescent="0.15">
      <c r="A122" t="s">
        <v>454</v>
      </c>
      <c r="B122" t="s">
        <v>1920</v>
      </c>
      <c r="C122" t="s">
        <v>557</v>
      </c>
      <c r="D122">
        <v>101</v>
      </c>
      <c r="F122">
        <f>OUTPUTAvatarMatResID[[#This Row],[AvatarPartID]]*10000+OUTPUTAvatarMatResID[[#This Row],[SexID]]*1000+AvatarMatResID[[#This Row],[CountIndex]]</f>
        <v>11101</v>
      </c>
      <c r="G122">
        <f>VLOOKUP(AvatarMatResID[[#This Row],[AvatarPart]],AvatarPartID[],2,0)</f>
        <v>1</v>
      </c>
      <c r="H122">
        <f>VLOOKUP(AvatarMatResID[[#This Row],[Sex]],SexID[],2,0)</f>
        <v>1</v>
      </c>
      <c r="I122" t="str">
        <f>AvatarMatResID[[#This Row],[Material]]</f>
        <v>Female Black Knight 01 Green</v>
      </c>
    </row>
    <row r="123" spans="1:9" x14ac:dyDescent="0.15">
      <c r="A123" t="s">
        <v>454</v>
      </c>
      <c r="B123" t="s">
        <v>1920</v>
      </c>
      <c r="C123" t="s">
        <v>558</v>
      </c>
      <c r="D123">
        <v>102</v>
      </c>
      <c r="F123">
        <f>OUTPUTAvatarMatResID[[#This Row],[AvatarPartID]]*10000+OUTPUTAvatarMatResID[[#This Row],[SexID]]*1000+AvatarMatResID[[#This Row],[CountIndex]]</f>
        <v>11102</v>
      </c>
      <c r="G123">
        <f>VLOOKUP(AvatarMatResID[[#This Row],[AvatarPart]],AvatarPartID[],2,0)</f>
        <v>1</v>
      </c>
      <c r="H123">
        <f>VLOOKUP(AvatarMatResID[[#This Row],[Sex]],SexID[],2,0)</f>
        <v>1</v>
      </c>
      <c r="I123" t="str">
        <f>AvatarMatResID[[#This Row],[Material]]</f>
        <v>Female Black Knight 01 Purple</v>
      </c>
    </row>
    <row r="124" spans="1:9" x14ac:dyDescent="0.15">
      <c r="A124" t="s">
        <v>454</v>
      </c>
      <c r="B124" t="s">
        <v>1920</v>
      </c>
      <c r="C124" t="s">
        <v>559</v>
      </c>
      <c r="D124">
        <v>103</v>
      </c>
      <c r="F124">
        <f>OUTPUTAvatarMatResID[[#This Row],[AvatarPartID]]*10000+OUTPUTAvatarMatResID[[#This Row],[SexID]]*1000+AvatarMatResID[[#This Row],[CountIndex]]</f>
        <v>11103</v>
      </c>
      <c r="G124">
        <f>VLOOKUP(AvatarMatResID[[#This Row],[AvatarPart]],AvatarPartID[],2,0)</f>
        <v>1</v>
      </c>
      <c r="H124">
        <f>VLOOKUP(AvatarMatResID[[#This Row],[Sex]],SexID[],2,0)</f>
        <v>1</v>
      </c>
      <c r="I124" t="str">
        <f>AvatarMatResID[[#This Row],[Material]]</f>
        <v>Female Black Knight 01 Red</v>
      </c>
    </row>
    <row r="125" spans="1:9" x14ac:dyDescent="0.15">
      <c r="A125" t="s">
        <v>454</v>
      </c>
      <c r="B125" t="s">
        <v>1920</v>
      </c>
      <c r="C125" t="s">
        <v>560</v>
      </c>
      <c r="D125">
        <v>104</v>
      </c>
      <c r="F125">
        <f>OUTPUTAvatarMatResID[[#This Row],[AvatarPartID]]*10000+OUTPUTAvatarMatResID[[#This Row],[SexID]]*1000+AvatarMatResID[[#This Row],[CountIndex]]</f>
        <v>11104</v>
      </c>
      <c r="G125">
        <f>VLOOKUP(AvatarMatResID[[#This Row],[AvatarPart]],AvatarPartID[],2,0)</f>
        <v>1</v>
      </c>
      <c r="H125">
        <f>VLOOKUP(AvatarMatResID[[#This Row],[Sex]],SexID[],2,0)</f>
        <v>1</v>
      </c>
      <c r="I125" t="str">
        <f>AvatarMatResID[[#This Row],[Material]]</f>
        <v>Female Black Knight 01 White</v>
      </c>
    </row>
    <row r="126" spans="1:9" x14ac:dyDescent="0.15">
      <c r="A126" t="s">
        <v>454</v>
      </c>
      <c r="B126" t="s">
        <v>1920</v>
      </c>
      <c r="C126" t="s">
        <v>561</v>
      </c>
      <c r="D126">
        <v>105</v>
      </c>
      <c r="F126">
        <f>OUTPUTAvatarMatResID[[#This Row],[AvatarPartID]]*10000+OUTPUTAvatarMatResID[[#This Row],[SexID]]*1000+AvatarMatResID[[#This Row],[CountIndex]]</f>
        <v>11105</v>
      </c>
      <c r="G126">
        <f>VLOOKUP(AvatarMatResID[[#This Row],[AvatarPart]],AvatarPartID[],2,0)</f>
        <v>1</v>
      </c>
      <c r="H126">
        <f>VLOOKUP(AvatarMatResID[[#This Row],[Sex]],SexID[],2,0)</f>
        <v>1</v>
      </c>
      <c r="I126" t="str">
        <f>AvatarMatResID[[#This Row],[Material]]</f>
        <v>Female Black Knight 02 Black</v>
      </c>
    </row>
    <row r="127" spans="1:9" x14ac:dyDescent="0.15">
      <c r="A127" t="s">
        <v>454</v>
      </c>
      <c r="B127" t="s">
        <v>1920</v>
      </c>
      <c r="C127" t="s">
        <v>562</v>
      </c>
      <c r="D127">
        <v>106</v>
      </c>
      <c r="F127">
        <f>OUTPUTAvatarMatResID[[#This Row],[AvatarPartID]]*10000+OUTPUTAvatarMatResID[[#This Row],[SexID]]*1000+AvatarMatResID[[#This Row],[CountIndex]]</f>
        <v>11106</v>
      </c>
      <c r="G127">
        <f>VLOOKUP(AvatarMatResID[[#This Row],[AvatarPart]],AvatarPartID[],2,0)</f>
        <v>1</v>
      </c>
      <c r="H127">
        <f>VLOOKUP(AvatarMatResID[[#This Row],[Sex]],SexID[],2,0)</f>
        <v>1</v>
      </c>
      <c r="I127" t="str">
        <f>AvatarMatResID[[#This Row],[Material]]</f>
        <v>Female Black Knight 02 Blue</v>
      </c>
    </row>
    <row r="128" spans="1:9" x14ac:dyDescent="0.15">
      <c r="A128" t="s">
        <v>454</v>
      </c>
      <c r="B128" t="s">
        <v>1920</v>
      </c>
      <c r="C128" t="s">
        <v>563</v>
      </c>
      <c r="D128">
        <v>107</v>
      </c>
      <c r="F128">
        <f>OUTPUTAvatarMatResID[[#This Row],[AvatarPartID]]*10000+OUTPUTAvatarMatResID[[#This Row],[SexID]]*1000+AvatarMatResID[[#This Row],[CountIndex]]</f>
        <v>11107</v>
      </c>
      <c r="G128">
        <f>VLOOKUP(AvatarMatResID[[#This Row],[AvatarPart]],AvatarPartID[],2,0)</f>
        <v>1</v>
      </c>
      <c r="H128">
        <f>VLOOKUP(AvatarMatResID[[#This Row],[Sex]],SexID[],2,0)</f>
        <v>1</v>
      </c>
      <c r="I128" t="str">
        <f>AvatarMatResID[[#This Row],[Material]]</f>
        <v>Female Black Knight 02 Green</v>
      </c>
    </row>
    <row r="129" spans="1:9" x14ac:dyDescent="0.15">
      <c r="A129" t="s">
        <v>454</v>
      </c>
      <c r="B129" t="s">
        <v>1920</v>
      </c>
      <c r="C129" t="s">
        <v>564</v>
      </c>
      <c r="D129">
        <v>108</v>
      </c>
      <c r="F129">
        <f>OUTPUTAvatarMatResID[[#This Row],[AvatarPartID]]*10000+OUTPUTAvatarMatResID[[#This Row],[SexID]]*1000+AvatarMatResID[[#This Row],[CountIndex]]</f>
        <v>11108</v>
      </c>
      <c r="G129">
        <f>VLOOKUP(AvatarMatResID[[#This Row],[AvatarPart]],AvatarPartID[],2,0)</f>
        <v>1</v>
      </c>
      <c r="H129">
        <f>VLOOKUP(AvatarMatResID[[#This Row],[Sex]],SexID[],2,0)</f>
        <v>1</v>
      </c>
      <c r="I129" t="str">
        <f>AvatarMatResID[[#This Row],[Material]]</f>
        <v>Female Black Knight 02 Purple</v>
      </c>
    </row>
    <row r="130" spans="1:9" x14ac:dyDescent="0.15">
      <c r="A130" t="s">
        <v>454</v>
      </c>
      <c r="B130" t="s">
        <v>1920</v>
      </c>
      <c r="C130" t="s">
        <v>565</v>
      </c>
      <c r="D130">
        <v>109</v>
      </c>
      <c r="F130">
        <f>OUTPUTAvatarMatResID[[#This Row],[AvatarPartID]]*10000+OUTPUTAvatarMatResID[[#This Row],[SexID]]*1000+AvatarMatResID[[#This Row],[CountIndex]]</f>
        <v>11109</v>
      </c>
      <c r="G130">
        <f>VLOOKUP(AvatarMatResID[[#This Row],[AvatarPart]],AvatarPartID[],2,0)</f>
        <v>1</v>
      </c>
      <c r="H130">
        <f>VLOOKUP(AvatarMatResID[[#This Row],[Sex]],SexID[],2,0)</f>
        <v>1</v>
      </c>
      <c r="I130" t="str">
        <f>AvatarMatResID[[#This Row],[Material]]</f>
        <v>Female Black Knight 02 Red</v>
      </c>
    </row>
    <row r="131" spans="1:9" x14ac:dyDescent="0.15">
      <c r="A131" t="s">
        <v>454</v>
      </c>
      <c r="B131" t="s">
        <v>1920</v>
      </c>
      <c r="C131" t="s">
        <v>566</v>
      </c>
      <c r="D131">
        <v>110</v>
      </c>
      <c r="F131">
        <f>OUTPUTAvatarMatResID[[#This Row],[AvatarPartID]]*10000+OUTPUTAvatarMatResID[[#This Row],[SexID]]*1000+AvatarMatResID[[#This Row],[CountIndex]]</f>
        <v>11110</v>
      </c>
      <c r="G131">
        <f>VLOOKUP(AvatarMatResID[[#This Row],[AvatarPart]],AvatarPartID[],2,0)</f>
        <v>1</v>
      </c>
      <c r="H131">
        <f>VLOOKUP(AvatarMatResID[[#This Row],[Sex]],SexID[],2,0)</f>
        <v>1</v>
      </c>
      <c r="I131" t="str">
        <f>AvatarMatResID[[#This Row],[Material]]</f>
        <v>Female Black Knight 02 White</v>
      </c>
    </row>
    <row r="132" spans="1:9" x14ac:dyDescent="0.15">
      <c r="A132" t="s">
        <v>454</v>
      </c>
      <c r="B132" t="s">
        <v>1920</v>
      </c>
      <c r="C132" t="s">
        <v>567</v>
      </c>
      <c r="D132">
        <v>111</v>
      </c>
      <c r="F132">
        <f>OUTPUTAvatarMatResID[[#This Row],[AvatarPartID]]*10000+OUTPUTAvatarMatResID[[#This Row],[SexID]]*1000+AvatarMatResID[[#This Row],[CountIndex]]</f>
        <v>11111</v>
      </c>
      <c r="G132">
        <f>VLOOKUP(AvatarMatResID[[#This Row],[AvatarPart]],AvatarPartID[],2,0)</f>
        <v>1</v>
      </c>
      <c r="H132">
        <f>VLOOKUP(AvatarMatResID[[#This Row],[Sex]],SexID[],2,0)</f>
        <v>1</v>
      </c>
      <c r="I132" t="str">
        <f>AvatarMatResID[[#This Row],[Material]]</f>
        <v>Female Black Knight 03 Black</v>
      </c>
    </row>
    <row r="133" spans="1:9" x14ac:dyDescent="0.15">
      <c r="A133" t="s">
        <v>454</v>
      </c>
      <c r="B133" t="s">
        <v>1920</v>
      </c>
      <c r="C133" t="s">
        <v>568</v>
      </c>
      <c r="D133">
        <v>112</v>
      </c>
      <c r="F133">
        <f>OUTPUTAvatarMatResID[[#This Row],[AvatarPartID]]*10000+OUTPUTAvatarMatResID[[#This Row],[SexID]]*1000+AvatarMatResID[[#This Row],[CountIndex]]</f>
        <v>11112</v>
      </c>
      <c r="G133">
        <f>VLOOKUP(AvatarMatResID[[#This Row],[AvatarPart]],AvatarPartID[],2,0)</f>
        <v>1</v>
      </c>
      <c r="H133">
        <f>VLOOKUP(AvatarMatResID[[#This Row],[Sex]],SexID[],2,0)</f>
        <v>1</v>
      </c>
      <c r="I133" t="str">
        <f>AvatarMatResID[[#This Row],[Material]]</f>
        <v>Female Black Knight 03 Blue</v>
      </c>
    </row>
    <row r="134" spans="1:9" x14ac:dyDescent="0.15">
      <c r="A134" t="s">
        <v>454</v>
      </c>
      <c r="B134" t="s">
        <v>1920</v>
      </c>
      <c r="C134" t="s">
        <v>569</v>
      </c>
      <c r="D134">
        <v>113</v>
      </c>
      <c r="F134">
        <f>OUTPUTAvatarMatResID[[#This Row],[AvatarPartID]]*10000+OUTPUTAvatarMatResID[[#This Row],[SexID]]*1000+AvatarMatResID[[#This Row],[CountIndex]]</f>
        <v>11113</v>
      </c>
      <c r="G134">
        <f>VLOOKUP(AvatarMatResID[[#This Row],[AvatarPart]],AvatarPartID[],2,0)</f>
        <v>1</v>
      </c>
      <c r="H134">
        <f>VLOOKUP(AvatarMatResID[[#This Row],[Sex]],SexID[],2,0)</f>
        <v>1</v>
      </c>
      <c r="I134" t="str">
        <f>AvatarMatResID[[#This Row],[Material]]</f>
        <v>Female Black Knight 03 Green</v>
      </c>
    </row>
    <row r="135" spans="1:9" x14ac:dyDescent="0.15">
      <c r="A135" t="s">
        <v>454</v>
      </c>
      <c r="B135" t="s">
        <v>1920</v>
      </c>
      <c r="C135" t="s">
        <v>570</v>
      </c>
      <c r="D135">
        <v>114</v>
      </c>
      <c r="F135">
        <f>OUTPUTAvatarMatResID[[#This Row],[AvatarPartID]]*10000+OUTPUTAvatarMatResID[[#This Row],[SexID]]*1000+AvatarMatResID[[#This Row],[CountIndex]]</f>
        <v>11114</v>
      </c>
      <c r="G135">
        <f>VLOOKUP(AvatarMatResID[[#This Row],[AvatarPart]],AvatarPartID[],2,0)</f>
        <v>1</v>
      </c>
      <c r="H135">
        <f>VLOOKUP(AvatarMatResID[[#This Row],[Sex]],SexID[],2,0)</f>
        <v>1</v>
      </c>
      <c r="I135" t="str">
        <f>AvatarMatResID[[#This Row],[Material]]</f>
        <v>Female Black Knight 03 Purple</v>
      </c>
    </row>
    <row r="136" spans="1:9" x14ac:dyDescent="0.15">
      <c r="A136" t="s">
        <v>454</v>
      </c>
      <c r="B136" t="s">
        <v>1920</v>
      </c>
      <c r="C136" t="s">
        <v>571</v>
      </c>
      <c r="D136">
        <v>115</v>
      </c>
      <c r="F136">
        <f>OUTPUTAvatarMatResID[[#This Row],[AvatarPartID]]*10000+OUTPUTAvatarMatResID[[#This Row],[SexID]]*1000+AvatarMatResID[[#This Row],[CountIndex]]</f>
        <v>11115</v>
      </c>
      <c r="G136">
        <f>VLOOKUP(AvatarMatResID[[#This Row],[AvatarPart]],AvatarPartID[],2,0)</f>
        <v>1</v>
      </c>
      <c r="H136">
        <f>VLOOKUP(AvatarMatResID[[#This Row],[Sex]],SexID[],2,0)</f>
        <v>1</v>
      </c>
      <c r="I136" t="str">
        <f>AvatarMatResID[[#This Row],[Material]]</f>
        <v>Female Black Knight 03 Red</v>
      </c>
    </row>
    <row r="137" spans="1:9" x14ac:dyDescent="0.15">
      <c r="A137" t="s">
        <v>454</v>
      </c>
      <c r="B137" t="s">
        <v>1920</v>
      </c>
      <c r="C137" t="s">
        <v>572</v>
      </c>
      <c r="D137">
        <v>116</v>
      </c>
      <c r="F137">
        <f>OUTPUTAvatarMatResID[[#This Row],[AvatarPartID]]*10000+OUTPUTAvatarMatResID[[#This Row],[SexID]]*1000+AvatarMatResID[[#This Row],[CountIndex]]</f>
        <v>11116</v>
      </c>
      <c r="G137">
        <f>VLOOKUP(AvatarMatResID[[#This Row],[AvatarPart]],AvatarPartID[],2,0)</f>
        <v>1</v>
      </c>
      <c r="H137">
        <f>VLOOKUP(AvatarMatResID[[#This Row],[Sex]],SexID[],2,0)</f>
        <v>1</v>
      </c>
      <c r="I137" t="str">
        <f>AvatarMatResID[[#This Row],[Material]]</f>
        <v>Female Black Knight 03 White</v>
      </c>
    </row>
    <row r="138" spans="1:9" x14ac:dyDescent="0.15">
      <c r="A138" t="s">
        <v>454</v>
      </c>
      <c r="B138" t="s">
        <v>1920</v>
      </c>
      <c r="C138" t="s">
        <v>573</v>
      </c>
      <c r="D138">
        <v>117</v>
      </c>
      <c r="F138">
        <f>OUTPUTAvatarMatResID[[#This Row],[AvatarPartID]]*10000+OUTPUTAvatarMatResID[[#This Row],[SexID]]*1000+AvatarMatResID[[#This Row],[CountIndex]]</f>
        <v>11117</v>
      </c>
      <c r="G138">
        <f>VLOOKUP(AvatarMatResID[[#This Row],[AvatarPart]],AvatarPartID[],2,0)</f>
        <v>1</v>
      </c>
      <c r="H138">
        <f>VLOOKUP(AvatarMatResID[[#This Row],[Sex]],SexID[],2,0)</f>
        <v>1</v>
      </c>
      <c r="I138" t="str">
        <f>AvatarMatResID[[#This Row],[Material]]</f>
        <v>Female Black Knight 04 Black</v>
      </c>
    </row>
    <row r="139" spans="1:9" x14ac:dyDescent="0.15">
      <c r="A139" t="s">
        <v>454</v>
      </c>
      <c r="B139" t="s">
        <v>1920</v>
      </c>
      <c r="C139" t="s">
        <v>574</v>
      </c>
      <c r="D139">
        <v>118</v>
      </c>
      <c r="F139">
        <f>OUTPUTAvatarMatResID[[#This Row],[AvatarPartID]]*10000+OUTPUTAvatarMatResID[[#This Row],[SexID]]*1000+AvatarMatResID[[#This Row],[CountIndex]]</f>
        <v>11118</v>
      </c>
      <c r="G139">
        <f>VLOOKUP(AvatarMatResID[[#This Row],[AvatarPart]],AvatarPartID[],2,0)</f>
        <v>1</v>
      </c>
      <c r="H139">
        <f>VLOOKUP(AvatarMatResID[[#This Row],[Sex]],SexID[],2,0)</f>
        <v>1</v>
      </c>
      <c r="I139" t="str">
        <f>AvatarMatResID[[#This Row],[Material]]</f>
        <v>Female Black Knight 04 Blue</v>
      </c>
    </row>
    <row r="140" spans="1:9" x14ac:dyDescent="0.15">
      <c r="A140" t="s">
        <v>454</v>
      </c>
      <c r="B140" t="s">
        <v>1920</v>
      </c>
      <c r="C140" t="s">
        <v>575</v>
      </c>
      <c r="D140">
        <v>119</v>
      </c>
      <c r="F140">
        <f>OUTPUTAvatarMatResID[[#This Row],[AvatarPartID]]*10000+OUTPUTAvatarMatResID[[#This Row],[SexID]]*1000+AvatarMatResID[[#This Row],[CountIndex]]</f>
        <v>11119</v>
      </c>
      <c r="G140">
        <f>VLOOKUP(AvatarMatResID[[#This Row],[AvatarPart]],AvatarPartID[],2,0)</f>
        <v>1</v>
      </c>
      <c r="H140">
        <f>VLOOKUP(AvatarMatResID[[#This Row],[Sex]],SexID[],2,0)</f>
        <v>1</v>
      </c>
      <c r="I140" t="str">
        <f>AvatarMatResID[[#This Row],[Material]]</f>
        <v>Female Black Knight 04 Green</v>
      </c>
    </row>
    <row r="141" spans="1:9" x14ac:dyDescent="0.15">
      <c r="A141" t="s">
        <v>454</v>
      </c>
      <c r="B141" t="s">
        <v>1920</v>
      </c>
      <c r="C141" t="s">
        <v>576</v>
      </c>
      <c r="D141">
        <v>120</v>
      </c>
      <c r="F141">
        <f>OUTPUTAvatarMatResID[[#This Row],[AvatarPartID]]*10000+OUTPUTAvatarMatResID[[#This Row],[SexID]]*1000+AvatarMatResID[[#This Row],[CountIndex]]</f>
        <v>11120</v>
      </c>
      <c r="G141">
        <f>VLOOKUP(AvatarMatResID[[#This Row],[AvatarPart]],AvatarPartID[],2,0)</f>
        <v>1</v>
      </c>
      <c r="H141">
        <f>VLOOKUP(AvatarMatResID[[#This Row],[Sex]],SexID[],2,0)</f>
        <v>1</v>
      </c>
      <c r="I141" t="str">
        <f>AvatarMatResID[[#This Row],[Material]]</f>
        <v>Female Black Knight 04 Magenta</v>
      </c>
    </row>
    <row r="142" spans="1:9" x14ac:dyDescent="0.15">
      <c r="A142" t="s">
        <v>454</v>
      </c>
      <c r="B142" t="s">
        <v>1920</v>
      </c>
      <c r="C142" t="s">
        <v>577</v>
      </c>
      <c r="D142">
        <v>121</v>
      </c>
      <c r="F142">
        <f>OUTPUTAvatarMatResID[[#This Row],[AvatarPartID]]*10000+OUTPUTAvatarMatResID[[#This Row],[SexID]]*1000+AvatarMatResID[[#This Row],[CountIndex]]</f>
        <v>11121</v>
      </c>
      <c r="G142">
        <f>VLOOKUP(AvatarMatResID[[#This Row],[AvatarPart]],AvatarPartID[],2,0)</f>
        <v>1</v>
      </c>
      <c r="H142">
        <f>VLOOKUP(AvatarMatResID[[#This Row],[Sex]],SexID[],2,0)</f>
        <v>1</v>
      </c>
      <c r="I142" t="str">
        <f>AvatarMatResID[[#This Row],[Material]]</f>
        <v>Female Black Knight 04 Purple</v>
      </c>
    </row>
    <row r="143" spans="1:9" x14ac:dyDescent="0.15">
      <c r="A143" t="s">
        <v>454</v>
      </c>
      <c r="B143" t="s">
        <v>1920</v>
      </c>
      <c r="C143" t="s">
        <v>578</v>
      </c>
      <c r="D143">
        <v>122</v>
      </c>
      <c r="F143">
        <f>OUTPUTAvatarMatResID[[#This Row],[AvatarPartID]]*10000+OUTPUTAvatarMatResID[[#This Row],[SexID]]*1000+AvatarMatResID[[#This Row],[CountIndex]]</f>
        <v>11122</v>
      </c>
      <c r="G143">
        <f>VLOOKUP(AvatarMatResID[[#This Row],[AvatarPart]],AvatarPartID[],2,0)</f>
        <v>1</v>
      </c>
      <c r="H143">
        <f>VLOOKUP(AvatarMatResID[[#This Row],[Sex]],SexID[],2,0)</f>
        <v>1</v>
      </c>
      <c r="I143" t="str">
        <f>AvatarMatResID[[#This Row],[Material]]</f>
        <v>Female Black Knight 04 Red</v>
      </c>
    </row>
    <row r="144" spans="1:9" x14ac:dyDescent="0.15">
      <c r="A144" t="s">
        <v>454</v>
      </c>
      <c r="B144" t="s">
        <v>1920</v>
      </c>
      <c r="C144" t="s">
        <v>579</v>
      </c>
      <c r="D144">
        <v>123</v>
      </c>
      <c r="F144">
        <f>OUTPUTAvatarMatResID[[#This Row],[AvatarPartID]]*10000+OUTPUTAvatarMatResID[[#This Row],[SexID]]*1000+AvatarMatResID[[#This Row],[CountIndex]]</f>
        <v>11123</v>
      </c>
      <c r="G144">
        <f>VLOOKUP(AvatarMatResID[[#This Row],[AvatarPart]],AvatarPartID[],2,0)</f>
        <v>1</v>
      </c>
      <c r="H144">
        <f>VLOOKUP(AvatarMatResID[[#This Row],[Sex]],SexID[],2,0)</f>
        <v>1</v>
      </c>
      <c r="I144" t="str">
        <f>AvatarMatResID[[#This Row],[Material]]</f>
        <v>Female Black Knight 04 White</v>
      </c>
    </row>
    <row r="145" spans="1:9" x14ac:dyDescent="0.15">
      <c r="A145" t="s">
        <v>454</v>
      </c>
      <c r="B145" t="s">
        <v>1920</v>
      </c>
      <c r="C145" t="s">
        <v>580</v>
      </c>
      <c r="D145">
        <v>124</v>
      </c>
      <c r="F145">
        <f>OUTPUTAvatarMatResID[[#This Row],[AvatarPartID]]*10000+OUTPUTAvatarMatResID[[#This Row],[SexID]]*1000+AvatarMatResID[[#This Row],[CountIndex]]</f>
        <v>11124</v>
      </c>
      <c r="G145">
        <f>VLOOKUP(AvatarMatResID[[#This Row],[AvatarPart]],AvatarPartID[],2,0)</f>
        <v>1</v>
      </c>
      <c r="H145">
        <f>VLOOKUP(AvatarMatResID[[#This Row],[Sex]],SexID[],2,0)</f>
        <v>1</v>
      </c>
      <c r="I145" t="str">
        <f>AvatarMatResID[[#This Row],[Material]]</f>
        <v>Female Black Knight 04 Yellow</v>
      </c>
    </row>
    <row r="146" spans="1:9" x14ac:dyDescent="0.15">
      <c r="A146" t="s">
        <v>454</v>
      </c>
      <c r="B146" t="s">
        <v>1920</v>
      </c>
      <c r="C146" t="s">
        <v>581</v>
      </c>
      <c r="D146">
        <v>125</v>
      </c>
      <c r="F146">
        <f>OUTPUTAvatarMatResID[[#This Row],[AvatarPartID]]*10000+OUTPUTAvatarMatResID[[#This Row],[SexID]]*1000+AvatarMatResID[[#This Row],[CountIndex]]</f>
        <v>11125</v>
      </c>
      <c r="G146">
        <f>VLOOKUP(AvatarMatResID[[#This Row],[AvatarPart]],AvatarPartID[],2,0)</f>
        <v>1</v>
      </c>
      <c r="H146">
        <f>VLOOKUP(AvatarMatResID[[#This Row],[Sex]],SexID[],2,0)</f>
        <v>1</v>
      </c>
      <c r="I146" t="str">
        <f>AvatarMatResID[[#This Row],[Material]]</f>
        <v>Female Black Knight 05 Black</v>
      </c>
    </row>
    <row r="147" spans="1:9" x14ac:dyDescent="0.15">
      <c r="A147" t="s">
        <v>454</v>
      </c>
      <c r="B147" t="s">
        <v>1920</v>
      </c>
      <c r="C147" t="s">
        <v>582</v>
      </c>
      <c r="D147">
        <v>126</v>
      </c>
      <c r="F147">
        <f>OUTPUTAvatarMatResID[[#This Row],[AvatarPartID]]*10000+OUTPUTAvatarMatResID[[#This Row],[SexID]]*1000+AvatarMatResID[[#This Row],[CountIndex]]</f>
        <v>11126</v>
      </c>
      <c r="G147">
        <f>VLOOKUP(AvatarMatResID[[#This Row],[AvatarPart]],AvatarPartID[],2,0)</f>
        <v>1</v>
      </c>
      <c r="H147">
        <f>VLOOKUP(AvatarMatResID[[#This Row],[Sex]],SexID[],2,0)</f>
        <v>1</v>
      </c>
      <c r="I147" t="str">
        <f>AvatarMatResID[[#This Row],[Material]]</f>
        <v>Female Black Knight 05 Blue</v>
      </c>
    </row>
    <row r="148" spans="1:9" x14ac:dyDescent="0.15">
      <c r="A148" t="s">
        <v>454</v>
      </c>
      <c r="B148" t="s">
        <v>1920</v>
      </c>
      <c r="C148" t="s">
        <v>583</v>
      </c>
      <c r="D148">
        <v>127</v>
      </c>
      <c r="F148">
        <f>OUTPUTAvatarMatResID[[#This Row],[AvatarPartID]]*10000+OUTPUTAvatarMatResID[[#This Row],[SexID]]*1000+AvatarMatResID[[#This Row],[CountIndex]]</f>
        <v>11127</v>
      </c>
      <c r="G148">
        <f>VLOOKUP(AvatarMatResID[[#This Row],[AvatarPart]],AvatarPartID[],2,0)</f>
        <v>1</v>
      </c>
      <c r="H148">
        <f>VLOOKUP(AvatarMatResID[[#This Row],[Sex]],SexID[],2,0)</f>
        <v>1</v>
      </c>
      <c r="I148" t="str">
        <f>AvatarMatResID[[#This Row],[Material]]</f>
        <v>Female Black Knight 05 Green</v>
      </c>
    </row>
    <row r="149" spans="1:9" x14ac:dyDescent="0.15">
      <c r="A149" t="s">
        <v>454</v>
      </c>
      <c r="B149" t="s">
        <v>1920</v>
      </c>
      <c r="C149" t="s">
        <v>584</v>
      </c>
      <c r="D149">
        <v>128</v>
      </c>
      <c r="F149">
        <f>OUTPUTAvatarMatResID[[#This Row],[AvatarPartID]]*10000+OUTPUTAvatarMatResID[[#This Row],[SexID]]*1000+AvatarMatResID[[#This Row],[CountIndex]]</f>
        <v>11128</v>
      </c>
      <c r="G149">
        <f>VLOOKUP(AvatarMatResID[[#This Row],[AvatarPart]],AvatarPartID[],2,0)</f>
        <v>1</v>
      </c>
      <c r="H149">
        <f>VLOOKUP(AvatarMatResID[[#This Row],[Sex]],SexID[],2,0)</f>
        <v>1</v>
      </c>
      <c r="I149" t="str">
        <f>AvatarMatResID[[#This Row],[Material]]</f>
        <v>Female Black Knight 05 Magenta</v>
      </c>
    </row>
    <row r="150" spans="1:9" x14ac:dyDescent="0.15">
      <c r="A150" t="s">
        <v>454</v>
      </c>
      <c r="B150" t="s">
        <v>1920</v>
      </c>
      <c r="C150" t="s">
        <v>585</v>
      </c>
      <c r="D150">
        <v>129</v>
      </c>
      <c r="F150">
        <f>OUTPUTAvatarMatResID[[#This Row],[AvatarPartID]]*10000+OUTPUTAvatarMatResID[[#This Row],[SexID]]*1000+AvatarMatResID[[#This Row],[CountIndex]]</f>
        <v>11129</v>
      </c>
      <c r="G150">
        <f>VLOOKUP(AvatarMatResID[[#This Row],[AvatarPart]],AvatarPartID[],2,0)</f>
        <v>1</v>
      </c>
      <c r="H150">
        <f>VLOOKUP(AvatarMatResID[[#This Row],[Sex]],SexID[],2,0)</f>
        <v>1</v>
      </c>
      <c r="I150" t="str">
        <f>AvatarMatResID[[#This Row],[Material]]</f>
        <v>Female Black Knight 05 Purple</v>
      </c>
    </row>
    <row r="151" spans="1:9" x14ac:dyDescent="0.15">
      <c r="A151" t="s">
        <v>454</v>
      </c>
      <c r="B151" t="s">
        <v>1920</v>
      </c>
      <c r="C151" t="s">
        <v>586</v>
      </c>
      <c r="D151">
        <v>130</v>
      </c>
      <c r="F151">
        <f>OUTPUTAvatarMatResID[[#This Row],[AvatarPartID]]*10000+OUTPUTAvatarMatResID[[#This Row],[SexID]]*1000+AvatarMatResID[[#This Row],[CountIndex]]</f>
        <v>11130</v>
      </c>
      <c r="G151">
        <f>VLOOKUP(AvatarMatResID[[#This Row],[AvatarPart]],AvatarPartID[],2,0)</f>
        <v>1</v>
      </c>
      <c r="H151">
        <f>VLOOKUP(AvatarMatResID[[#This Row],[Sex]],SexID[],2,0)</f>
        <v>1</v>
      </c>
      <c r="I151" t="str">
        <f>AvatarMatResID[[#This Row],[Material]]</f>
        <v>Female Black Knight 05 Red</v>
      </c>
    </row>
    <row r="152" spans="1:9" x14ac:dyDescent="0.15">
      <c r="A152" t="s">
        <v>454</v>
      </c>
      <c r="B152" t="s">
        <v>1920</v>
      </c>
      <c r="C152" t="s">
        <v>587</v>
      </c>
      <c r="D152">
        <v>131</v>
      </c>
      <c r="F152">
        <f>OUTPUTAvatarMatResID[[#This Row],[AvatarPartID]]*10000+OUTPUTAvatarMatResID[[#This Row],[SexID]]*1000+AvatarMatResID[[#This Row],[CountIndex]]</f>
        <v>11131</v>
      </c>
      <c r="G152">
        <f>VLOOKUP(AvatarMatResID[[#This Row],[AvatarPart]],AvatarPartID[],2,0)</f>
        <v>1</v>
      </c>
      <c r="H152">
        <f>VLOOKUP(AvatarMatResID[[#This Row],[Sex]],SexID[],2,0)</f>
        <v>1</v>
      </c>
      <c r="I152" t="str">
        <f>AvatarMatResID[[#This Row],[Material]]</f>
        <v>Female Black Knight 05 White</v>
      </c>
    </row>
    <row r="153" spans="1:9" x14ac:dyDescent="0.15">
      <c r="A153" t="s">
        <v>454</v>
      </c>
      <c r="B153" t="s">
        <v>1920</v>
      </c>
      <c r="C153" t="s">
        <v>588</v>
      </c>
      <c r="D153">
        <v>132</v>
      </c>
      <c r="F153">
        <f>OUTPUTAvatarMatResID[[#This Row],[AvatarPartID]]*10000+OUTPUTAvatarMatResID[[#This Row],[SexID]]*1000+AvatarMatResID[[#This Row],[CountIndex]]</f>
        <v>11132</v>
      </c>
      <c r="G153">
        <f>VLOOKUP(AvatarMatResID[[#This Row],[AvatarPart]],AvatarPartID[],2,0)</f>
        <v>1</v>
      </c>
      <c r="H153">
        <f>VLOOKUP(AvatarMatResID[[#This Row],[Sex]],SexID[],2,0)</f>
        <v>1</v>
      </c>
      <c r="I153" t="str">
        <f>AvatarMatResID[[#This Row],[Material]]</f>
        <v>Female Black Knight 05 Yellow</v>
      </c>
    </row>
    <row r="154" spans="1:9" x14ac:dyDescent="0.15">
      <c r="A154" t="s">
        <v>454</v>
      </c>
      <c r="B154" t="s">
        <v>1920</v>
      </c>
      <c r="C154" t="s">
        <v>589</v>
      </c>
      <c r="D154">
        <v>133</v>
      </c>
      <c r="F154">
        <f>OUTPUTAvatarMatResID[[#This Row],[AvatarPartID]]*10000+OUTPUTAvatarMatResID[[#This Row],[SexID]]*1000+AvatarMatResID[[#This Row],[CountIndex]]</f>
        <v>11133</v>
      </c>
      <c r="G154">
        <f>VLOOKUP(AvatarMatResID[[#This Row],[AvatarPart]],AvatarPartID[],2,0)</f>
        <v>1</v>
      </c>
      <c r="H154">
        <f>VLOOKUP(AvatarMatResID[[#This Row],[Sex]],SexID[],2,0)</f>
        <v>1</v>
      </c>
      <c r="I154" t="str">
        <f>AvatarMatResID[[#This Row],[Material]]</f>
        <v>Female Black Knight 06 Black</v>
      </c>
    </row>
    <row r="155" spans="1:9" x14ac:dyDescent="0.15">
      <c r="A155" t="s">
        <v>454</v>
      </c>
      <c r="B155" t="s">
        <v>1920</v>
      </c>
      <c r="C155" t="s">
        <v>590</v>
      </c>
      <c r="D155">
        <v>134</v>
      </c>
      <c r="F155">
        <f>OUTPUTAvatarMatResID[[#This Row],[AvatarPartID]]*10000+OUTPUTAvatarMatResID[[#This Row],[SexID]]*1000+AvatarMatResID[[#This Row],[CountIndex]]</f>
        <v>11134</v>
      </c>
      <c r="G155">
        <f>VLOOKUP(AvatarMatResID[[#This Row],[AvatarPart]],AvatarPartID[],2,0)</f>
        <v>1</v>
      </c>
      <c r="H155">
        <f>VLOOKUP(AvatarMatResID[[#This Row],[Sex]],SexID[],2,0)</f>
        <v>1</v>
      </c>
      <c r="I155" t="str">
        <f>AvatarMatResID[[#This Row],[Material]]</f>
        <v>Female Black Knight 06 Blue</v>
      </c>
    </row>
    <row r="156" spans="1:9" x14ac:dyDescent="0.15">
      <c r="A156" t="s">
        <v>454</v>
      </c>
      <c r="B156" t="s">
        <v>1920</v>
      </c>
      <c r="C156" t="s">
        <v>591</v>
      </c>
      <c r="D156">
        <v>135</v>
      </c>
      <c r="F156">
        <f>OUTPUTAvatarMatResID[[#This Row],[AvatarPartID]]*10000+OUTPUTAvatarMatResID[[#This Row],[SexID]]*1000+AvatarMatResID[[#This Row],[CountIndex]]</f>
        <v>11135</v>
      </c>
      <c r="G156">
        <f>VLOOKUP(AvatarMatResID[[#This Row],[AvatarPart]],AvatarPartID[],2,0)</f>
        <v>1</v>
      </c>
      <c r="H156">
        <f>VLOOKUP(AvatarMatResID[[#This Row],[Sex]],SexID[],2,0)</f>
        <v>1</v>
      </c>
      <c r="I156" t="str">
        <f>AvatarMatResID[[#This Row],[Material]]</f>
        <v>Female Black Knight 06 Green</v>
      </c>
    </row>
    <row r="157" spans="1:9" x14ac:dyDescent="0.15">
      <c r="A157" t="s">
        <v>454</v>
      </c>
      <c r="B157" t="s">
        <v>1920</v>
      </c>
      <c r="C157" t="s">
        <v>592</v>
      </c>
      <c r="D157">
        <v>136</v>
      </c>
      <c r="F157">
        <f>OUTPUTAvatarMatResID[[#This Row],[AvatarPartID]]*10000+OUTPUTAvatarMatResID[[#This Row],[SexID]]*1000+AvatarMatResID[[#This Row],[CountIndex]]</f>
        <v>11136</v>
      </c>
      <c r="G157">
        <f>VLOOKUP(AvatarMatResID[[#This Row],[AvatarPart]],AvatarPartID[],2,0)</f>
        <v>1</v>
      </c>
      <c r="H157">
        <f>VLOOKUP(AvatarMatResID[[#This Row],[Sex]],SexID[],2,0)</f>
        <v>1</v>
      </c>
      <c r="I157" t="str">
        <f>AvatarMatResID[[#This Row],[Material]]</f>
        <v>Female Black Knight 06 Magenta</v>
      </c>
    </row>
    <row r="158" spans="1:9" x14ac:dyDescent="0.15">
      <c r="A158" t="s">
        <v>454</v>
      </c>
      <c r="B158" t="s">
        <v>1920</v>
      </c>
      <c r="C158" t="s">
        <v>593</v>
      </c>
      <c r="D158">
        <v>137</v>
      </c>
      <c r="F158">
        <f>OUTPUTAvatarMatResID[[#This Row],[AvatarPartID]]*10000+OUTPUTAvatarMatResID[[#This Row],[SexID]]*1000+AvatarMatResID[[#This Row],[CountIndex]]</f>
        <v>11137</v>
      </c>
      <c r="G158">
        <f>VLOOKUP(AvatarMatResID[[#This Row],[AvatarPart]],AvatarPartID[],2,0)</f>
        <v>1</v>
      </c>
      <c r="H158">
        <f>VLOOKUP(AvatarMatResID[[#This Row],[Sex]],SexID[],2,0)</f>
        <v>1</v>
      </c>
      <c r="I158" t="str">
        <f>AvatarMatResID[[#This Row],[Material]]</f>
        <v>Female Black Knight 06 Purple</v>
      </c>
    </row>
    <row r="159" spans="1:9" x14ac:dyDescent="0.15">
      <c r="A159" t="s">
        <v>454</v>
      </c>
      <c r="B159" t="s">
        <v>1920</v>
      </c>
      <c r="C159" t="s">
        <v>594</v>
      </c>
      <c r="D159">
        <v>138</v>
      </c>
      <c r="F159">
        <f>OUTPUTAvatarMatResID[[#This Row],[AvatarPartID]]*10000+OUTPUTAvatarMatResID[[#This Row],[SexID]]*1000+AvatarMatResID[[#This Row],[CountIndex]]</f>
        <v>11138</v>
      </c>
      <c r="G159">
        <f>VLOOKUP(AvatarMatResID[[#This Row],[AvatarPart]],AvatarPartID[],2,0)</f>
        <v>1</v>
      </c>
      <c r="H159">
        <f>VLOOKUP(AvatarMatResID[[#This Row],[Sex]],SexID[],2,0)</f>
        <v>1</v>
      </c>
      <c r="I159" t="str">
        <f>AvatarMatResID[[#This Row],[Material]]</f>
        <v>Female Black Knight 06 Red</v>
      </c>
    </row>
    <row r="160" spans="1:9" x14ac:dyDescent="0.15">
      <c r="A160" t="s">
        <v>454</v>
      </c>
      <c r="B160" t="s">
        <v>1920</v>
      </c>
      <c r="C160" t="s">
        <v>595</v>
      </c>
      <c r="D160">
        <v>139</v>
      </c>
      <c r="F160">
        <f>OUTPUTAvatarMatResID[[#This Row],[AvatarPartID]]*10000+OUTPUTAvatarMatResID[[#This Row],[SexID]]*1000+AvatarMatResID[[#This Row],[CountIndex]]</f>
        <v>11139</v>
      </c>
      <c r="G160">
        <f>VLOOKUP(AvatarMatResID[[#This Row],[AvatarPart]],AvatarPartID[],2,0)</f>
        <v>1</v>
      </c>
      <c r="H160">
        <f>VLOOKUP(AvatarMatResID[[#This Row],[Sex]],SexID[],2,0)</f>
        <v>1</v>
      </c>
      <c r="I160" t="str">
        <f>AvatarMatResID[[#This Row],[Material]]</f>
        <v>Female Black Knight 06 White</v>
      </c>
    </row>
    <row r="161" spans="1:9" x14ac:dyDescent="0.15">
      <c r="A161" t="s">
        <v>454</v>
      </c>
      <c r="B161" t="s">
        <v>1920</v>
      </c>
      <c r="C161" t="s">
        <v>596</v>
      </c>
      <c r="D161">
        <v>140</v>
      </c>
      <c r="F161">
        <f>OUTPUTAvatarMatResID[[#This Row],[AvatarPartID]]*10000+OUTPUTAvatarMatResID[[#This Row],[SexID]]*1000+AvatarMatResID[[#This Row],[CountIndex]]</f>
        <v>11140</v>
      </c>
      <c r="G161">
        <f>VLOOKUP(AvatarMatResID[[#This Row],[AvatarPart]],AvatarPartID[],2,0)</f>
        <v>1</v>
      </c>
      <c r="H161">
        <f>VLOOKUP(AvatarMatResID[[#This Row],[Sex]],SexID[],2,0)</f>
        <v>1</v>
      </c>
      <c r="I161" t="str">
        <f>AvatarMatResID[[#This Row],[Material]]</f>
        <v>Female Black Knight 06 Yellow</v>
      </c>
    </row>
    <row r="162" spans="1:9" x14ac:dyDescent="0.15">
      <c r="A162" t="s">
        <v>454</v>
      </c>
      <c r="B162" t="s">
        <v>1920</v>
      </c>
      <c r="C162" t="s">
        <v>1726</v>
      </c>
      <c r="D162">
        <v>141</v>
      </c>
      <c r="F162">
        <f>OUTPUTAvatarMatResID[[#This Row],[AvatarPartID]]*10000+OUTPUTAvatarMatResID[[#This Row],[SexID]]*1000+AvatarMatResID[[#This Row],[CountIndex]]</f>
        <v>11141</v>
      </c>
      <c r="G162">
        <f>VLOOKUP(AvatarMatResID[[#This Row],[AvatarPart]],AvatarPartID[],2,0)</f>
        <v>1</v>
      </c>
      <c r="H162">
        <f>VLOOKUP(AvatarMatResID[[#This Row],[Sex]],SexID[],2,0)</f>
        <v>1</v>
      </c>
      <c r="I162" t="str">
        <f>AvatarMatResID[[#This Row],[Material]]</f>
        <v>Female Black L Dress 01 Blue</v>
      </c>
    </row>
    <row r="163" spans="1:9" x14ac:dyDescent="0.15">
      <c r="A163" t="s">
        <v>454</v>
      </c>
      <c r="B163" t="s">
        <v>1920</v>
      </c>
      <c r="C163" t="s">
        <v>1727</v>
      </c>
      <c r="D163">
        <v>142</v>
      </c>
      <c r="F163">
        <f>OUTPUTAvatarMatResID[[#This Row],[AvatarPartID]]*10000+OUTPUTAvatarMatResID[[#This Row],[SexID]]*1000+AvatarMatResID[[#This Row],[CountIndex]]</f>
        <v>11142</v>
      </c>
      <c r="G163">
        <f>VLOOKUP(AvatarMatResID[[#This Row],[AvatarPart]],AvatarPartID[],2,0)</f>
        <v>1</v>
      </c>
      <c r="H163">
        <f>VLOOKUP(AvatarMatResID[[#This Row],[Sex]],SexID[],2,0)</f>
        <v>1</v>
      </c>
      <c r="I163" t="str">
        <f>AvatarMatResID[[#This Row],[Material]]</f>
        <v>Female Black L Dress 01 Brown</v>
      </c>
    </row>
    <row r="164" spans="1:9" x14ac:dyDescent="0.15">
      <c r="A164" t="s">
        <v>454</v>
      </c>
      <c r="B164" t="s">
        <v>1920</v>
      </c>
      <c r="C164" t="s">
        <v>1728</v>
      </c>
      <c r="D164">
        <v>143</v>
      </c>
      <c r="F164">
        <f>OUTPUTAvatarMatResID[[#This Row],[AvatarPartID]]*10000+OUTPUTAvatarMatResID[[#This Row],[SexID]]*1000+AvatarMatResID[[#This Row],[CountIndex]]</f>
        <v>11143</v>
      </c>
      <c r="G164">
        <f>VLOOKUP(AvatarMatResID[[#This Row],[AvatarPart]],AvatarPartID[],2,0)</f>
        <v>1</v>
      </c>
      <c r="H164">
        <f>VLOOKUP(AvatarMatResID[[#This Row],[Sex]],SexID[],2,0)</f>
        <v>1</v>
      </c>
      <c r="I164" t="str">
        <f>AvatarMatResID[[#This Row],[Material]]</f>
        <v>Female Black L Dress 01 Green</v>
      </c>
    </row>
    <row r="165" spans="1:9" x14ac:dyDescent="0.15">
      <c r="A165" t="s">
        <v>454</v>
      </c>
      <c r="B165" t="s">
        <v>1920</v>
      </c>
      <c r="C165" t="s">
        <v>1729</v>
      </c>
      <c r="D165">
        <v>144</v>
      </c>
      <c r="F165">
        <f>OUTPUTAvatarMatResID[[#This Row],[AvatarPartID]]*10000+OUTPUTAvatarMatResID[[#This Row],[SexID]]*1000+AvatarMatResID[[#This Row],[CountIndex]]</f>
        <v>11144</v>
      </c>
      <c r="G165">
        <f>VLOOKUP(AvatarMatResID[[#This Row],[AvatarPart]],AvatarPartID[],2,0)</f>
        <v>1</v>
      </c>
      <c r="H165">
        <f>VLOOKUP(AvatarMatResID[[#This Row],[Sex]],SexID[],2,0)</f>
        <v>1</v>
      </c>
      <c r="I165" t="str">
        <f>AvatarMatResID[[#This Row],[Material]]</f>
        <v>Female Black L Dress 01 Purple</v>
      </c>
    </row>
    <row r="166" spans="1:9" x14ac:dyDescent="0.15">
      <c r="A166" t="s">
        <v>454</v>
      </c>
      <c r="B166" t="s">
        <v>1920</v>
      </c>
      <c r="C166" t="s">
        <v>1730</v>
      </c>
      <c r="D166">
        <v>145</v>
      </c>
      <c r="F166">
        <f>OUTPUTAvatarMatResID[[#This Row],[AvatarPartID]]*10000+OUTPUTAvatarMatResID[[#This Row],[SexID]]*1000+AvatarMatResID[[#This Row],[CountIndex]]</f>
        <v>11145</v>
      </c>
      <c r="G166">
        <f>VLOOKUP(AvatarMatResID[[#This Row],[AvatarPart]],AvatarPartID[],2,0)</f>
        <v>1</v>
      </c>
      <c r="H166">
        <f>VLOOKUP(AvatarMatResID[[#This Row],[Sex]],SexID[],2,0)</f>
        <v>1</v>
      </c>
      <c r="I166" t="str">
        <f>AvatarMatResID[[#This Row],[Material]]</f>
        <v>Female Black L Dress 01 Red</v>
      </c>
    </row>
    <row r="167" spans="1:9" x14ac:dyDescent="0.15">
      <c r="A167" t="s">
        <v>454</v>
      </c>
      <c r="B167" t="s">
        <v>1920</v>
      </c>
      <c r="C167" t="s">
        <v>1731</v>
      </c>
      <c r="D167">
        <v>146</v>
      </c>
      <c r="F167">
        <f>OUTPUTAvatarMatResID[[#This Row],[AvatarPartID]]*10000+OUTPUTAvatarMatResID[[#This Row],[SexID]]*1000+AvatarMatResID[[#This Row],[CountIndex]]</f>
        <v>11146</v>
      </c>
      <c r="G167">
        <f>VLOOKUP(AvatarMatResID[[#This Row],[AvatarPart]],AvatarPartID[],2,0)</f>
        <v>1</v>
      </c>
      <c r="H167">
        <f>VLOOKUP(AvatarMatResID[[#This Row],[Sex]],SexID[],2,0)</f>
        <v>1</v>
      </c>
      <c r="I167" t="str">
        <f>AvatarMatResID[[#This Row],[Material]]</f>
        <v>Female Black L Dress 02 Blue</v>
      </c>
    </row>
    <row r="168" spans="1:9" x14ac:dyDescent="0.15">
      <c r="A168" t="s">
        <v>454</v>
      </c>
      <c r="B168" t="s">
        <v>1920</v>
      </c>
      <c r="C168" t="s">
        <v>1732</v>
      </c>
      <c r="D168">
        <v>147</v>
      </c>
      <c r="F168">
        <f>OUTPUTAvatarMatResID[[#This Row],[AvatarPartID]]*10000+OUTPUTAvatarMatResID[[#This Row],[SexID]]*1000+AvatarMatResID[[#This Row],[CountIndex]]</f>
        <v>11147</v>
      </c>
      <c r="G168">
        <f>VLOOKUP(AvatarMatResID[[#This Row],[AvatarPart]],AvatarPartID[],2,0)</f>
        <v>1</v>
      </c>
      <c r="H168">
        <f>VLOOKUP(AvatarMatResID[[#This Row],[Sex]],SexID[],2,0)</f>
        <v>1</v>
      </c>
      <c r="I168" t="str">
        <f>AvatarMatResID[[#This Row],[Material]]</f>
        <v>Female Black L Dress 02 Brown</v>
      </c>
    </row>
    <row r="169" spans="1:9" x14ac:dyDescent="0.15">
      <c r="A169" t="s">
        <v>454</v>
      </c>
      <c r="B169" t="s">
        <v>1920</v>
      </c>
      <c r="C169" t="s">
        <v>1733</v>
      </c>
      <c r="D169">
        <v>148</v>
      </c>
      <c r="F169">
        <f>OUTPUTAvatarMatResID[[#This Row],[AvatarPartID]]*10000+OUTPUTAvatarMatResID[[#This Row],[SexID]]*1000+AvatarMatResID[[#This Row],[CountIndex]]</f>
        <v>11148</v>
      </c>
      <c r="G169">
        <f>VLOOKUP(AvatarMatResID[[#This Row],[AvatarPart]],AvatarPartID[],2,0)</f>
        <v>1</v>
      </c>
      <c r="H169">
        <f>VLOOKUP(AvatarMatResID[[#This Row],[Sex]],SexID[],2,0)</f>
        <v>1</v>
      </c>
      <c r="I169" t="str">
        <f>AvatarMatResID[[#This Row],[Material]]</f>
        <v>Female Black L Dress 02 Green</v>
      </c>
    </row>
    <row r="170" spans="1:9" x14ac:dyDescent="0.15">
      <c r="A170" t="s">
        <v>454</v>
      </c>
      <c r="B170" t="s">
        <v>1920</v>
      </c>
      <c r="C170" t="s">
        <v>1734</v>
      </c>
      <c r="D170">
        <v>149</v>
      </c>
      <c r="F170">
        <f>OUTPUTAvatarMatResID[[#This Row],[AvatarPartID]]*10000+OUTPUTAvatarMatResID[[#This Row],[SexID]]*1000+AvatarMatResID[[#This Row],[CountIndex]]</f>
        <v>11149</v>
      </c>
      <c r="G170">
        <f>VLOOKUP(AvatarMatResID[[#This Row],[AvatarPart]],AvatarPartID[],2,0)</f>
        <v>1</v>
      </c>
      <c r="H170">
        <f>VLOOKUP(AvatarMatResID[[#This Row],[Sex]],SexID[],2,0)</f>
        <v>1</v>
      </c>
      <c r="I170" t="str">
        <f>AvatarMatResID[[#This Row],[Material]]</f>
        <v>Female Black L Dress 02 Purple</v>
      </c>
    </row>
    <row r="171" spans="1:9" x14ac:dyDescent="0.15">
      <c r="A171" t="s">
        <v>454</v>
      </c>
      <c r="B171" t="s">
        <v>1920</v>
      </c>
      <c r="C171" t="s">
        <v>1735</v>
      </c>
      <c r="D171">
        <v>150</v>
      </c>
      <c r="F171">
        <f>OUTPUTAvatarMatResID[[#This Row],[AvatarPartID]]*10000+OUTPUTAvatarMatResID[[#This Row],[SexID]]*1000+AvatarMatResID[[#This Row],[CountIndex]]</f>
        <v>11150</v>
      </c>
      <c r="G171">
        <f>VLOOKUP(AvatarMatResID[[#This Row],[AvatarPart]],AvatarPartID[],2,0)</f>
        <v>1</v>
      </c>
      <c r="H171">
        <f>VLOOKUP(AvatarMatResID[[#This Row],[Sex]],SexID[],2,0)</f>
        <v>1</v>
      </c>
      <c r="I171" t="str">
        <f>AvatarMatResID[[#This Row],[Material]]</f>
        <v>Female Black L Dress 02 Red</v>
      </c>
    </row>
    <row r="172" spans="1:9" x14ac:dyDescent="0.15">
      <c r="A172" t="s">
        <v>454</v>
      </c>
      <c r="B172" t="s">
        <v>1920</v>
      </c>
      <c r="C172" t="s">
        <v>1736</v>
      </c>
      <c r="D172">
        <v>151</v>
      </c>
      <c r="F172">
        <f>OUTPUTAvatarMatResID[[#This Row],[AvatarPartID]]*10000+OUTPUTAvatarMatResID[[#This Row],[SexID]]*1000+AvatarMatResID[[#This Row],[CountIndex]]</f>
        <v>11151</v>
      </c>
      <c r="G172">
        <f>VLOOKUP(AvatarMatResID[[#This Row],[AvatarPart]],AvatarPartID[],2,0)</f>
        <v>1</v>
      </c>
      <c r="H172">
        <f>VLOOKUP(AvatarMatResID[[#This Row],[Sex]],SexID[],2,0)</f>
        <v>1</v>
      </c>
      <c r="I172" t="str">
        <f>AvatarMatResID[[#This Row],[Material]]</f>
        <v>Female Black L Dress 03 Blue</v>
      </c>
    </row>
    <row r="173" spans="1:9" x14ac:dyDescent="0.15">
      <c r="A173" t="s">
        <v>454</v>
      </c>
      <c r="B173" t="s">
        <v>1920</v>
      </c>
      <c r="C173" t="s">
        <v>1737</v>
      </c>
      <c r="D173">
        <v>152</v>
      </c>
      <c r="F173">
        <f>OUTPUTAvatarMatResID[[#This Row],[AvatarPartID]]*10000+OUTPUTAvatarMatResID[[#This Row],[SexID]]*1000+AvatarMatResID[[#This Row],[CountIndex]]</f>
        <v>11152</v>
      </c>
      <c r="G173">
        <f>VLOOKUP(AvatarMatResID[[#This Row],[AvatarPart]],AvatarPartID[],2,0)</f>
        <v>1</v>
      </c>
      <c r="H173">
        <f>VLOOKUP(AvatarMatResID[[#This Row],[Sex]],SexID[],2,0)</f>
        <v>1</v>
      </c>
      <c r="I173" t="str">
        <f>AvatarMatResID[[#This Row],[Material]]</f>
        <v>Female Black L Dress 03 Brown</v>
      </c>
    </row>
    <row r="174" spans="1:9" x14ac:dyDescent="0.15">
      <c r="A174" t="s">
        <v>454</v>
      </c>
      <c r="B174" t="s">
        <v>1920</v>
      </c>
      <c r="C174" t="s">
        <v>1738</v>
      </c>
      <c r="D174">
        <v>153</v>
      </c>
      <c r="F174">
        <f>OUTPUTAvatarMatResID[[#This Row],[AvatarPartID]]*10000+OUTPUTAvatarMatResID[[#This Row],[SexID]]*1000+AvatarMatResID[[#This Row],[CountIndex]]</f>
        <v>11153</v>
      </c>
      <c r="G174">
        <f>VLOOKUP(AvatarMatResID[[#This Row],[AvatarPart]],AvatarPartID[],2,0)</f>
        <v>1</v>
      </c>
      <c r="H174">
        <f>VLOOKUP(AvatarMatResID[[#This Row],[Sex]],SexID[],2,0)</f>
        <v>1</v>
      </c>
      <c r="I174" t="str">
        <f>AvatarMatResID[[#This Row],[Material]]</f>
        <v>Female Black L Dress 03 Green</v>
      </c>
    </row>
    <row r="175" spans="1:9" x14ac:dyDescent="0.15">
      <c r="A175" t="s">
        <v>454</v>
      </c>
      <c r="B175" t="s">
        <v>1920</v>
      </c>
      <c r="C175" t="s">
        <v>1739</v>
      </c>
      <c r="D175">
        <v>154</v>
      </c>
      <c r="F175">
        <f>OUTPUTAvatarMatResID[[#This Row],[AvatarPartID]]*10000+OUTPUTAvatarMatResID[[#This Row],[SexID]]*1000+AvatarMatResID[[#This Row],[CountIndex]]</f>
        <v>11154</v>
      </c>
      <c r="G175">
        <f>VLOOKUP(AvatarMatResID[[#This Row],[AvatarPart]],AvatarPartID[],2,0)</f>
        <v>1</v>
      </c>
      <c r="H175">
        <f>VLOOKUP(AvatarMatResID[[#This Row],[Sex]],SexID[],2,0)</f>
        <v>1</v>
      </c>
      <c r="I175" t="str">
        <f>AvatarMatResID[[#This Row],[Material]]</f>
        <v>Female Black L Dress 03 Purple</v>
      </c>
    </row>
    <row r="176" spans="1:9" x14ac:dyDescent="0.15">
      <c r="A176" t="s">
        <v>454</v>
      </c>
      <c r="B176" t="s">
        <v>1920</v>
      </c>
      <c r="C176" t="s">
        <v>1740</v>
      </c>
      <c r="D176">
        <v>155</v>
      </c>
      <c r="F176">
        <f>OUTPUTAvatarMatResID[[#This Row],[AvatarPartID]]*10000+OUTPUTAvatarMatResID[[#This Row],[SexID]]*1000+AvatarMatResID[[#This Row],[CountIndex]]</f>
        <v>11155</v>
      </c>
      <c r="G176">
        <f>VLOOKUP(AvatarMatResID[[#This Row],[AvatarPart]],AvatarPartID[],2,0)</f>
        <v>1</v>
      </c>
      <c r="H176">
        <f>VLOOKUP(AvatarMatResID[[#This Row],[Sex]],SexID[],2,0)</f>
        <v>1</v>
      </c>
      <c r="I176" t="str">
        <f>AvatarMatResID[[#This Row],[Material]]</f>
        <v>Female Black L Dress 03 Red</v>
      </c>
    </row>
    <row r="177" spans="1:9" x14ac:dyDescent="0.15">
      <c r="A177" t="s">
        <v>454</v>
      </c>
      <c r="B177" t="s">
        <v>1920</v>
      </c>
      <c r="C177" t="s">
        <v>1741</v>
      </c>
      <c r="D177">
        <v>156</v>
      </c>
      <c r="F177">
        <f>OUTPUTAvatarMatResID[[#This Row],[AvatarPartID]]*10000+OUTPUTAvatarMatResID[[#This Row],[SexID]]*1000+AvatarMatResID[[#This Row],[CountIndex]]</f>
        <v>11156</v>
      </c>
      <c r="G177">
        <f>VLOOKUP(AvatarMatResID[[#This Row],[AvatarPart]],AvatarPartID[],2,0)</f>
        <v>1</v>
      </c>
      <c r="H177">
        <f>VLOOKUP(AvatarMatResID[[#This Row],[Sex]],SexID[],2,0)</f>
        <v>1</v>
      </c>
      <c r="I177" t="str">
        <f>AvatarMatResID[[#This Row],[Material]]</f>
        <v>Female Black L Dress 04 Blue</v>
      </c>
    </row>
    <row r="178" spans="1:9" x14ac:dyDescent="0.15">
      <c r="A178" t="s">
        <v>454</v>
      </c>
      <c r="B178" t="s">
        <v>1920</v>
      </c>
      <c r="C178" t="s">
        <v>1742</v>
      </c>
      <c r="D178">
        <v>157</v>
      </c>
      <c r="F178">
        <f>OUTPUTAvatarMatResID[[#This Row],[AvatarPartID]]*10000+OUTPUTAvatarMatResID[[#This Row],[SexID]]*1000+AvatarMatResID[[#This Row],[CountIndex]]</f>
        <v>11157</v>
      </c>
      <c r="G178">
        <f>VLOOKUP(AvatarMatResID[[#This Row],[AvatarPart]],AvatarPartID[],2,0)</f>
        <v>1</v>
      </c>
      <c r="H178">
        <f>VLOOKUP(AvatarMatResID[[#This Row],[Sex]],SexID[],2,0)</f>
        <v>1</v>
      </c>
      <c r="I178" t="str">
        <f>AvatarMatResID[[#This Row],[Material]]</f>
        <v>Female Black L Dress 04 Brown</v>
      </c>
    </row>
    <row r="179" spans="1:9" x14ac:dyDescent="0.15">
      <c r="A179" t="s">
        <v>454</v>
      </c>
      <c r="B179" t="s">
        <v>1920</v>
      </c>
      <c r="C179" t="s">
        <v>1743</v>
      </c>
      <c r="D179">
        <v>158</v>
      </c>
      <c r="F179">
        <f>OUTPUTAvatarMatResID[[#This Row],[AvatarPartID]]*10000+OUTPUTAvatarMatResID[[#This Row],[SexID]]*1000+AvatarMatResID[[#This Row],[CountIndex]]</f>
        <v>11158</v>
      </c>
      <c r="G179">
        <f>VLOOKUP(AvatarMatResID[[#This Row],[AvatarPart]],AvatarPartID[],2,0)</f>
        <v>1</v>
      </c>
      <c r="H179">
        <f>VLOOKUP(AvatarMatResID[[#This Row],[Sex]],SexID[],2,0)</f>
        <v>1</v>
      </c>
      <c r="I179" t="str">
        <f>AvatarMatResID[[#This Row],[Material]]</f>
        <v>Female Black L Dress 04 Green</v>
      </c>
    </row>
    <row r="180" spans="1:9" x14ac:dyDescent="0.15">
      <c r="A180" t="s">
        <v>454</v>
      </c>
      <c r="B180" t="s">
        <v>1920</v>
      </c>
      <c r="C180" t="s">
        <v>1744</v>
      </c>
      <c r="D180">
        <v>159</v>
      </c>
      <c r="F180">
        <f>OUTPUTAvatarMatResID[[#This Row],[AvatarPartID]]*10000+OUTPUTAvatarMatResID[[#This Row],[SexID]]*1000+AvatarMatResID[[#This Row],[CountIndex]]</f>
        <v>11159</v>
      </c>
      <c r="G180">
        <f>VLOOKUP(AvatarMatResID[[#This Row],[AvatarPart]],AvatarPartID[],2,0)</f>
        <v>1</v>
      </c>
      <c r="H180">
        <f>VLOOKUP(AvatarMatResID[[#This Row],[Sex]],SexID[],2,0)</f>
        <v>1</v>
      </c>
      <c r="I180" t="str">
        <f>AvatarMatResID[[#This Row],[Material]]</f>
        <v>Female Black L Dress 04 Purple</v>
      </c>
    </row>
    <row r="181" spans="1:9" x14ac:dyDescent="0.15">
      <c r="A181" t="s">
        <v>454</v>
      </c>
      <c r="B181" t="s">
        <v>1920</v>
      </c>
      <c r="C181" t="s">
        <v>1745</v>
      </c>
      <c r="D181">
        <v>160</v>
      </c>
      <c r="F181">
        <f>OUTPUTAvatarMatResID[[#This Row],[AvatarPartID]]*10000+OUTPUTAvatarMatResID[[#This Row],[SexID]]*1000+AvatarMatResID[[#This Row],[CountIndex]]</f>
        <v>11160</v>
      </c>
      <c r="G181">
        <f>VLOOKUP(AvatarMatResID[[#This Row],[AvatarPart]],AvatarPartID[],2,0)</f>
        <v>1</v>
      </c>
      <c r="H181">
        <f>VLOOKUP(AvatarMatResID[[#This Row],[Sex]],SexID[],2,0)</f>
        <v>1</v>
      </c>
      <c r="I181" t="str">
        <f>AvatarMatResID[[#This Row],[Material]]</f>
        <v>Female Black L Dress 04 Red</v>
      </c>
    </row>
    <row r="182" spans="1:9" x14ac:dyDescent="0.15">
      <c r="A182" t="s">
        <v>454</v>
      </c>
      <c r="B182" t="s">
        <v>1920</v>
      </c>
      <c r="C182" t="s">
        <v>597</v>
      </c>
      <c r="D182">
        <v>161</v>
      </c>
      <c r="F182">
        <f>OUTPUTAvatarMatResID[[#This Row],[AvatarPartID]]*10000+OUTPUTAvatarMatResID[[#This Row],[SexID]]*1000+AvatarMatResID[[#This Row],[CountIndex]]</f>
        <v>11161</v>
      </c>
      <c r="G182">
        <f>VLOOKUP(AvatarMatResID[[#This Row],[AvatarPart]],AvatarPartID[],2,0)</f>
        <v>1</v>
      </c>
      <c r="H182">
        <f>VLOOKUP(AvatarMatResID[[#This Row],[Sex]],SexID[],2,0)</f>
        <v>1</v>
      </c>
      <c r="I182" t="str">
        <f>AvatarMatResID[[#This Row],[Material]]</f>
        <v>Female Black Naked</v>
      </c>
    </row>
    <row r="183" spans="1:9" x14ac:dyDescent="0.15">
      <c r="A183" t="s">
        <v>454</v>
      </c>
      <c r="B183" t="s">
        <v>1920</v>
      </c>
      <c r="C183" t="s">
        <v>598</v>
      </c>
      <c r="D183">
        <v>162</v>
      </c>
      <c r="F183">
        <f>OUTPUTAvatarMatResID[[#This Row],[AvatarPartID]]*10000+OUTPUTAvatarMatResID[[#This Row],[SexID]]*1000+AvatarMatResID[[#This Row],[CountIndex]]</f>
        <v>11162</v>
      </c>
      <c r="G183">
        <f>VLOOKUP(AvatarMatResID[[#This Row],[AvatarPart]],AvatarPartID[],2,0)</f>
        <v>1</v>
      </c>
      <c r="H183">
        <f>VLOOKUP(AvatarMatResID[[#This Row],[Sex]],SexID[],2,0)</f>
        <v>1</v>
      </c>
      <c r="I183" t="str">
        <f>AvatarMatResID[[#This Row],[Material]]</f>
        <v>Female Black Sorceress 01 Black</v>
      </c>
    </row>
    <row r="184" spans="1:9" x14ac:dyDescent="0.15">
      <c r="A184" t="s">
        <v>454</v>
      </c>
      <c r="B184" t="s">
        <v>1920</v>
      </c>
      <c r="C184" t="s">
        <v>599</v>
      </c>
      <c r="D184">
        <v>163</v>
      </c>
      <c r="F184">
        <f>OUTPUTAvatarMatResID[[#This Row],[AvatarPartID]]*10000+OUTPUTAvatarMatResID[[#This Row],[SexID]]*1000+AvatarMatResID[[#This Row],[CountIndex]]</f>
        <v>11163</v>
      </c>
      <c r="G184">
        <f>VLOOKUP(AvatarMatResID[[#This Row],[AvatarPart]],AvatarPartID[],2,0)</f>
        <v>1</v>
      </c>
      <c r="H184">
        <f>VLOOKUP(AvatarMatResID[[#This Row],[Sex]],SexID[],2,0)</f>
        <v>1</v>
      </c>
      <c r="I184" t="str">
        <f>AvatarMatResID[[#This Row],[Material]]</f>
        <v>Female Black Sorceress 01 Blue</v>
      </c>
    </row>
    <row r="185" spans="1:9" x14ac:dyDescent="0.15">
      <c r="A185" t="s">
        <v>454</v>
      </c>
      <c r="B185" t="s">
        <v>1920</v>
      </c>
      <c r="C185" t="s">
        <v>600</v>
      </c>
      <c r="D185">
        <v>164</v>
      </c>
      <c r="F185">
        <f>OUTPUTAvatarMatResID[[#This Row],[AvatarPartID]]*10000+OUTPUTAvatarMatResID[[#This Row],[SexID]]*1000+AvatarMatResID[[#This Row],[CountIndex]]</f>
        <v>11164</v>
      </c>
      <c r="G185">
        <f>VLOOKUP(AvatarMatResID[[#This Row],[AvatarPart]],AvatarPartID[],2,0)</f>
        <v>1</v>
      </c>
      <c r="H185">
        <f>VLOOKUP(AvatarMatResID[[#This Row],[Sex]],SexID[],2,0)</f>
        <v>1</v>
      </c>
      <c r="I185" t="str">
        <f>AvatarMatResID[[#This Row],[Material]]</f>
        <v>Female Black Sorceress 01 Green</v>
      </c>
    </row>
    <row r="186" spans="1:9" x14ac:dyDescent="0.15">
      <c r="A186" t="s">
        <v>454</v>
      </c>
      <c r="B186" t="s">
        <v>1920</v>
      </c>
      <c r="C186" t="s">
        <v>601</v>
      </c>
      <c r="D186">
        <v>165</v>
      </c>
      <c r="F186">
        <f>OUTPUTAvatarMatResID[[#This Row],[AvatarPartID]]*10000+OUTPUTAvatarMatResID[[#This Row],[SexID]]*1000+AvatarMatResID[[#This Row],[CountIndex]]</f>
        <v>11165</v>
      </c>
      <c r="G186">
        <f>VLOOKUP(AvatarMatResID[[#This Row],[AvatarPart]],AvatarPartID[],2,0)</f>
        <v>1</v>
      </c>
      <c r="H186">
        <f>VLOOKUP(AvatarMatResID[[#This Row],[Sex]],SexID[],2,0)</f>
        <v>1</v>
      </c>
      <c r="I186" t="str">
        <f>AvatarMatResID[[#This Row],[Material]]</f>
        <v>Female Black Sorceress 01 Pink</v>
      </c>
    </row>
    <row r="187" spans="1:9" x14ac:dyDescent="0.15">
      <c r="A187" t="s">
        <v>454</v>
      </c>
      <c r="B187" t="s">
        <v>1920</v>
      </c>
      <c r="C187" t="s">
        <v>602</v>
      </c>
      <c r="D187">
        <v>166</v>
      </c>
      <c r="F187">
        <f>OUTPUTAvatarMatResID[[#This Row],[AvatarPartID]]*10000+OUTPUTAvatarMatResID[[#This Row],[SexID]]*1000+AvatarMatResID[[#This Row],[CountIndex]]</f>
        <v>11166</v>
      </c>
      <c r="G187">
        <f>VLOOKUP(AvatarMatResID[[#This Row],[AvatarPart]],AvatarPartID[],2,0)</f>
        <v>1</v>
      </c>
      <c r="H187">
        <f>VLOOKUP(AvatarMatResID[[#This Row],[Sex]],SexID[],2,0)</f>
        <v>1</v>
      </c>
      <c r="I187" t="str">
        <f>AvatarMatResID[[#This Row],[Material]]</f>
        <v>Female Black Sorceress 01 Purple</v>
      </c>
    </row>
    <row r="188" spans="1:9" x14ac:dyDescent="0.15">
      <c r="A188" t="s">
        <v>454</v>
      </c>
      <c r="B188" t="s">
        <v>1920</v>
      </c>
      <c r="C188" t="s">
        <v>603</v>
      </c>
      <c r="D188">
        <v>167</v>
      </c>
      <c r="F188">
        <f>OUTPUTAvatarMatResID[[#This Row],[AvatarPartID]]*10000+OUTPUTAvatarMatResID[[#This Row],[SexID]]*1000+AvatarMatResID[[#This Row],[CountIndex]]</f>
        <v>11167</v>
      </c>
      <c r="G188">
        <f>VLOOKUP(AvatarMatResID[[#This Row],[AvatarPart]],AvatarPartID[],2,0)</f>
        <v>1</v>
      </c>
      <c r="H188">
        <f>VLOOKUP(AvatarMatResID[[#This Row],[Sex]],SexID[],2,0)</f>
        <v>1</v>
      </c>
      <c r="I188" t="str">
        <f>AvatarMatResID[[#This Row],[Material]]</f>
        <v>Female Black Sorceress 02 Blue</v>
      </c>
    </row>
    <row r="189" spans="1:9" x14ac:dyDescent="0.15">
      <c r="A189" t="s">
        <v>454</v>
      </c>
      <c r="B189" t="s">
        <v>1920</v>
      </c>
      <c r="C189" t="s">
        <v>604</v>
      </c>
      <c r="D189">
        <v>168</v>
      </c>
      <c r="F189">
        <f>OUTPUTAvatarMatResID[[#This Row],[AvatarPartID]]*10000+OUTPUTAvatarMatResID[[#This Row],[SexID]]*1000+AvatarMatResID[[#This Row],[CountIndex]]</f>
        <v>11168</v>
      </c>
      <c r="G189">
        <f>VLOOKUP(AvatarMatResID[[#This Row],[AvatarPart]],AvatarPartID[],2,0)</f>
        <v>1</v>
      </c>
      <c r="H189">
        <f>VLOOKUP(AvatarMatResID[[#This Row],[Sex]],SexID[],2,0)</f>
        <v>1</v>
      </c>
      <c r="I189" t="str">
        <f>AvatarMatResID[[#This Row],[Material]]</f>
        <v>Female Black Sorceress 02 Green</v>
      </c>
    </row>
    <row r="190" spans="1:9" x14ac:dyDescent="0.15">
      <c r="A190" t="s">
        <v>454</v>
      </c>
      <c r="B190" t="s">
        <v>1920</v>
      </c>
      <c r="C190" t="s">
        <v>605</v>
      </c>
      <c r="D190">
        <v>169</v>
      </c>
      <c r="F190">
        <f>OUTPUTAvatarMatResID[[#This Row],[AvatarPartID]]*10000+OUTPUTAvatarMatResID[[#This Row],[SexID]]*1000+AvatarMatResID[[#This Row],[CountIndex]]</f>
        <v>11169</v>
      </c>
      <c r="G190">
        <f>VLOOKUP(AvatarMatResID[[#This Row],[AvatarPart]],AvatarPartID[],2,0)</f>
        <v>1</v>
      </c>
      <c r="H190">
        <f>VLOOKUP(AvatarMatResID[[#This Row],[Sex]],SexID[],2,0)</f>
        <v>1</v>
      </c>
      <c r="I190" t="str">
        <f>AvatarMatResID[[#This Row],[Material]]</f>
        <v>Female Black Sorceress 02 Purple</v>
      </c>
    </row>
    <row r="191" spans="1:9" x14ac:dyDescent="0.15">
      <c r="A191" t="s">
        <v>454</v>
      </c>
      <c r="B191" t="s">
        <v>1920</v>
      </c>
      <c r="C191" t="s">
        <v>606</v>
      </c>
      <c r="D191">
        <v>170</v>
      </c>
      <c r="F191">
        <f>OUTPUTAvatarMatResID[[#This Row],[AvatarPartID]]*10000+OUTPUTAvatarMatResID[[#This Row],[SexID]]*1000+AvatarMatResID[[#This Row],[CountIndex]]</f>
        <v>11170</v>
      </c>
      <c r="G191">
        <f>VLOOKUP(AvatarMatResID[[#This Row],[AvatarPart]],AvatarPartID[],2,0)</f>
        <v>1</v>
      </c>
      <c r="H191">
        <f>VLOOKUP(AvatarMatResID[[#This Row],[Sex]],SexID[],2,0)</f>
        <v>1</v>
      </c>
      <c r="I191" t="str">
        <f>AvatarMatResID[[#This Row],[Material]]</f>
        <v>Female Black Sorceress 02 Red</v>
      </c>
    </row>
    <row r="192" spans="1:9" x14ac:dyDescent="0.15">
      <c r="A192" t="s">
        <v>454</v>
      </c>
      <c r="B192" t="s">
        <v>1920</v>
      </c>
      <c r="C192" t="s">
        <v>607</v>
      </c>
      <c r="D192">
        <v>171</v>
      </c>
      <c r="F192">
        <f>OUTPUTAvatarMatResID[[#This Row],[AvatarPartID]]*10000+OUTPUTAvatarMatResID[[#This Row],[SexID]]*1000+AvatarMatResID[[#This Row],[CountIndex]]</f>
        <v>11171</v>
      </c>
      <c r="G192">
        <f>VLOOKUP(AvatarMatResID[[#This Row],[AvatarPart]],AvatarPartID[],2,0)</f>
        <v>1</v>
      </c>
      <c r="H192">
        <f>VLOOKUP(AvatarMatResID[[#This Row],[Sex]],SexID[],2,0)</f>
        <v>1</v>
      </c>
      <c r="I192" t="str">
        <f>AvatarMatResID[[#This Row],[Material]]</f>
        <v>Female Black Sorceress 03 Black</v>
      </c>
    </row>
    <row r="193" spans="1:9" x14ac:dyDescent="0.15">
      <c r="A193" t="s">
        <v>454</v>
      </c>
      <c r="B193" t="s">
        <v>1920</v>
      </c>
      <c r="C193" t="s">
        <v>608</v>
      </c>
      <c r="D193">
        <v>172</v>
      </c>
      <c r="F193">
        <f>OUTPUTAvatarMatResID[[#This Row],[AvatarPartID]]*10000+OUTPUTAvatarMatResID[[#This Row],[SexID]]*1000+AvatarMatResID[[#This Row],[CountIndex]]</f>
        <v>11172</v>
      </c>
      <c r="G193">
        <f>VLOOKUP(AvatarMatResID[[#This Row],[AvatarPart]],AvatarPartID[],2,0)</f>
        <v>1</v>
      </c>
      <c r="H193">
        <f>VLOOKUP(AvatarMatResID[[#This Row],[Sex]],SexID[],2,0)</f>
        <v>1</v>
      </c>
      <c r="I193" t="str">
        <f>AvatarMatResID[[#This Row],[Material]]</f>
        <v>Female Black Sorceress 03 Blue</v>
      </c>
    </row>
    <row r="194" spans="1:9" x14ac:dyDescent="0.15">
      <c r="A194" t="s">
        <v>454</v>
      </c>
      <c r="B194" t="s">
        <v>1920</v>
      </c>
      <c r="C194" t="s">
        <v>609</v>
      </c>
      <c r="D194">
        <v>173</v>
      </c>
      <c r="F194">
        <f>OUTPUTAvatarMatResID[[#This Row],[AvatarPartID]]*10000+OUTPUTAvatarMatResID[[#This Row],[SexID]]*1000+AvatarMatResID[[#This Row],[CountIndex]]</f>
        <v>11173</v>
      </c>
      <c r="G194">
        <f>VLOOKUP(AvatarMatResID[[#This Row],[AvatarPart]],AvatarPartID[],2,0)</f>
        <v>1</v>
      </c>
      <c r="H194">
        <f>VLOOKUP(AvatarMatResID[[#This Row],[Sex]],SexID[],2,0)</f>
        <v>1</v>
      </c>
      <c r="I194" t="str">
        <f>AvatarMatResID[[#This Row],[Material]]</f>
        <v>Female Black Sorceress 03 Brown</v>
      </c>
    </row>
    <row r="195" spans="1:9" x14ac:dyDescent="0.15">
      <c r="A195" t="s">
        <v>454</v>
      </c>
      <c r="B195" t="s">
        <v>1920</v>
      </c>
      <c r="C195" t="s">
        <v>610</v>
      </c>
      <c r="D195">
        <v>174</v>
      </c>
      <c r="F195">
        <f>OUTPUTAvatarMatResID[[#This Row],[AvatarPartID]]*10000+OUTPUTAvatarMatResID[[#This Row],[SexID]]*1000+AvatarMatResID[[#This Row],[CountIndex]]</f>
        <v>11174</v>
      </c>
      <c r="G195">
        <f>VLOOKUP(AvatarMatResID[[#This Row],[AvatarPart]],AvatarPartID[],2,0)</f>
        <v>1</v>
      </c>
      <c r="H195">
        <f>VLOOKUP(AvatarMatResID[[#This Row],[Sex]],SexID[],2,0)</f>
        <v>1</v>
      </c>
      <c r="I195" t="str">
        <f>AvatarMatResID[[#This Row],[Material]]</f>
        <v>Female Black Sorceress 03 Green</v>
      </c>
    </row>
    <row r="196" spans="1:9" x14ac:dyDescent="0.15">
      <c r="A196" t="s">
        <v>454</v>
      </c>
      <c r="B196" t="s">
        <v>1920</v>
      </c>
      <c r="C196" t="s">
        <v>611</v>
      </c>
      <c r="D196">
        <v>175</v>
      </c>
      <c r="F196">
        <f>OUTPUTAvatarMatResID[[#This Row],[AvatarPartID]]*10000+OUTPUTAvatarMatResID[[#This Row],[SexID]]*1000+AvatarMatResID[[#This Row],[CountIndex]]</f>
        <v>11175</v>
      </c>
      <c r="G196">
        <f>VLOOKUP(AvatarMatResID[[#This Row],[AvatarPart]],AvatarPartID[],2,0)</f>
        <v>1</v>
      </c>
      <c r="H196">
        <f>VLOOKUP(AvatarMatResID[[#This Row],[Sex]],SexID[],2,0)</f>
        <v>1</v>
      </c>
      <c r="I196" t="str">
        <f>AvatarMatResID[[#This Row],[Material]]</f>
        <v>Female Black Sorceress 03 Purple</v>
      </c>
    </row>
    <row r="197" spans="1:9" x14ac:dyDescent="0.15">
      <c r="A197" t="s">
        <v>454</v>
      </c>
      <c r="B197" t="s">
        <v>1920</v>
      </c>
      <c r="C197" t="s">
        <v>612</v>
      </c>
      <c r="D197">
        <v>176</v>
      </c>
      <c r="F197">
        <f>OUTPUTAvatarMatResID[[#This Row],[AvatarPartID]]*10000+OUTPUTAvatarMatResID[[#This Row],[SexID]]*1000+AvatarMatResID[[#This Row],[CountIndex]]</f>
        <v>11176</v>
      </c>
      <c r="G197">
        <f>VLOOKUP(AvatarMatResID[[#This Row],[AvatarPart]],AvatarPartID[],2,0)</f>
        <v>1</v>
      </c>
      <c r="H197">
        <f>VLOOKUP(AvatarMatResID[[#This Row],[Sex]],SexID[],2,0)</f>
        <v>1</v>
      </c>
      <c r="I197" t="str">
        <f>AvatarMatResID[[#This Row],[Material]]</f>
        <v>Female Black Sorceress 03 Red</v>
      </c>
    </row>
    <row r="198" spans="1:9" x14ac:dyDescent="0.15">
      <c r="A198" t="s">
        <v>454</v>
      </c>
      <c r="B198" t="s">
        <v>1920</v>
      </c>
      <c r="C198" t="s">
        <v>613</v>
      </c>
      <c r="D198">
        <v>177</v>
      </c>
      <c r="F198">
        <f>OUTPUTAvatarMatResID[[#This Row],[AvatarPartID]]*10000+OUTPUTAvatarMatResID[[#This Row],[SexID]]*1000+AvatarMatResID[[#This Row],[CountIndex]]</f>
        <v>11177</v>
      </c>
      <c r="G198">
        <f>VLOOKUP(AvatarMatResID[[#This Row],[AvatarPart]],AvatarPartID[],2,0)</f>
        <v>1</v>
      </c>
      <c r="H198">
        <f>VLOOKUP(AvatarMatResID[[#This Row],[Sex]],SexID[],2,0)</f>
        <v>1</v>
      </c>
      <c r="I198" t="str">
        <f>AvatarMatResID[[#This Row],[Material]]</f>
        <v>Female Black Sorceress 03 White</v>
      </c>
    </row>
    <row r="199" spans="1:9" x14ac:dyDescent="0.15">
      <c r="A199" t="s">
        <v>454</v>
      </c>
      <c r="B199" t="s">
        <v>1920</v>
      </c>
      <c r="C199" t="s">
        <v>614</v>
      </c>
      <c r="D199">
        <v>178</v>
      </c>
      <c r="F199">
        <f>OUTPUTAvatarMatResID[[#This Row],[AvatarPartID]]*10000+OUTPUTAvatarMatResID[[#This Row],[SexID]]*1000+AvatarMatResID[[#This Row],[CountIndex]]</f>
        <v>11178</v>
      </c>
      <c r="G199">
        <f>VLOOKUP(AvatarMatResID[[#This Row],[AvatarPart]],AvatarPartID[],2,0)</f>
        <v>1</v>
      </c>
      <c r="H199">
        <f>VLOOKUP(AvatarMatResID[[#This Row],[Sex]],SexID[],2,0)</f>
        <v>1</v>
      </c>
      <c r="I199" t="str">
        <f>AvatarMatResID[[#This Row],[Material]]</f>
        <v>Female Black Sorceress 04 Black</v>
      </c>
    </row>
    <row r="200" spans="1:9" x14ac:dyDescent="0.15">
      <c r="A200" t="s">
        <v>454</v>
      </c>
      <c r="B200" t="s">
        <v>1920</v>
      </c>
      <c r="C200" t="s">
        <v>615</v>
      </c>
      <c r="D200">
        <v>179</v>
      </c>
      <c r="F200">
        <f>OUTPUTAvatarMatResID[[#This Row],[AvatarPartID]]*10000+OUTPUTAvatarMatResID[[#This Row],[SexID]]*1000+AvatarMatResID[[#This Row],[CountIndex]]</f>
        <v>11179</v>
      </c>
      <c r="G200">
        <f>VLOOKUP(AvatarMatResID[[#This Row],[AvatarPart]],AvatarPartID[],2,0)</f>
        <v>1</v>
      </c>
      <c r="H200">
        <f>VLOOKUP(AvatarMatResID[[#This Row],[Sex]],SexID[],2,0)</f>
        <v>1</v>
      </c>
      <c r="I200" t="str">
        <f>AvatarMatResID[[#This Row],[Material]]</f>
        <v>Female Black Sorceress 04 Blue</v>
      </c>
    </row>
    <row r="201" spans="1:9" x14ac:dyDescent="0.15">
      <c r="A201" t="s">
        <v>454</v>
      </c>
      <c r="B201" t="s">
        <v>1920</v>
      </c>
      <c r="C201" t="s">
        <v>616</v>
      </c>
      <c r="D201">
        <v>180</v>
      </c>
      <c r="F201">
        <f>OUTPUTAvatarMatResID[[#This Row],[AvatarPartID]]*10000+OUTPUTAvatarMatResID[[#This Row],[SexID]]*1000+AvatarMatResID[[#This Row],[CountIndex]]</f>
        <v>11180</v>
      </c>
      <c r="G201">
        <f>VLOOKUP(AvatarMatResID[[#This Row],[AvatarPart]],AvatarPartID[],2,0)</f>
        <v>1</v>
      </c>
      <c r="H201">
        <f>VLOOKUP(AvatarMatResID[[#This Row],[Sex]],SexID[],2,0)</f>
        <v>1</v>
      </c>
      <c r="I201" t="str">
        <f>AvatarMatResID[[#This Row],[Material]]</f>
        <v>Female Black Sorceress 04 Brown</v>
      </c>
    </row>
    <row r="202" spans="1:9" x14ac:dyDescent="0.15">
      <c r="A202" t="s">
        <v>454</v>
      </c>
      <c r="B202" t="s">
        <v>1920</v>
      </c>
      <c r="C202" t="s">
        <v>617</v>
      </c>
      <c r="D202">
        <v>181</v>
      </c>
      <c r="F202">
        <f>OUTPUTAvatarMatResID[[#This Row],[AvatarPartID]]*10000+OUTPUTAvatarMatResID[[#This Row],[SexID]]*1000+AvatarMatResID[[#This Row],[CountIndex]]</f>
        <v>11181</v>
      </c>
      <c r="G202">
        <f>VLOOKUP(AvatarMatResID[[#This Row],[AvatarPart]],AvatarPartID[],2,0)</f>
        <v>1</v>
      </c>
      <c r="H202">
        <f>VLOOKUP(AvatarMatResID[[#This Row],[Sex]],SexID[],2,0)</f>
        <v>1</v>
      </c>
      <c r="I202" t="str">
        <f>AvatarMatResID[[#This Row],[Material]]</f>
        <v>Female Black Sorceress 04 Green</v>
      </c>
    </row>
    <row r="203" spans="1:9" x14ac:dyDescent="0.15">
      <c r="A203" t="s">
        <v>454</v>
      </c>
      <c r="B203" t="s">
        <v>1920</v>
      </c>
      <c r="C203" t="s">
        <v>618</v>
      </c>
      <c r="D203">
        <v>182</v>
      </c>
      <c r="F203">
        <f>OUTPUTAvatarMatResID[[#This Row],[AvatarPartID]]*10000+OUTPUTAvatarMatResID[[#This Row],[SexID]]*1000+AvatarMatResID[[#This Row],[CountIndex]]</f>
        <v>11182</v>
      </c>
      <c r="G203">
        <f>VLOOKUP(AvatarMatResID[[#This Row],[AvatarPart]],AvatarPartID[],2,0)</f>
        <v>1</v>
      </c>
      <c r="H203">
        <f>VLOOKUP(AvatarMatResID[[#This Row],[Sex]],SexID[],2,0)</f>
        <v>1</v>
      </c>
      <c r="I203" t="str">
        <f>AvatarMatResID[[#This Row],[Material]]</f>
        <v>Female Black Sorceress 04 Magenta</v>
      </c>
    </row>
    <row r="204" spans="1:9" x14ac:dyDescent="0.15">
      <c r="A204" t="s">
        <v>454</v>
      </c>
      <c r="B204" t="s">
        <v>1920</v>
      </c>
      <c r="C204" t="s">
        <v>619</v>
      </c>
      <c r="D204">
        <v>183</v>
      </c>
      <c r="F204">
        <f>OUTPUTAvatarMatResID[[#This Row],[AvatarPartID]]*10000+OUTPUTAvatarMatResID[[#This Row],[SexID]]*1000+AvatarMatResID[[#This Row],[CountIndex]]</f>
        <v>11183</v>
      </c>
      <c r="G204">
        <f>VLOOKUP(AvatarMatResID[[#This Row],[AvatarPart]],AvatarPartID[],2,0)</f>
        <v>1</v>
      </c>
      <c r="H204">
        <f>VLOOKUP(AvatarMatResID[[#This Row],[Sex]],SexID[],2,0)</f>
        <v>1</v>
      </c>
      <c r="I204" t="str">
        <f>AvatarMatResID[[#This Row],[Material]]</f>
        <v>Female Black Sorceress 04 Purple</v>
      </c>
    </row>
    <row r="205" spans="1:9" x14ac:dyDescent="0.15">
      <c r="A205" t="s">
        <v>454</v>
      </c>
      <c r="B205" t="s">
        <v>1920</v>
      </c>
      <c r="C205" t="s">
        <v>620</v>
      </c>
      <c r="D205">
        <v>184</v>
      </c>
      <c r="F205">
        <f>OUTPUTAvatarMatResID[[#This Row],[AvatarPartID]]*10000+OUTPUTAvatarMatResID[[#This Row],[SexID]]*1000+AvatarMatResID[[#This Row],[CountIndex]]</f>
        <v>11184</v>
      </c>
      <c r="G205">
        <f>VLOOKUP(AvatarMatResID[[#This Row],[AvatarPart]],AvatarPartID[],2,0)</f>
        <v>1</v>
      </c>
      <c r="H205">
        <f>VLOOKUP(AvatarMatResID[[#This Row],[Sex]],SexID[],2,0)</f>
        <v>1</v>
      </c>
      <c r="I205" t="str">
        <f>AvatarMatResID[[#This Row],[Material]]</f>
        <v>Female Black Sorceress 04 Red</v>
      </c>
    </row>
    <row r="206" spans="1:9" x14ac:dyDescent="0.15">
      <c r="A206" t="s">
        <v>454</v>
      </c>
      <c r="B206" t="s">
        <v>1920</v>
      </c>
      <c r="C206" t="s">
        <v>621</v>
      </c>
      <c r="D206">
        <v>185</v>
      </c>
      <c r="F206">
        <f>OUTPUTAvatarMatResID[[#This Row],[AvatarPartID]]*10000+OUTPUTAvatarMatResID[[#This Row],[SexID]]*1000+AvatarMatResID[[#This Row],[CountIndex]]</f>
        <v>11185</v>
      </c>
      <c r="G206">
        <f>VLOOKUP(AvatarMatResID[[#This Row],[AvatarPart]],AvatarPartID[],2,0)</f>
        <v>1</v>
      </c>
      <c r="H206">
        <f>VLOOKUP(AvatarMatResID[[#This Row],[Sex]],SexID[],2,0)</f>
        <v>1</v>
      </c>
      <c r="I206" t="str">
        <f>AvatarMatResID[[#This Row],[Material]]</f>
        <v>Female Black Sorceress 04 White</v>
      </c>
    </row>
    <row r="207" spans="1:9" x14ac:dyDescent="0.15">
      <c r="A207" t="s">
        <v>454</v>
      </c>
      <c r="B207" t="s">
        <v>1920</v>
      </c>
      <c r="C207" t="s">
        <v>622</v>
      </c>
      <c r="D207">
        <v>186</v>
      </c>
      <c r="F207">
        <f>OUTPUTAvatarMatResID[[#This Row],[AvatarPartID]]*10000+OUTPUTAvatarMatResID[[#This Row],[SexID]]*1000+AvatarMatResID[[#This Row],[CountIndex]]</f>
        <v>11186</v>
      </c>
      <c r="G207">
        <f>VLOOKUP(AvatarMatResID[[#This Row],[AvatarPart]],AvatarPartID[],2,0)</f>
        <v>1</v>
      </c>
      <c r="H207">
        <f>VLOOKUP(AvatarMatResID[[#This Row],[Sex]],SexID[],2,0)</f>
        <v>1</v>
      </c>
      <c r="I207" t="str">
        <f>AvatarMatResID[[#This Row],[Material]]</f>
        <v>Female Black Sorceress 05 Black</v>
      </c>
    </row>
    <row r="208" spans="1:9" x14ac:dyDescent="0.15">
      <c r="A208" t="s">
        <v>454</v>
      </c>
      <c r="B208" t="s">
        <v>1920</v>
      </c>
      <c r="C208" t="s">
        <v>623</v>
      </c>
      <c r="D208">
        <v>187</v>
      </c>
      <c r="F208">
        <f>OUTPUTAvatarMatResID[[#This Row],[AvatarPartID]]*10000+OUTPUTAvatarMatResID[[#This Row],[SexID]]*1000+AvatarMatResID[[#This Row],[CountIndex]]</f>
        <v>11187</v>
      </c>
      <c r="G208">
        <f>VLOOKUP(AvatarMatResID[[#This Row],[AvatarPart]],AvatarPartID[],2,0)</f>
        <v>1</v>
      </c>
      <c r="H208">
        <f>VLOOKUP(AvatarMatResID[[#This Row],[Sex]],SexID[],2,0)</f>
        <v>1</v>
      </c>
      <c r="I208" t="str">
        <f>AvatarMatResID[[#This Row],[Material]]</f>
        <v>Female Black Sorceress 05 Blue</v>
      </c>
    </row>
    <row r="209" spans="1:9" x14ac:dyDescent="0.15">
      <c r="A209" t="s">
        <v>454</v>
      </c>
      <c r="B209" t="s">
        <v>1920</v>
      </c>
      <c r="C209" t="s">
        <v>624</v>
      </c>
      <c r="D209">
        <v>188</v>
      </c>
      <c r="F209">
        <f>OUTPUTAvatarMatResID[[#This Row],[AvatarPartID]]*10000+OUTPUTAvatarMatResID[[#This Row],[SexID]]*1000+AvatarMatResID[[#This Row],[CountIndex]]</f>
        <v>11188</v>
      </c>
      <c r="G209">
        <f>VLOOKUP(AvatarMatResID[[#This Row],[AvatarPart]],AvatarPartID[],2,0)</f>
        <v>1</v>
      </c>
      <c r="H209">
        <f>VLOOKUP(AvatarMatResID[[#This Row],[Sex]],SexID[],2,0)</f>
        <v>1</v>
      </c>
      <c r="I209" t="str">
        <f>AvatarMatResID[[#This Row],[Material]]</f>
        <v>Female Black Sorceress 05 Brown</v>
      </c>
    </row>
    <row r="210" spans="1:9" x14ac:dyDescent="0.15">
      <c r="A210" t="s">
        <v>454</v>
      </c>
      <c r="B210" t="s">
        <v>1920</v>
      </c>
      <c r="C210" t="s">
        <v>625</v>
      </c>
      <c r="D210">
        <v>189</v>
      </c>
      <c r="F210">
        <f>OUTPUTAvatarMatResID[[#This Row],[AvatarPartID]]*10000+OUTPUTAvatarMatResID[[#This Row],[SexID]]*1000+AvatarMatResID[[#This Row],[CountIndex]]</f>
        <v>11189</v>
      </c>
      <c r="G210">
        <f>VLOOKUP(AvatarMatResID[[#This Row],[AvatarPart]],AvatarPartID[],2,0)</f>
        <v>1</v>
      </c>
      <c r="H210">
        <f>VLOOKUP(AvatarMatResID[[#This Row],[Sex]],SexID[],2,0)</f>
        <v>1</v>
      </c>
      <c r="I210" t="str">
        <f>AvatarMatResID[[#This Row],[Material]]</f>
        <v>Female Black Sorceress 05 Green</v>
      </c>
    </row>
    <row r="211" spans="1:9" x14ac:dyDescent="0.15">
      <c r="A211" t="s">
        <v>454</v>
      </c>
      <c r="B211" t="s">
        <v>1920</v>
      </c>
      <c r="C211" t="s">
        <v>626</v>
      </c>
      <c r="D211">
        <v>190</v>
      </c>
      <c r="F211">
        <f>OUTPUTAvatarMatResID[[#This Row],[AvatarPartID]]*10000+OUTPUTAvatarMatResID[[#This Row],[SexID]]*1000+AvatarMatResID[[#This Row],[CountIndex]]</f>
        <v>11190</v>
      </c>
      <c r="G211">
        <f>VLOOKUP(AvatarMatResID[[#This Row],[AvatarPart]],AvatarPartID[],2,0)</f>
        <v>1</v>
      </c>
      <c r="H211">
        <f>VLOOKUP(AvatarMatResID[[#This Row],[Sex]],SexID[],2,0)</f>
        <v>1</v>
      </c>
      <c r="I211" t="str">
        <f>AvatarMatResID[[#This Row],[Material]]</f>
        <v>Female Black Sorceress 05 Magenta</v>
      </c>
    </row>
    <row r="212" spans="1:9" x14ac:dyDescent="0.15">
      <c r="A212" t="s">
        <v>454</v>
      </c>
      <c r="B212" t="s">
        <v>1920</v>
      </c>
      <c r="C212" t="s">
        <v>627</v>
      </c>
      <c r="D212">
        <v>191</v>
      </c>
      <c r="F212">
        <f>OUTPUTAvatarMatResID[[#This Row],[AvatarPartID]]*10000+OUTPUTAvatarMatResID[[#This Row],[SexID]]*1000+AvatarMatResID[[#This Row],[CountIndex]]</f>
        <v>11191</v>
      </c>
      <c r="G212">
        <f>VLOOKUP(AvatarMatResID[[#This Row],[AvatarPart]],AvatarPartID[],2,0)</f>
        <v>1</v>
      </c>
      <c r="H212">
        <f>VLOOKUP(AvatarMatResID[[#This Row],[Sex]],SexID[],2,0)</f>
        <v>1</v>
      </c>
      <c r="I212" t="str">
        <f>AvatarMatResID[[#This Row],[Material]]</f>
        <v>Female Black Sorceress 05 Purple</v>
      </c>
    </row>
    <row r="213" spans="1:9" x14ac:dyDescent="0.15">
      <c r="A213" t="s">
        <v>454</v>
      </c>
      <c r="B213" t="s">
        <v>1920</v>
      </c>
      <c r="C213" t="s">
        <v>628</v>
      </c>
      <c r="D213">
        <v>192</v>
      </c>
      <c r="F213">
        <f>OUTPUTAvatarMatResID[[#This Row],[AvatarPartID]]*10000+OUTPUTAvatarMatResID[[#This Row],[SexID]]*1000+AvatarMatResID[[#This Row],[CountIndex]]</f>
        <v>11192</v>
      </c>
      <c r="G213">
        <f>VLOOKUP(AvatarMatResID[[#This Row],[AvatarPart]],AvatarPartID[],2,0)</f>
        <v>1</v>
      </c>
      <c r="H213">
        <f>VLOOKUP(AvatarMatResID[[#This Row],[Sex]],SexID[],2,0)</f>
        <v>1</v>
      </c>
      <c r="I213" t="str">
        <f>AvatarMatResID[[#This Row],[Material]]</f>
        <v>Female Black Sorceress 05 Red</v>
      </c>
    </row>
    <row r="214" spans="1:9" x14ac:dyDescent="0.15">
      <c r="A214" t="s">
        <v>454</v>
      </c>
      <c r="B214" t="s">
        <v>1920</v>
      </c>
      <c r="C214" t="s">
        <v>629</v>
      </c>
      <c r="D214">
        <v>193</v>
      </c>
      <c r="F214">
        <f>OUTPUTAvatarMatResID[[#This Row],[AvatarPartID]]*10000+OUTPUTAvatarMatResID[[#This Row],[SexID]]*1000+AvatarMatResID[[#This Row],[CountIndex]]</f>
        <v>11193</v>
      </c>
      <c r="G214">
        <f>VLOOKUP(AvatarMatResID[[#This Row],[AvatarPart]],AvatarPartID[],2,0)</f>
        <v>1</v>
      </c>
      <c r="H214">
        <f>VLOOKUP(AvatarMatResID[[#This Row],[Sex]],SexID[],2,0)</f>
        <v>1</v>
      </c>
      <c r="I214" t="str">
        <f>AvatarMatResID[[#This Row],[Material]]</f>
        <v>Female Black Sorceress 05 White</v>
      </c>
    </row>
    <row r="215" spans="1:9" x14ac:dyDescent="0.15">
      <c r="A215" t="s">
        <v>454</v>
      </c>
      <c r="B215" t="s">
        <v>1920</v>
      </c>
      <c r="C215" t="s">
        <v>630</v>
      </c>
      <c r="D215">
        <v>194</v>
      </c>
      <c r="F215">
        <f>OUTPUTAvatarMatResID[[#This Row],[AvatarPartID]]*10000+OUTPUTAvatarMatResID[[#This Row],[SexID]]*1000+AvatarMatResID[[#This Row],[CountIndex]]</f>
        <v>11194</v>
      </c>
      <c r="G215">
        <f>VLOOKUP(AvatarMatResID[[#This Row],[AvatarPart]],AvatarPartID[],2,0)</f>
        <v>1</v>
      </c>
      <c r="H215">
        <f>VLOOKUP(AvatarMatResID[[#This Row],[Sex]],SexID[],2,0)</f>
        <v>1</v>
      </c>
      <c r="I215" t="str">
        <f>AvatarMatResID[[#This Row],[Material]]</f>
        <v>Female Black Sorceress 06 Black</v>
      </c>
    </row>
    <row r="216" spans="1:9" x14ac:dyDescent="0.15">
      <c r="A216" t="s">
        <v>454</v>
      </c>
      <c r="B216" t="s">
        <v>1920</v>
      </c>
      <c r="C216" t="s">
        <v>631</v>
      </c>
      <c r="D216">
        <v>195</v>
      </c>
      <c r="F216">
        <f>OUTPUTAvatarMatResID[[#This Row],[AvatarPartID]]*10000+OUTPUTAvatarMatResID[[#This Row],[SexID]]*1000+AvatarMatResID[[#This Row],[CountIndex]]</f>
        <v>11195</v>
      </c>
      <c r="G216">
        <f>VLOOKUP(AvatarMatResID[[#This Row],[AvatarPart]],AvatarPartID[],2,0)</f>
        <v>1</v>
      </c>
      <c r="H216">
        <f>VLOOKUP(AvatarMatResID[[#This Row],[Sex]],SexID[],2,0)</f>
        <v>1</v>
      </c>
      <c r="I216" t="str">
        <f>AvatarMatResID[[#This Row],[Material]]</f>
        <v>Female Black Sorceress 06 Blue</v>
      </c>
    </row>
    <row r="217" spans="1:9" x14ac:dyDescent="0.15">
      <c r="A217" t="s">
        <v>454</v>
      </c>
      <c r="B217" t="s">
        <v>1920</v>
      </c>
      <c r="C217" t="s">
        <v>632</v>
      </c>
      <c r="D217">
        <v>196</v>
      </c>
      <c r="F217">
        <f>OUTPUTAvatarMatResID[[#This Row],[AvatarPartID]]*10000+OUTPUTAvatarMatResID[[#This Row],[SexID]]*1000+AvatarMatResID[[#This Row],[CountIndex]]</f>
        <v>11196</v>
      </c>
      <c r="G217">
        <f>VLOOKUP(AvatarMatResID[[#This Row],[AvatarPart]],AvatarPartID[],2,0)</f>
        <v>1</v>
      </c>
      <c r="H217">
        <f>VLOOKUP(AvatarMatResID[[#This Row],[Sex]],SexID[],2,0)</f>
        <v>1</v>
      </c>
      <c r="I217" t="str">
        <f>AvatarMatResID[[#This Row],[Material]]</f>
        <v>Female Black Sorceress 06 Brown</v>
      </c>
    </row>
    <row r="218" spans="1:9" x14ac:dyDescent="0.15">
      <c r="A218" t="s">
        <v>454</v>
      </c>
      <c r="B218" t="s">
        <v>1920</v>
      </c>
      <c r="C218" t="s">
        <v>633</v>
      </c>
      <c r="D218">
        <v>197</v>
      </c>
      <c r="F218">
        <f>OUTPUTAvatarMatResID[[#This Row],[AvatarPartID]]*10000+OUTPUTAvatarMatResID[[#This Row],[SexID]]*1000+AvatarMatResID[[#This Row],[CountIndex]]</f>
        <v>11197</v>
      </c>
      <c r="G218">
        <f>VLOOKUP(AvatarMatResID[[#This Row],[AvatarPart]],AvatarPartID[],2,0)</f>
        <v>1</v>
      </c>
      <c r="H218">
        <f>VLOOKUP(AvatarMatResID[[#This Row],[Sex]],SexID[],2,0)</f>
        <v>1</v>
      </c>
      <c r="I218" t="str">
        <f>AvatarMatResID[[#This Row],[Material]]</f>
        <v>Female Black Sorceress 06 Green</v>
      </c>
    </row>
    <row r="219" spans="1:9" x14ac:dyDescent="0.15">
      <c r="A219" t="s">
        <v>454</v>
      </c>
      <c r="B219" t="s">
        <v>1920</v>
      </c>
      <c r="C219" t="s">
        <v>634</v>
      </c>
      <c r="D219">
        <v>198</v>
      </c>
      <c r="F219">
        <f>OUTPUTAvatarMatResID[[#This Row],[AvatarPartID]]*10000+OUTPUTAvatarMatResID[[#This Row],[SexID]]*1000+AvatarMatResID[[#This Row],[CountIndex]]</f>
        <v>11198</v>
      </c>
      <c r="G219">
        <f>VLOOKUP(AvatarMatResID[[#This Row],[AvatarPart]],AvatarPartID[],2,0)</f>
        <v>1</v>
      </c>
      <c r="H219">
        <f>VLOOKUP(AvatarMatResID[[#This Row],[Sex]],SexID[],2,0)</f>
        <v>1</v>
      </c>
      <c r="I219" t="str">
        <f>AvatarMatResID[[#This Row],[Material]]</f>
        <v>Female Black Sorceress 06 Magenta</v>
      </c>
    </row>
    <row r="220" spans="1:9" x14ac:dyDescent="0.15">
      <c r="A220" t="s">
        <v>454</v>
      </c>
      <c r="B220" t="s">
        <v>1920</v>
      </c>
      <c r="C220" t="s">
        <v>635</v>
      </c>
      <c r="D220">
        <v>199</v>
      </c>
      <c r="F220">
        <f>OUTPUTAvatarMatResID[[#This Row],[AvatarPartID]]*10000+OUTPUTAvatarMatResID[[#This Row],[SexID]]*1000+AvatarMatResID[[#This Row],[CountIndex]]</f>
        <v>11199</v>
      </c>
      <c r="G220">
        <f>VLOOKUP(AvatarMatResID[[#This Row],[AvatarPart]],AvatarPartID[],2,0)</f>
        <v>1</v>
      </c>
      <c r="H220">
        <f>VLOOKUP(AvatarMatResID[[#This Row],[Sex]],SexID[],2,0)</f>
        <v>1</v>
      </c>
      <c r="I220" t="str">
        <f>AvatarMatResID[[#This Row],[Material]]</f>
        <v>Female Black Sorceress 06 Purple</v>
      </c>
    </row>
    <row r="221" spans="1:9" x14ac:dyDescent="0.15">
      <c r="A221" t="s">
        <v>454</v>
      </c>
      <c r="B221" t="s">
        <v>1920</v>
      </c>
      <c r="C221" t="s">
        <v>636</v>
      </c>
      <c r="D221">
        <v>200</v>
      </c>
      <c r="F221">
        <f>OUTPUTAvatarMatResID[[#This Row],[AvatarPartID]]*10000+OUTPUTAvatarMatResID[[#This Row],[SexID]]*1000+AvatarMatResID[[#This Row],[CountIndex]]</f>
        <v>11200</v>
      </c>
      <c r="G221">
        <f>VLOOKUP(AvatarMatResID[[#This Row],[AvatarPart]],AvatarPartID[],2,0)</f>
        <v>1</v>
      </c>
      <c r="H221">
        <f>VLOOKUP(AvatarMatResID[[#This Row],[Sex]],SexID[],2,0)</f>
        <v>1</v>
      </c>
      <c r="I221" t="str">
        <f>AvatarMatResID[[#This Row],[Material]]</f>
        <v>Female Black Sorceress 06 Red</v>
      </c>
    </row>
    <row r="222" spans="1:9" x14ac:dyDescent="0.15">
      <c r="A222" t="s">
        <v>454</v>
      </c>
      <c r="B222" t="s">
        <v>1920</v>
      </c>
      <c r="C222" t="s">
        <v>637</v>
      </c>
      <c r="D222">
        <v>201</v>
      </c>
      <c r="F222">
        <f>OUTPUTAvatarMatResID[[#This Row],[AvatarPartID]]*10000+OUTPUTAvatarMatResID[[#This Row],[SexID]]*1000+AvatarMatResID[[#This Row],[CountIndex]]</f>
        <v>11201</v>
      </c>
      <c r="G222">
        <f>VLOOKUP(AvatarMatResID[[#This Row],[AvatarPart]],AvatarPartID[],2,0)</f>
        <v>1</v>
      </c>
      <c r="H222">
        <f>VLOOKUP(AvatarMatResID[[#This Row],[Sex]],SexID[],2,0)</f>
        <v>1</v>
      </c>
      <c r="I222" t="str">
        <f>AvatarMatResID[[#This Row],[Material]]</f>
        <v>Female Black Sorceress 06 White</v>
      </c>
    </row>
    <row r="223" spans="1:9" x14ac:dyDescent="0.15">
      <c r="A223" t="s">
        <v>454</v>
      </c>
      <c r="B223" t="s">
        <v>1920</v>
      </c>
      <c r="C223" t="s">
        <v>638</v>
      </c>
      <c r="D223">
        <v>202</v>
      </c>
      <c r="F223">
        <f>OUTPUTAvatarMatResID[[#This Row],[AvatarPartID]]*10000+OUTPUTAvatarMatResID[[#This Row],[SexID]]*1000+AvatarMatResID[[#This Row],[CountIndex]]</f>
        <v>11202</v>
      </c>
      <c r="G223">
        <f>VLOOKUP(AvatarMatResID[[#This Row],[AvatarPart]],AvatarPartID[],2,0)</f>
        <v>1</v>
      </c>
      <c r="H223">
        <f>VLOOKUP(AvatarMatResID[[#This Row],[Sex]],SexID[],2,0)</f>
        <v>1</v>
      </c>
      <c r="I223" t="str">
        <f>AvatarMatResID[[#This Row],[Material]]</f>
        <v>Female Brown Archer 01 Black</v>
      </c>
    </row>
    <row r="224" spans="1:9" x14ac:dyDescent="0.15">
      <c r="A224" t="s">
        <v>454</v>
      </c>
      <c r="B224" t="s">
        <v>1920</v>
      </c>
      <c r="C224" t="s">
        <v>639</v>
      </c>
      <c r="D224">
        <v>203</v>
      </c>
      <c r="F224">
        <f>OUTPUTAvatarMatResID[[#This Row],[AvatarPartID]]*10000+OUTPUTAvatarMatResID[[#This Row],[SexID]]*1000+AvatarMatResID[[#This Row],[CountIndex]]</f>
        <v>11203</v>
      </c>
      <c r="G224">
        <f>VLOOKUP(AvatarMatResID[[#This Row],[AvatarPart]],AvatarPartID[],2,0)</f>
        <v>1</v>
      </c>
      <c r="H224">
        <f>VLOOKUP(AvatarMatResID[[#This Row],[Sex]],SexID[],2,0)</f>
        <v>1</v>
      </c>
      <c r="I224" t="str">
        <f>AvatarMatResID[[#This Row],[Material]]</f>
        <v>Female Brown Archer 01 Blue</v>
      </c>
    </row>
    <row r="225" spans="1:9" x14ac:dyDescent="0.15">
      <c r="A225" t="s">
        <v>454</v>
      </c>
      <c r="B225" t="s">
        <v>1920</v>
      </c>
      <c r="C225" t="s">
        <v>640</v>
      </c>
      <c r="D225">
        <v>204</v>
      </c>
      <c r="F225">
        <f>OUTPUTAvatarMatResID[[#This Row],[AvatarPartID]]*10000+OUTPUTAvatarMatResID[[#This Row],[SexID]]*1000+AvatarMatResID[[#This Row],[CountIndex]]</f>
        <v>11204</v>
      </c>
      <c r="G225">
        <f>VLOOKUP(AvatarMatResID[[#This Row],[AvatarPart]],AvatarPartID[],2,0)</f>
        <v>1</v>
      </c>
      <c r="H225">
        <f>VLOOKUP(AvatarMatResID[[#This Row],[Sex]],SexID[],2,0)</f>
        <v>1</v>
      </c>
      <c r="I225" t="str">
        <f>AvatarMatResID[[#This Row],[Material]]</f>
        <v>Female Brown Archer 01 Green</v>
      </c>
    </row>
    <row r="226" spans="1:9" x14ac:dyDescent="0.15">
      <c r="A226" t="s">
        <v>454</v>
      </c>
      <c r="B226" t="s">
        <v>1920</v>
      </c>
      <c r="C226" t="s">
        <v>641</v>
      </c>
      <c r="D226">
        <v>205</v>
      </c>
      <c r="F226">
        <f>OUTPUTAvatarMatResID[[#This Row],[AvatarPartID]]*10000+OUTPUTAvatarMatResID[[#This Row],[SexID]]*1000+AvatarMatResID[[#This Row],[CountIndex]]</f>
        <v>11205</v>
      </c>
      <c r="G226">
        <f>VLOOKUP(AvatarMatResID[[#This Row],[AvatarPart]],AvatarPartID[],2,0)</f>
        <v>1</v>
      </c>
      <c r="H226">
        <f>VLOOKUP(AvatarMatResID[[#This Row],[Sex]],SexID[],2,0)</f>
        <v>1</v>
      </c>
      <c r="I226" t="str">
        <f>AvatarMatResID[[#This Row],[Material]]</f>
        <v>Female Brown Archer 01 Magenta</v>
      </c>
    </row>
    <row r="227" spans="1:9" x14ac:dyDescent="0.15">
      <c r="A227" t="s">
        <v>454</v>
      </c>
      <c r="B227" t="s">
        <v>1920</v>
      </c>
      <c r="C227" t="s">
        <v>642</v>
      </c>
      <c r="D227">
        <v>206</v>
      </c>
      <c r="F227">
        <f>OUTPUTAvatarMatResID[[#This Row],[AvatarPartID]]*10000+OUTPUTAvatarMatResID[[#This Row],[SexID]]*1000+AvatarMatResID[[#This Row],[CountIndex]]</f>
        <v>11206</v>
      </c>
      <c r="G227">
        <f>VLOOKUP(AvatarMatResID[[#This Row],[AvatarPart]],AvatarPartID[],2,0)</f>
        <v>1</v>
      </c>
      <c r="H227">
        <f>VLOOKUP(AvatarMatResID[[#This Row],[Sex]],SexID[],2,0)</f>
        <v>1</v>
      </c>
      <c r="I227" t="str">
        <f>AvatarMatResID[[#This Row],[Material]]</f>
        <v>Female Brown Archer 01 Purple</v>
      </c>
    </row>
    <row r="228" spans="1:9" x14ac:dyDescent="0.15">
      <c r="A228" t="s">
        <v>454</v>
      </c>
      <c r="B228" t="s">
        <v>1920</v>
      </c>
      <c r="C228" t="s">
        <v>643</v>
      </c>
      <c r="D228">
        <v>207</v>
      </c>
      <c r="F228">
        <f>OUTPUTAvatarMatResID[[#This Row],[AvatarPartID]]*10000+OUTPUTAvatarMatResID[[#This Row],[SexID]]*1000+AvatarMatResID[[#This Row],[CountIndex]]</f>
        <v>11207</v>
      </c>
      <c r="G228">
        <f>VLOOKUP(AvatarMatResID[[#This Row],[AvatarPart]],AvatarPartID[],2,0)</f>
        <v>1</v>
      </c>
      <c r="H228">
        <f>VLOOKUP(AvatarMatResID[[#This Row],[Sex]],SexID[],2,0)</f>
        <v>1</v>
      </c>
      <c r="I228" t="str">
        <f>AvatarMatResID[[#This Row],[Material]]</f>
        <v>Female Brown Archer 01 White</v>
      </c>
    </row>
    <row r="229" spans="1:9" x14ac:dyDescent="0.15">
      <c r="A229" t="s">
        <v>454</v>
      </c>
      <c r="B229" t="s">
        <v>1920</v>
      </c>
      <c r="C229" t="s">
        <v>644</v>
      </c>
      <c r="D229">
        <v>208</v>
      </c>
      <c r="F229">
        <f>OUTPUTAvatarMatResID[[#This Row],[AvatarPartID]]*10000+OUTPUTAvatarMatResID[[#This Row],[SexID]]*1000+AvatarMatResID[[#This Row],[CountIndex]]</f>
        <v>11208</v>
      </c>
      <c r="G229">
        <f>VLOOKUP(AvatarMatResID[[#This Row],[AvatarPart]],AvatarPartID[],2,0)</f>
        <v>1</v>
      </c>
      <c r="H229">
        <f>VLOOKUP(AvatarMatResID[[#This Row],[Sex]],SexID[],2,0)</f>
        <v>1</v>
      </c>
      <c r="I229" t="str">
        <f>AvatarMatResID[[#This Row],[Material]]</f>
        <v>Female Brown Archer 02 Black</v>
      </c>
    </row>
    <row r="230" spans="1:9" x14ac:dyDescent="0.15">
      <c r="A230" t="s">
        <v>454</v>
      </c>
      <c r="B230" t="s">
        <v>1920</v>
      </c>
      <c r="C230" t="s">
        <v>645</v>
      </c>
      <c r="D230">
        <v>209</v>
      </c>
      <c r="F230">
        <f>OUTPUTAvatarMatResID[[#This Row],[AvatarPartID]]*10000+OUTPUTAvatarMatResID[[#This Row],[SexID]]*1000+AvatarMatResID[[#This Row],[CountIndex]]</f>
        <v>11209</v>
      </c>
      <c r="G230">
        <f>VLOOKUP(AvatarMatResID[[#This Row],[AvatarPart]],AvatarPartID[],2,0)</f>
        <v>1</v>
      </c>
      <c r="H230">
        <f>VLOOKUP(AvatarMatResID[[#This Row],[Sex]],SexID[],2,0)</f>
        <v>1</v>
      </c>
      <c r="I230" t="str">
        <f>AvatarMatResID[[#This Row],[Material]]</f>
        <v>Female Brown Archer 02 Blue</v>
      </c>
    </row>
    <row r="231" spans="1:9" x14ac:dyDescent="0.15">
      <c r="A231" t="s">
        <v>454</v>
      </c>
      <c r="B231" t="s">
        <v>1920</v>
      </c>
      <c r="C231" t="s">
        <v>646</v>
      </c>
      <c r="D231">
        <v>210</v>
      </c>
      <c r="F231">
        <f>OUTPUTAvatarMatResID[[#This Row],[AvatarPartID]]*10000+OUTPUTAvatarMatResID[[#This Row],[SexID]]*1000+AvatarMatResID[[#This Row],[CountIndex]]</f>
        <v>11210</v>
      </c>
      <c r="G231">
        <f>VLOOKUP(AvatarMatResID[[#This Row],[AvatarPart]],AvatarPartID[],2,0)</f>
        <v>1</v>
      </c>
      <c r="H231">
        <f>VLOOKUP(AvatarMatResID[[#This Row],[Sex]],SexID[],2,0)</f>
        <v>1</v>
      </c>
      <c r="I231" t="str">
        <f>AvatarMatResID[[#This Row],[Material]]</f>
        <v>Female Brown Archer 02 Green</v>
      </c>
    </row>
    <row r="232" spans="1:9" x14ac:dyDescent="0.15">
      <c r="A232" t="s">
        <v>454</v>
      </c>
      <c r="B232" t="s">
        <v>1920</v>
      </c>
      <c r="C232" t="s">
        <v>647</v>
      </c>
      <c r="D232">
        <v>211</v>
      </c>
      <c r="F232">
        <f>OUTPUTAvatarMatResID[[#This Row],[AvatarPartID]]*10000+OUTPUTAvatarMatResID[[#This Row],[SexID]]*1000+AvatarMatResID[[#This Row],[CountIndex]]</f>
        <v>11211</v>
      </c>
      <c r="G232">
        <f>VLOOKUP(AvatarMatResID[[#This Row],[AvatarPart]],AvatarPartID[],2,0)</f>
        <v>1</v>
      </c>
      <c r="H232">
        <f>VLOOKUP(AvatarMatResID[[#This Row],[Sex]],SexID[],2,0)</f>
        <v>1</v>
      </c>
      <c r="I232" t="str">
        <f>AvatarMatResID[[#This Row],[Material]]</f>
        <v>Female Brown Archer 02 Lime</v>
      </c>
    </row>
    <row r="233" spans="1:9" x14ac:dyDescent="0.15">
      <c r="A233" t="s">
        <v>454</v>
      </c>
      <c r="B233" t="s">
        <v>1920</v>
      </c>
      <c r="C233" t="s">
        <v>648</v>
      </c>
      <c r="D233">
        <v>212</v>
      </c>
      <c r="F233">
        <f>OUTPUTAvatarMatResID[[#This Row],[AvatarPartID]]*10000+OUTPUTAvatarMatResID[[#This Row],[SexID]]*1000+AvatarMatResID[[#This Row],[CountIndex]]</f>
        <v>11212</v>
      </c>
      <c r="G233">
        <f>VLOOKUP(AvatarMatResID[[#This Row],[AvatarPart]],AvatarPartID[],2,0)</f>
        <v>1</v>
      </c>
      <c r="H233">
        <f>VLOOKUP(AvatarMatResID[[#This Row],[Sex]],SexID[],2,0)</f>
        <v>1</v>
      </c>
      <c r="I233" t="str">
        <f>AvatarMatResID[[#This Row],[Material]]</f>
        <v>Female Brown Archer 02 Magenta</v>
      </c>
    </row>
    <row r="234" spans="1:9" x14ac:dyDescent="0.15">
      <c r="A234" t="s">
        <v>454</v>
      </c>
      <c r="B234" t="s">
        <v>1920</v>
      </c>
      <c r="C234" t="s">
        <v>649</v>
      </c>
      <c r="D234">
        <v>213</v>
      </c>
      <c r="F234">
        <f>OUTPUTAvatarMatResID[[#This Row],[AvatarPartID]]*10000+OUTPUTAvatarMatResID[[#This Row],[SexID]]*1000+AvatarMatResID[[#This Row],[CountIndex]]</f>
        <v>11213</v>
      </c>
      <c r="G234">
        <f>VLOOKUP(AvatarMatResID[[#This Row],[AvatarPart]],AvatarPartID[],2,0)</f>
        <v>1</v>
      </c>
      <c r="H234">
        <f>VLOOKUP(AvatarMatResID[[#This Row],[Sex]],SexID[],2,0)</f>
        <v>1</v>
      </c>
      <c r="I234" t="str">
        <f>AvatarMatResID[[#This Row],[Material]]</f>
        <v>Female Brown Archer 02 Purple</v>
      </c>
    </row>
    <row r="235" spans="1:9" x14ac:dyDescent="0.15">
      <c r="A235" t="s">
        <v>454</v>
      </c>
      <c r="B235" t="s">
        <v>1920</v>
      </c>
      <c r="C235" t="s">
        <v>650</v>
      </c>
      <c r="D235">
        <v>214</v>
      </c>
      <c r="F235">
        <f>OUTPUTAvatarMatResID[[#This Row],[AvatarPartID]]*10000+OUTPUTAvatarMatResID[[#This Row],[SexID]]*1000+AvatarMatResID[[#This Row],[CountIndex]]</f>
        <v>11214</v>
      </c>
      <c r="G235">
        <f>VLOOKUP(AvatarMatResID[[#This Row],[AvatarPart]],AvatarPartID[],2,0)</f>
        <v>1</v>
      </c>
      <c r="H235">
        <f>VLOOKUP(AvatarMatResID[[#This Row],[Sex]],SexID[],2,0)</f>
        <v>1</v>
      </c>
      <c r="I235" t="str">
        <f>AvatarMatResID[[#This Row],[Material]]</f>
        <v>Female Brown Archer 02 White</v>
      </c>
    </row>
    <row r="236" spans="1:9" x14ac:dyDescent="0.15">
      <c r="A236" t="s">
        <v>454</v>
      </c>
      <c r="B236" t="s">
        <v>1920</v>
      </c>
      <c r="C236" t="s">
        <v>651</v>
      </c>
      <c r="D236">
        <v>215</v>
      </c>
      <c r="F236">
        <f>OUTPUTAvatarMatResID[[#This Row],[AvatarPartID]]*10000+OUTPUTAvatarMatResID[[#This Row],[SexID]]*1000+AvatarMatResID[[#This Row],[CountIndex]]</f>
        <v>11215</v>
      </c>
      <c r="G236">
        <f>VLOOKUP(AvatarMatResID[[#This Row],[AvatarPart]],AvatarPartID[],2,0)</f>
        <v>1</v>
      </c>
      <c r="H236">
        <f>VLOOKUP(AvatarMatResID[[#This Row],[Sex]],SexID[],2,0)</f>
        <v>1</v>
      </c>
      <c r="I236" t="str">
        <f>AvatarMatResID[[#This Row],[Material]]</f>
        <v>Female Brown Archer 03 Black</v>
      </c>
    </row>
    <row r="237" spans="1:9" x14ac:dyDescent="0.15">
      <c r="A237" t="s">
        <v>454</v>
      </c>
      <c r="B237" t="s">
        <v>1920</v>
      </c>
      <c r="C237" t="s">
        <v>652</v>
      </c>
      <c r="D237">
        <v>216</v>
      </c>
      <c r="F237">
        <f>OUTPUTAvatarMatResID[[#This Row],[AvatarPartID]]*10000+OUTPUTAvatarMatResID[[#This Row],[SexID]]*1000+AvatarMatResID[[#This Row],[CountIndex]]</f>
        <v>11216</v>
      </c>
      <c r="G237">
        <f>VLOOKUP(AvatarMatResID[[#This Row],[AvatarPart]],AvatarPartID[],2,0)</f>
        <v>1</v>
      </c>
      <c r="H237">
        <f>VLOOKUP(AvatarMatResID[[#This Row],[Sex]],SexID[],2,0)</f>
        <v>1</v>
      </c>
      <c r="I237" t="str">
        <f>AvatarMatResID[[#This Row],[Material]]</f>
        <v>Female Brown Archer 03 Blue</v>
      </c>
    </row>
    <row r="238" spans="1:9" x14ac:dyDescent="0.15">
      <c r="A238" t="s">
        <v>454</v>
      </c>
      <c r="B238" t="s">
        <v>1920</v>
      </c>
      <c r="C238" t="s">
        <v>653</v>
      </c>
      <c r="D238">
        <v>217</v>
      </c>
      <c r="F238">
        <f>OUTPUTAvatarMatResID[[#This Row],[AvatarPartID]]*10000+OUTPUTAvatarMatResID[[#This Row],[SexID]]*1000+AvatarMatResID[[#This Row],[CountIndex]]</f>
        <v>11217</v>
      </c>
      <c r="G238">
        <f>VLOOKUP(AvatarMatResID[[#This Row],[AvatarPart]],AvatarPartID[],2,0)</f>
        <v>1</v>
      </c>
      <c r="H238">
        <f>VLOOKUP(AvatarMatResID[[#This Row],[Sex]],SexID[],2,0)</f>
        <v>1</v>
      </c>
      <c r="I238" t="str">
        <f>AvatarMatResID[[#This Row],[Material]]</f>
        <v>Female Brown Archer 03 Green</v>
      </c>
    </row>
    <row r="239" spans="1:9" x14ac:dyDescent="0.15">
      <c r="A239" t="s">
        <v>454</v>
      </c>
      <c r="B239" t="s">
        <v>1920</v>
      </c>
      <c r="C239" t="s">
        <v>654</v>
      </c>
      <c r="D239">
        <v>218</v>
      </c>
      <c r="F239">
        <f>OUTPUTAvatarMatResID[[#This Row],[AvatarPartID]]*10000+OUTPUTAvatarMatResID[[#This Row],[SexID]]*1000+AvatarMatResID[[#This Row],[CountIndex]]</f>
        <v>11218</v>
      </c>
      <c r="G239">
        <f>VLOOKUP(AvatarMatResID[[#This Row],[AvatarPart]],AvatarPartID[],2,0)</f>
        <v>1</v>
      </c>
      <c r="H239">
        <f>VLOOKUP(AvatarMatResID[[#This Row],[Sex]],SexID[],2,0)</f>
        <v>1</v>
      </c>
      <c r="I239" t="str">
        <f>AvatarMatResID[[#This Row],[Material]]</f>
        <v>Female Brown Archer 03 Maroon</v>
      </c>
    </row>
    <row r="240" spans="1:9" x14ac:dyDescent="0.15">
      <c r="A240" t="s">
        <v>454</v>
      </c>
      <c r="B240" t="s">
        <v>1920</v>
      </c>
      <c r="C240" t="s">
        <v>655</v>
      </c>
      <c r="D240">
        <v>219</v>
      </c>
      <c r="F240">
        <f>OUTPUTAvatarMatResID[[#This Row],[AvatarPartID]]*10000+OUTPUTAvatarMatResID[[#This Row],[SexID]]*1000+AvatarMatResID[[#This Row],[CountIndex]]</f>
        <v>11219</v>
      </c>
      <c r="G240">
        <f>VLOOKUP(AvatarMatResID[[#This Row],[AvatarPart]],AvatarPartID[],2,0)</f>
        <v>1</v>
      </c>
      <c r="H240">
        <f>VLOOKUP(AvatarMatResID[[#This Row],[Sex]],SexID[],2,0)</f>
        <v>1</v>
      </c>
      <c r="I240" t="str">
        <f>AvatarMatResID[[#This Row],[Material]]</f>
        <v>Female Brown Archer 03 Olive</v>
      </c>
    </row>
    <row r="241" spans="1:9" x14ac:dyDescent="0.15">
      <c r="A241" t="s">
        <v>454</v>
      </c>
      <c r="B241" t="s">
        <v>1920</v>
      </c>
      <c r="C241" t="s">
        <v>656</v>
      </c>
      <c r="D241">
        <v>220</v>
      </c>
      <c r="F241">
        <f>OUTPUTAvatarMatResID[[#This Row],[AvatarPartID]]*10000+OUTPUTAvatarMatResID[[#This Row],[SexID]]*1000+AvatarMatResID[[#This Row],[CountIndex]]</f>
        <v>11220</v>
      </c>
      <c r="G241">
        <f>VLOOKUP(AvatarMatResID[[#This Row],[AvatarPart]],AvatarPartID[],2,0)</f>
        <v>1</v>
      </c>
      <c r="H241">
        <f>VLOOKUP(AvatarMatResID[[#This Row],[Sex]],SexID[],2,0)</f>
        <v>1</v>
      </c>
      <c r="I241" t="str">
        <f>AvatarMatResID[[#This Row],[Material]]</f>
        <v>Female Brown Archer 03 Purple</v>
      </c>
    </row>
    <row r="242" spans="1:9" x14ac:dyDescent="0.15">
      <c r="A242" t="s">
        <v>454</v>
      </c>
      <c r="B242" t="s">
        <v>1920</v>
      </c>
      <c r="C242" t="s">
        <v>657</v>
      </c>
      <c r="D242">
        <v>221</v>
      </c>
      <c r="F242">
        <f>OUTPUTAvatarMatResID[[#This Row],[AvatarPartID]]*10000+OUTPUTAvatarMatResID[[#This Row],[SexID]]*1000+AvatarMatResID[[#This Row],[CountIndex]]</f>
        <v>11221</v>
      </c>
      <c r="G242">
        <f>VLOOKUP(AvatarMatResID[[#This Row],[AvatarPart]],AvatarPartID[],2,0)</f>
        <v>1</v>
      </c>
      <c r="H242">
        <f>VLOOKUP(AvatarMatResID[[#This Row],[Sex]],SexID[],2,0)</f>
        <v>1</v>
      </c>
      <c r="I242" t="str">
        <f>AvatarMatResID[[#This Row],[Material]]</f>
        <v>Female Brown Archer 03 White</v>
      </c>
    </row>
    <row r="243" spans="1:9" x14ac:dyDescent="0.15">
      <c r="A243" t="s">
        <v>454</v>
      </c>
      <c r="B243" t="s">
        <v>1920</v>
      </c>
      <c r="C243" t="s">
        <v>658</v>
      </c>
      <c r="D243">
        <v>222</v>
      </c>
      <c r="F243">
        <f>OUTPUTAvatarMatResID[[#This Row],[AvatarPartID]]*10000+OUTPUTAvatarMatResID[[#This Row],[SexID]]*1000+AvatarMatResID[[#This Row],[CountIndex]]</f>
        <v>11222</v>
      </c>
      <c r="G243">
        <f>VLOOKUP(AvatarMatResID[[#This Row],[AvatarPart]],AvatarPartID[],2,0)</f>
        <v>1</v>
      </c>
      <c r="H243">
        <f>VLOOKUP(AvatarMatResID[[#This Row],[Sex]],SexID[],2,0)</f>
        <v>1</v>
      </c>
      <c r="I243" t="str">
        <f>AvatarMatResID[[#This Row],[Material]]</f>
        <v>Female Brown Archer 04 Black</v>
      </c>
    </row>
    <row r="244" spans="1:9" x14ac:dyDescent="0.15">
      <c r="A244" t="s">
        <v>454</v>
      </c>
      <c r="B244" t="s">
        <v>1920</v>
      </c>
      <c r="C244" t="s">
        <v>659</v>
      </c>
      <c r="D244">
        <v>223</v>
      </c>
      <c r="F244">
        <f>OUTPUTAvatarMatResID[[#This Row],[AvatarPartID]]*10000+OUTPUTAvatarMatResID[[#This Row],[SexID]]*1000+AvatarMatResID[[#This Row],[CountIndex]]</f>
        <v>11223</v>
      </c>
      <c r="G244">
        <f>VLOOKUP(AvatarMatResID[[#This Row],[AvatarPart]],AvatarPartID[],2,0)</f>
        <v>1</v>
      </c>
      <c r="H244">
        <f>VLOOKUP(AvatarMatResID[[#This Row],[Sex]],SexID[],2,0)</f>
        <v>1</v>
      </c>
      <c r="I244" t="str">
        <f>AvatarMatResID[[#This Row],[Material]]</f>
        <v>Female Brown Archer 04 Blue</v>
      </c>
    </row>
    <row r="245" spans="1:9" x14ac:dyDescent="0.15">
      <c r="A245" t="s">
        <v>454</v>
      </c>
      <c r="B245" t="s">
        <v>1920</v>
      </c>
      <c r="C245" t="s">
        <v>660</v>
      </c>
      <c r="D245">
        <v>224</v>
      </c>
      <c r="F245">
        <f>OUTPUTAvatarMatResID[[#This Row],[AvatarPartID]]*10000+OUTPUTAvatarMatResID[[#This Row],[SexID]]*1000+AvatarMatResID[[#This Row],[CountIndex]]</f>
        <v>11224</v>
      </c>
      <c r="G245">
        <f>VLOOKUP(AvatarMatResID[[#This Row],[AvatarPart]],AvatarPartID[],2,0)</f>
        <v>1</v>
      </c>
      <c r="H245">
        <f>VLOOKUP(AvatarMatResID[[#This Row],[Sex]],SexID[],2,0)</f>
        <v>1</v>
      </c>
      <c r="I245" t="str">
        <f>AvatarMatResID[[#This Row],[Material]]</f>
        <v>Female Brown Archer 04 Green</v>
      </c>
    </row>
    <row r="246" spans="1:9" x14ac:dyDescent="0.15">
      <c r="A246" t="s">
        <v>454</v>
      </c>
      <c r="B246" t="s">
        <v>1920</v>
      </c>
      <c r="C246" t="s">
        <v>661</v>
      </c>
      <c r="D246">
        <v>225</v>
      </c>
      <c r="F246">
        <f>OUTPUTAvatarMatResID[[#This Row],[AvatarPartID]]*10000+OUTPUTAvatarMatResID[[#This Row],[SexID]]*1000+AvatarMatResID[[#This Row],[CountIndex]]</f>
        <v>11225</v>
      </c>
      <c r="G246">
        <f>VLOOKUP(AvatarMatResID[[#This Row],[AvatarPart]],AvatarPartID[],2,0)</f>
        <v>1</v>
      </c>
      <c r="H246">
        <f>VLOOKUP(AvatarMatResID[[#This Row],[Sex]],SexID[],2,0)</f>
        <v>1</v>
      </c>
      <c r="I246" t="str">
        <f>AvatarMatResID[[#This Row],[Material]]</f>
        <v>Female Brown Archer 04 Magenta</v>
      </c>
    </row>
    <row r="247" spans="1:9" x14ac:dyDescent="0.15">
      <c r="A247" t="s">
        <v>454</v>
      </c>
      <c r="B247" t="s">
        <v>1920</v>
      </c>
      <c r="C247" t="s">
        <v>662</v>
      </c>
      <c r="D247">
        <v>226</v>
      </c>
      <c r="F247">
        <f>OUTPUTAvatarMatResID[[#This Row],[AvatarPartID]]*10000+OUTPUTAvatarMatResID[[#This Row],[SexID]]*1000+AvatarMatResID[[#This Row],[CountIndex]]</f>
        <v>11226</v>
      </c>
      <c r="G247">
        <f>VLOOKUP(AvatarMatResID[[#This Row],[AvatarPart]],AvatarPartID[],2,0)</f>
        <v>1</v>
      </c>
      <c r="H247">
        <f>VLOOKUP(AvatarMatResID[[#This Row],[Sex]],SexID[],2,0)</f>
        <v>1</v>
      </c>
      <c r="I247" t="str">
        <f>AvatarMatResID[[#This Row],[Material]]</f>
        <v>Female Brown Archer 04 Purple</v>
      </c>
    </row>
    <row r="248" spans="1:9" x14ac:dyDescent="0.15">
      <c r="A248" t="s">
        <v>454</v>
      </c>
      <c r="B248" t="s">
        <v>1920</v>
      </c>
      <c r="C248" t="s">
        <v>663</v>
      </c>
      <c r="D248">
        <v>227</v>
      </c>
      <c r="F248">
        <f>OUTPUTAvatarMatResID[[#This Row],[AvatarPartID]]*10000+OUTPUTAvatarMatResID[[#This Row],[SexID]]*1000+AvatarMatResID[[#This Row],[CountIndex]]</f>
        <v>11227</v>
      </c>
      <c r="G248">
        <f>VLOOKUP(AvatarMatResID[[#This Row],[AvatarPart]],AvatarPartID[],2,0)</f>
        <v>1</v>
      </c>
      <c r="H248">
        <f>VLOOKUP(AvatarMatResID[[#This Row],[Sex]],SexID[],2,0)</f>
        <v>1</v>
      </c>
      <c r="I248" t="str">
        <f>AvatarMatResID[[#This Row],[Material]]</f>
        <v>Female Brown Archer 04 Red</v>
      </c>
    </row>
    <row r="249" spans="1:9" x14ac:dyDescent="0.15">
      <c r="A249" t="s">
        <v>454</v>
      </c>
      <c r="B249" t="s">
        <v>1920</v>
      </c>
      <c r="C249" t="s">
        <v>664</v>
      </c>
      <c r="D249">
        <v>228</v>
      </c>
      <c r="F249">
        <f>OUTPUTAvatarMatResID[[#This Row],[AvatarPartID]]*10000+OUTPUTAvatarMatResID[[#This Row],[SexID]]*1000+AvatarMatResID[[#This Row],[CountIndex]]</f>
        <v>11228</v>
      </c>
      <c r="G249">
        <f>VLOOKUP(AvatarMatResID[[#This Row],[AvatarPart]],AvatarPartID[],2,0)</f>
        <v>1</v>
      </c>
      <c r="H249">
        <f>VLOOKUP(AvatarMatResID[[#This Row],[Sex]],SexID[],2,0)</f>
        <v>1</v>
      </c>
      <c r="I249" t="str">
        <f>AvatarMatResID[[#This Row],[Material]]</f>
        <v>Female Brown Archer 04 White</v>
      </c>
    </row>
    <row r="250" spans="1:9" x14ac:dyDescent="0.15">
      <c r="A250" t="s">
        <v>454</v>
      </c>
      <c r="B250" t="s">
        <v>1920</v>
      </c>
      <c r="C250" t="s">
        <v>665</v>
      </c>
      <c r="D250">
        <v>229</v>
      </c>
      <c r="F250">
        <f>OUTPUTAvatarMatResID[[#This Row],[AvatarPartID]]*10000+OUTPUTAvatarMatResID[[#This Row],[SexID]]*1000+AvatarMatResID[[#This Row],[CountIndex]]</f>
        <v>11229</v>
      </c>
      <c r="G250">
        <f>VLOOKUP(AvatarMatResID[[#This Row],[AvatarPart]],AvatarPartID[],2,0)</f>
        <v>1</v>
      </c>
      <c r="H250">
        <f>VLOOKUP(AvatarMatResID[[#This Row],[Sex]],SexID[],2,0)</f>
        <v>1</v>
      </c>
      <c r="I250" t="str">
        <f>AvatarMatResID[[#This Row],[Material]]</f>
        <v>Female Brown Archer 04 Yellow</v>
      </c>
    </row>
    <row r="251" spans="1:9" x14ac:dyDescent="0.15">
      <c r="A251" t="s">
        <v>454</v>
      </c>
      <c r="B251" t="s">
        <v>1920</v>
      </c>
      <c r="C251" t="s">
        <v>666</v>
      </c>
      <c r="D251">
        <v>230</v>
      </c>
      <c r="F251">
        <f>OUTPUTAvatarMatResID[[#This Row],[AvatarPartID]]*10000+OUTPUTAvatarMatResID[[#This Row],[SexID]]*1000+AvatarMatResID[[#This Row],[CountIndex]]</f>
        <v>11230</v>
      </c>
      <c r="G251">
        <f>VLOOKUP(AvatarMatResID[[#This Row],[AvatarPart]],AvatarPartID[],2,0)</f>
        <v>1</v>
      </c>
      <c r="H251">
        <f>VLOOKUP(AvatarMatResID[[#This Row],[Sex]],SexID[],2,0)</f>
        <v>1</v>
      </c>
      <c r="I251" t="str">
        <f>AvatarMatResID[[#This Row],[Material]]</f>
        <v>Female Brown Archer 05 Black</v>
      </c>
    </row>
    <row r="252" spans="1:9" x14ac:dyDescent="0.15">
      <c r="A252" t="s">
        <v>454</v>
      </c>
      <c r="B252" t="s">
        <v>1920</v>
      </c>
      <c r="C252" t="s">
        <v>667</v>
      </c>
      <c r="D252">
        <v>231</v>
      </c>
      <c r="F252">
        <f>OUTPUTAvatarMatResID[[#This Row],[AvatarPartID]]*10000+OUTPUTAvatarMatResID[[#This Row],[SexID]]*1000+AvatarMatResID[[#This Row],[CountIndex]]</f>
        <v>11231</v>
      </c>
      <c r="G252">
        <f>VLOOKUP(AvatarMatResID[[#This Row],[AvatarPart]],AvatarPartID[],2,0)</f>
        <v>1</v>
      </c>
      <c r="H252">
        <f>VLOOKUP(AvatarMatResID[[#This Row],[Sex]],SexID[],2,0)</f>
        <v>1</v>
      </c>
      <c r="I252" t="str">
        <f>AvatarMatResID[[#This Row],[Material]]</f>
        <v>Female Brown Archer 05 Blue</v>
      </c>
    </row>
    <row r="253" spans="1:9" x14ac:dyDescent="0.15">
      <c r="A253" t="s">
        <v>454</v>
      </c>
      <c r="B253" t="s">
        <v>1920</v>
      </c>
      <c r="C253" t="s">
        <v>668</v>
      </c>
      <c r="D253">
        <v>232</v>
      </c>
      <c r="F253">
        <f>OUTPUTAvatarMatResID[[#This Row],[AvatarPartID]]*10000+OUTPUTAvatarMatResID[[#This Row],[SexID]]*1000+AvatarMatResID[[#This Row],[CountIndex]]</f>
        <v>11232</v>
      </c>
      <c r="G253">
        <f>VLOOKUP(AvatarMatResID[[#This Row],[AvatarPart]],AvatarPartID[],2,0)</f>
        <v>1</v>
      </c>
      <c r="H253">
        <f>VLOOKUP(AvatarMatResID[[#This Row],[Sex]],SexID[],2,0)</f>
        <v>1</v>
      </c>
      <c r="I253" t="str">
        <f>AvatarMatResID[[#This Row],[Material]]</f>
        <v>Female Brown Archer 05 Green</v>
      </c>
    </row>
    <row r="254" spans="1:9" x14ac:dyDescent="0.15">
      <c r="A254" t="s">
        <v>454</v>
      </c>
      <c r="B254" t="s">
        <v>1920</v>
      </c>
      <c r="C254" t="s">
        <v>669</v>
      </c>
      <c r="D254">
        <v>233</v>
      </c>
      <c r="F254">
        <f>OUTPUTAvatarMatResID[[#This Row],[AvatarPartID]]*10000+OUTPUTAvatarMatResID[[#This Row],[SexID]]*1000+AvatarMatResID[[#This Row],[CountIndex]]</f>
        <v>11233</v>
      </c>
      <c r="G254">
        <f>VLOOKUP(AvatarMatResID[[#This Row],[AvatarPart]],AvatarPartID[],2,0)</f>
        <v>1</v>
      </c>
      <c r="H254">
        <f>VLOOKUP(AvatarMatResID[[#This Row],[Sex]],SexID[],2,0)</f>
        <v>1</v>
      </c>
      <c r="I254" t="str">
        <f>AvatarMatResID[[#This Row],[Material]]</f>
        <v>Female Brown Archer 05 Magenta</v>
      </c>
    </row>
    <row r="255" spans="1:9" x14ac:dyDescent="0.15">
      <c r="A255" t="s">
        <v>454</v>
      </c>
      <c r="B255" t="s">
        <v>1920</v>
      </c>
      <c r="C255" t="s">
        <v>670</v>
      </c>
      <c r="D255">
        <v>234</v>
      </c>
      <c r="F255">
        <f>OUTPUTAvatarMatResID[[#This Row],[AvatarPartID]]*10000+OUTPUTAvatarMatResID[[#This Row],[SexID]]*1000+AvatarMatResID[[#This Row],[CountIndex]]</f>
        <v>11234</v>
      </c>
      <c r="G255">
        <f>VLOOKUP(AvatarMatResID[[#This Row],[AvatarPart]],AvatarPartID[],2,0)</f>
        <v>1</v>
      </c>
      <c r="H255">
        <f>VLOOKUP(AvatarMatResID[[#This Row],[Sex]],SexID[],2,0)</f>
        <v>1</v>
      </c>
      <c r="I255" t="str">
        <f>AvatarMatResID[[#This Row],[Material]]</f>
        <v>Female Brown Archer 05 Purple</v>
      </c>
    </row>
    <row r="256" spans="1:9" x14ac:dyDescent="0.15">
      <c r="A256" t="s">
        <v>454</v>
      </c>
      <c r="B256" t="s">
        <v>1920</v>
      </c>
      <c r="C256" t="s">
        <v>671</v>
      </c>
      <c r="D256">
        <v>235</v>
      </c>
      <c r="F256">
        <f>OUTPUTAvatarMatResID[[#This Row],[AvatarPartID]]*10000+OUTPUTAvatarMatResID[[#This Row],[SexID]]*1000+AvatarMatResID[[#This Row],[CountIndex]]</f>
        <v>11235</v>
      </c>
      <c r="G256">
        <f>VLOOKUP(AvatarMatResID[[#This Row],[AvatarPart]],AvatarPartID[],2,0)</f>
        <v>1</v>
      </c>
      <c r="H256">
        <f>VLOOKUP(AvatarMatResID[[#This Row],[Sex]],SexID[],2,0)</f>
        <v>1</v>
      </c>
      <c r="I256" t="str">
        <f>AvatarMatResID[[#This Row],[Material]]</f>
        <v>Female Brown Archer 05 Red</v>
      </c>
    </row>
    <row r="257" spans="1:9" x14ac:dyDescent="0.15">
      <c r="A257" t="s">
        <v>454</v>
      </c>
      <c r="B257" t="s">
        <v>1920</v>
      </c>
      <c r="C257" t="s">
        <v>672</v>
      </c>
      <c r="D257">
        <v>236</v>
      </c>
      <c r="F257">
        <f>OUTPUTAvatarMatResID[[#This Row],[AvatarPartID]]*10000+OUTPUTAvatarMatResID[[#This Row],[SexID]]*1000+AvatarMatResID[[#This Row],[CountIndex]]</f>
        <v>11236</v>
      </c>
      <c r="G257">
        <f>VLOOKUP(AvatarMatResID[[#This Row],[AvatarPart]],AvatarPartID[],2,0)</f>
        <v>1</v>
      </c>
      <c r="H257">
        <f>VLOOKUP(AvatarMatResID[[#This Row],[Sex]],SexID[],2,0)</f>
        <v>1</v>
      </c>
      <c r="I257" t="str">
        <f>AvatarMatResID[[#This Row],[Material]]</f>
        <v>Female Brown Archer 05 White</v>
      </c>
    </row>
    <row r="258" spans="1:9" x14ac:dyDescent="0.15">
      <c r="A258" t="s">
        <v>454</v>
      </c>
      <c r="B258" t="s">
        <v>1920</v>
      </c>
      <c r="C258" t="s">
        <v>673</v>
      </c>
      <c r="D258">
        <v>237</v>
      </c>
      <c r="F258">
        <f>OUTPUTAvatarMatResID[[#This Row],[AvatarPartID]]*10000+OUTPUTAvatarMatResID[[#This Row],[SexID]]*1000+AvatarMatResID[[#This Row],[CountIndex]]</f>
        <v>11237</v>
      </c>
      <c r="G258">
        <f>VLOOKUP(AvatarMatResID[[#This Row],[AvatarPart]],AvatarPartID[],2,0)</f>
        <v>1</v>
      </c>
      <c r="H258">
        <f>VLOOKUP(AvatarMatResID[[#This Row],[Sex]],SexID[],2,0)</f>
        <v>1</v>
      </c>
      <c r="I258" t="str">
        <f>AvatarMatResID[[#This Row],[Material]]</f>
        <v>Female Brown Archer 05 Yellow</v>
      </c>
    </row>
    <row r="259" spans="1:9" x14ac:dyDescent="0.15">
      <c r="A259" t="s">
        <v>454</v>
      </c>
      <c r="B259" t="s">
        <v>1920</v>
      </c>
      <c r="C259" t="s">
        <v>674</v>
      </c>
      <c r="D259">
        <v>238</v>
      </c>
      <c r="F259">
        <f>OUTPUTAvatarMatResID[[#This Row],[AvatarPartID]]*10000+OUTPUTAvatarMatResID[[#This Row],[SexID]]*1000+AvatarMatResID[[#This Row],[CountIndex]]</f>
        <v>11238</v>
      </c>
      <c r="G259">
        <f>VLOOKUP(AvatarMatResID[[#This Row],[AvatarPart]],AvatarPartID[],2,0)</f>
        <v>1</v>
      </c>
      <c r="H259">
        <f>VLOOKUP(AvatarMatResID[[#This Row],[Sex]],SexID[],2,0)</f>
        <v>1</v>
      </c>
      <c r="I259" t="str">
        <f>AvatarMatResID[[#This Row],[Material]]</f>
        <v>Female Brown Barbarian 01 Blue</v>
      </c>
    </row>
    <row r="260" spans="1:9" x14ac:dyDescent="0.15">
      <c r="A260" t="s">
        <v>454</v>
      </c>
      <c r="B260" t="s">
        <v>1920</v>
      </c>
      <c r="C260" t="s">
        <v>675</v>
      </c>
      <c r="D260">
        <v>239</v>
      </c>
      <c r="F260">
        <f>OUTPUTAvatarMatResID[[#This Row],[AvatarPartID]]*10000+OUTPUTAvatarMatResID[[#This Row],[SexID]]*1000+AvatarMatResID[[#This Row],[CountIndex]]</f>
        <v>11239</v>
      </c>
      <c r="G260">
        <f>VLOOKUP(AvatarMatResID[[#This Row],[AvatarPart]],AvatarPartID[],2,0)</f>
        <v>1</v>
      </c>
      <c r="H260">
        <f>VLOOKUP(AvatarMatResID[[#This Row],[Sex]],SexID[],2,0)</f>
        <v>1</v>
      </c>
      <c r="I260" t="str">
        <f>AvatarMatResID[[#This Row],[Material]]</f>
        <v>Female Brown Barbarian 01 Green</v>
      </c>
    </row>
    <row r="261" spans="1:9" x14ac:dyDescent="0.15">
      <c r="A261" t="s">
        <v>454</v>
      </c>
      <c r="B261" t="s">
        <v>1920</v>
      </c>
      <c r="C261" t="s">
        <v>676</v>
      </c>
      <c r="D261">
        <v>240</v>
      </c>
      <c r="F261">
        <f>OUTPUTAvatarMatResID[[#This Row],[AvatarPartID]]*10000+OUTPUTAvatarMatResID[[#This Row],[SexID]]*1000+AvatarMatResID[[#This Row],[CountIndex]]</f>
        <v>11240</v>
      </c>
      <c r="G261">
        <f>VLOOKUP(AvatarMatResID[[#This Row],[AvatarPart]],AvatarPartID[],2,0)</f>
        <v>1</v>
      </c>
      <c r="H261">
        <f>VLOOKUP(AvatarMatResID[[#This Row],[Sex]],SexID[],2,0)</f>
        <v>1</v>
      </c>
      <c r="I261" t="str">
        <f>AvatarMatResID[[#This Row],[Material]]</f>
        <v>Female Brown Barbarian 01 Pink</v>
      </c>
    </row>
    <row r="262" spans="1:9" x14ac:dyDescent="0.15">
      <c r="A262" t="s">
        <v>454</v>
      </c>
      <c r="B262" t="s">
        <v>1920</v>
      </c>
      <c r="C262" t="s">
        <v>677</v>
      </c>
      <c r="D262">
        <v>241</v>
      </c>
      <c r="F262">
        <f>OUTPUTAvatarMatResID[[#This Row],[AvatarPartID]]*10000+OUTPUTAvatarMatResID[[#This Row],[SexID]]*1000+AvatarMatResID[[#This Row],[CountIndex]]</f>
        <v>11241</v>
      </c>
      <c r="G262">
        <f>VLOOKUP(AvatarMatResID[[#This Row],[AvatarPart]],AvatarPartID[],2,0)</f>
        <v>1</v>
      </c>
      <c r="H262">
        <f>VLOOKUP(AvatarMatResID[[#This Row],[Sex]],SexID[],2,0)</f>
        <v>1</v>
      </c>
      <c r="I262" t="str">
        <f>AvatarMatResID[[#This Row],[Material]]</f>
        <v>Female Brown Barbarian 01 Purple</v>
      </c>
    </row>
    <row r="263" spans="1:9" x14ac:dyDescent="0.15">
      <c r="A263" t="s">
        <v>454</v>
      </c>
      <c r="B263" t="s">
        <v>1920</v>
      </c>
      <c r="C263" t="s">
        <v>678</v>
      </c>
      <c r="D263">
        <v>242</v>
      </c>
      <c r="F263">
        <f>OUTPUTAvatarMatResID[[#This Row],[AvatarPartID]]*10000+OUTPUTAvatarMatResID[[#This Row],[SexID]]*1000+AvatarMatResID[[#This Row],[CountIndex]]</f>
        <v>11242</v>
      </c>
      <c r="G263">
        <f>VLOOKUP(AvatarMatResID[[#This Row],[AvatarPart]],AvatarPartID[],2,0)</f>
        <v>1</v>
      </c>
      <c r="H263">
        <f>VLOOKUP(AvatarMatResID[[#This Row],[Sex]],SexID[],2,0)</f>
        <v>1</v>
      </c>
      <c r="I263" t="str">
        <f>AvatarMatResID[[#This Row],[Material]]</f>
        <v>Female Brown Barbarian 01 Yellow</v>
      </c>
    </row>
    <row r="264" spans="1:9" x14ac:dyDescent="0.15">
      <c r="A264" t="s">
        <v>454</v>
      </c>
      <c r="B264" t="s">
        <v>1920</v>
      </c>
      <c r="C264" t="s">
        <v>679</v>
      </c>
      <c r="D264">
        <v>243</v>
      </c>
      <c r="F264">
        <f>OUTPUTAvatarMatResID[[#This Row],[AvatarPartID]]*10000+OUTPUTAvatarMatResID[[#This Row],[SexID]]*1000+AvatarMatResID[[#This Row],[CountIndex]]</f>
        <v>11243</v>
      </c>
      <c r="G264">
        <f>VLOOKUP(AvatarMatResID[[#This Row],[AvatarPart]],AvatarPartID[],2,0)</f>
        <v>1</v>
      </c>
      <c r="H264">
        <f>VLOOKUP(AvatarMatResID[[#This Row],[Sex]],SexID[],2,0)</f>
        <v>1</v>
      </c>
      <c r="I264" t="str">
        <f>AvatarMatResID[[#This Row],[Material]]</f>
        <v>Female Brown Barbarian 02 Black</v>
      </c>
    </row>
    <row r="265" spans="1:9" x14ac:dyDescent="0.15">
      <c r="A265" t="s">
        <v>454</v>
      </c>
      <c r="B265" t="s">
        <v>1920</v>
      </c>
      <c r="C265" t="s">
        <v>680</v>
      </c>
      <c r="D265">
        <v>244</v>
      </c>
      <c r="F265">
        <f>OUTPUTAvatarMatResID[[#This Row],[AvatarPartID]]*10000+OUTPUTAvatarMatResID[[#This Row],[SexID]]*1000+AvatarMatResID[[#This Row],[CountIndex]]</f>
        <v>11244</v>
      </c>
      <c r="G265">
        <f>VLOOKUP(AvatarMatResID[[#This Row],[AvatarPart]],AvatarPartID[],2,0)</f>
        <v>1</v>
      </c>
      <c r="H265">
        <f>VLOOKUP(AvatarMatResID[[#This Row],[Sex]],SexID[],2,0)</f>
        <v>1</v>
      </c>
      <c r="I265" t="str">
        <f>AvatarMatResID[[#This Row],[Material]]</f>
        <v>Female Brown Barbarian 02 Blue</v>
      </c>
    </row>
    <row r="266" spans="1:9" x14ac:dyDescent="0.15">
      <c r="A266" t="s">
        <v>454</v>
      </c>
      <c r="B266" t="s">
        <v>1920</v>
      </c>
      <c r="C266" t="s">
        <v>681</v>
      </c>
      <c r="D266">
        <v>245</v>
      </c>
      <c r="F266">
        <f>OUTPUTAvatarMatResID[[#This Row],[AvatarPartID]]*10000+OUTPUTAvatarMatResID[[#This Row],[SexID]]*1000+AvatarMatResID[[#This Row],[CountIndex]]</f>
        <v>11245</v>
      </c>
      <c r="G266">
        <f>VLOOKUP(AvatarMatResID[[#This Row],[AvatarPart]],AvatarPartID[],2,0)</f>
        <v>1</v>
      </c>
      <c r="H266">
        <f>VLOOKUP(AvatarMatResID[[#This Row],[Sex]],SexID[],2,0)</f>
        <v>1</v>
      </c>
      <c r="I266" t="str">
        <f>AvatarMatResID[[#This Row],[Material]]</f>
        <v>Female Brown Barbarian 02 Green</v>
      </c>
    </row>
    <row r="267" spans="1:9" x14ac:dyDescent="0.15">
      <c r="A267" t="s">
        <v>454</v>
      </c>
      <c r="B267" t="s">
        <v>1920</v>
      </c>
      <c r="C267" t="s">
        <v>682</v>
      </c>
      <c r="D267">
        <v>246</v>
      </c>
      <c r="F267">
        <f>OUTPUTAvatarMatResID[[#This Row],[AvatarPartID]]*10000+OUTPUTAvatarMatResID[[#This Row],[SexID]]*1000+AvatarMatResID[[#This Row],[CountIndex]]</f>
        <v>11246</v>
      </c>
      <c r="G267">
        <f>VLOOKUP(AvatarMatResID[[#This Row],[AvatarPart]],AvatarPartID[],2,0)</f>
        <v>1</v>
      </c>
      <c r="H267">
        <f>VLOOKUP(AvatarMatResID[[#This Row],[Sex]],SexID[],2,0)</f>
        <v>1</v>
      </c>
      <c r="I267" t="str">
        <f>AvatarMatResID[[#This Row],[Material]]</f>
        <v>Female Brown Barbarian 02 Purple</v>
      </c>
    </row>
    <row r="268" spans="1:9" x14ac:dyDescent="0.15">
      <c r="A268" t="s">
        <v>454</v>
      </c>
      <c r="B268" t="s">
        <v>1920</v>
      </c>
      <c r="C268" t="s">
        <v>683</v>
      </c>
      <c r="D268">
        <v>247</v>
      </c>
      <c r="F268">
        <f>OUTPUTAvatarMatResID[[#This Row],[AvatarPartID]]*10000+OUTPUTAvatarMatResID[[#This Row],[SexID]]*1000+AvatarMatResID[[#This Row],[CountIndex]]</f>
        <v>11247</v>
      </c>
      <c r="G268">
        <f>VLOOKUP(AvatarMatResID[[#This Row],[AvatarPart]],AvatarPartID[],2,0)</f>
        <v>1</v>
      </c>
      <c r="H268">
        <f>VLOOKUP(AvatarMatResID[[#This Row],[Sex]],SexID[],2,0)</f>
        <v>1</v>
      </c>
      <c r="I268" t="str">
        <f>AvatarMatResID[[#This Row],[Material]]</f>
        <v>Female Brown Barbarian 02 Red</v>
      </c>
    </row>
    <row r="269" spans="1:9" x14ac:dyDescent="0.15">
      <c r="A269" t="s">
        <v>454</v>
      </c>
      <c r="B269" t="s">
        <v>1920</v>
      </c>
      <c r="C269" t="s">
        <v>684</v>
      </c>
      <c r="D269">
        <v>248</v>
      </c>
      <c r="F269">
        <f>OUTPUTAvatarMatResID[[#This Row],[AvatarPartID]]*10000+OUTPUTAvatarMatResID[[#This Row],[SexID]]*1000+AvatarMatResID[[#This Row],[CountIndex]]</f>
        <v>11248</v>
      </c>
      <c r="G269">
        <f>VLOOKUP(AvatarMatResID[[#This Row],[AvatarPart]],AvatarPartID[],2,0)</f>
        <v>1</v>
      </c>
      <c r="H269">
        <f>VLOOKUP(AvatarMatResID[[#This Row],[Sex]],SexID[],2,0)</f>
        <v>1</v>
      </c>
      <c r="I269" t="str">
        <f>AvatarMatResID[[#This Row],[Material]]</f>
        <v>Female Brown Barbarian 02 White</v>
      </c>
    </row>
    <row r="270" spans="1:9" x14ac:dyDescent="0.15">
      <c r="A270" t="s">
        <v>454</v>
      </c>
      <c r="B270" t="s">
        <v>1920</v>
      </c>
      <c r="C270" t="s">
        <v>685</v>
      </c>
      <c r="D270">
        <v>249</v>
      </c>
      <c r="F270">
        <f>OUTPUTAvatarMatResID[[#This Row],[AvatarPartID]]*10000+OUTPUTAvatarMatResID[[#This Row],[SexID]]*1000+AvatarMatResID[[#This Row],[CountIndex]]</f>
        <v>11249</v>
      </c>
      <c r="G270">
        <f>VLOOKUP(AvatarMatResID[[#This Row],[AvatarPart]],AvatarPartID[],2,0)</f>
        <v>1</v>
      </c>
      <c r="H270">
        <f>VLOOKUP(AvatarMatResID[[#This Row],[Sex]],SexID[],2,0)</f>
        <v>1</v>
      </c>
      <c r="I270" t="str">
        <f>AvatarMatResID[[#This Row],[Material]]</f>
        <v>Female Brown Barbarian 03 Black</v>
      </c>
    </row>
    <row r="271" spans="1:9" x14ac:dyDescent="0.15">
      <c r="A271" t="s">
        <v>454</v>
      </c>
      <c r="B271" t="s">
        <v>1920</v>
      </c>
      <c r="C271" t="s">
        <v>686</v>
      </c>
      <c r="D271">
        <v>250</v>
      </c>
      <c r="F271">
        <f>OUTPUTAvatarMatResID[[#This Row],[AvatarPartID]]*10000+OUTPUTAvatarMatResID[[#This Row],[SexID]]*1000+AvatarMatResID[[#This Row],[CountIndex]]</f>
        <v>11250</v>
      </c>
      <c r="G271">
        <f>VLOOKUP(AvatarMatResID[[#This Row],[AvatarPart]],AvatarPartID[],2,0)</f>
        <v>1</v>
      </c>
      <c r="H271">
        <f>VLOOKUP(AvatarMatResID[[#This Row],[Sex]],SexID[],2,0)</f>
        <v>1</v>
      </c>
      <c r="I271" t="str">
        <f>AvatarMatResID[[#This Row],[Material]]</f>
        <v>Female Brown Barbarian 03 Blue</v>
      </c>
    </row>
    <row r="272" spans="1:9" x14ac:dyDescent="0.15">
      <c r="A272" t="s">
        <v>454</v>
      </c>
      <c r="B272" t="s">
        <v>1920</v>
      </c>
      <c r="C272" t="s">
        <v>687</v>
      </c>
      <c r="D272">
        <v>251</v>
      </c>
      <c r="F272">
        <f>OUTPUTAvatarMatResID[[#This Row],[AvatarPartID]]*10000+OUTPUTAvatarMatResID[[#This Row],[SexID]]*1000+AvatarMatResID[[#This Row],[CountIndex]]</f>
        <v>11251</v>
      </c>
      <c r="G272">
        <f>VLOOKUP(AvatarMatResID[[#This Row],[AvatarPart]],AvatarPartID[],2,0)</f>
        <v>1</v>
      </c>
      <c r="H272">
        <f>VLOOKUP(AvatarMatResID[[#This Row],[Sex]],SexID[],2,0)</f>
        <v>1</v>
      </c>
      <c r="I272" t="str">
        <f>AvatarMatResID[[#This Row],[Material]]</f>
        <v>Female Brown Barbarian 03 Brown</v>
      </c>
    </row>
    <row r="273" spans="1:9" x14ac:dyDescent="0.15">
      <c r="A273" t="s">
        <v>454</v>
      </c>
      <c r="B273" t="s">
        <v>1920</v>
      </c>
      <c r="C273" t="s">
        <v>688</v>
      </c>
      <c r="D273">
        <v>252</v>
      </c>
      <c r="F273">
        <f>OUTPUTAvatarMatResID[[#This Row],[AvatarPartID]]*10000+OUTPUTAvatarMatResID[[#This Row],[SexID]]*1000+AvatarMatResID[[#This Row],[CountIndex]]</f>
        <v>11252</v>
      </c>
      <c r="G273">
        <f>VLOOKUP(AvatarMatResID[[#This Row],[AvatarPart]],AvatarPartID[],2,0)</f>
        <v>1</v>
      </c>
      <c r="H273">
        <f>VLOOKUP(AvatarMatResID[[#This Row],[Sex]],SexID[],2,0)</f>
        <v>1</v>
      </c>
      <c r="I273" t="str">
        <f>AvatarMatResID[[#This Row],[Material]]</f>
        <v>Female Brown Barbarian 03 Green</v>
      </c>
    </row>
    <row r="274" spans="1:9" x14ac:dyDescent="0.15">
      <c r="A274" t="s">
        <v>454</v>
      </c>
      <c r="B274" t="s">
        <v>1920</v>
      </c>
      <c r="C274" t="s">
        <v>689</v>
      </c>
      <c r="D274">
        <v>253</v>
      </c>
      <c r="F274">
        <f>OUTPUTAvatarMatResID[[#This Row],[AvatarPartID]]*10000+OUTPUTAvatarMatResID[[#This Row],[SexID]]*1000+AvatarMatResID[[#This Row],[CountIndex]]</f>
        <v>11253</v>
      </c>
      <c r="G274">
        <f>VLOOKUP(AvatarMatResID[[#This Row],[AvatarPart]],AvatarPartID[],2,0)</f>
        <v>1</v>
      </c>
      <c r="H274">
        <f>VLOOKUP(AvatarMatResID[[#This Row],[Sex]],SexID[],2,0)</f>
        <v>1</v>
      </c>
      <c r="I274" t="str">
        <f>AvatarMatResID[[#This Row],[Material]]</f>
        <v>Female Brown Barbarian 03 Magenta</v>
      </c>
    </row>
    <row r="275" spans="1:9" x14ac:dyDescent="0.15">
      <c r="A275" t="s">
        <v>454</v>
      </c>
      <c r="B275" t="s">
        <v>1920</v>
      </c>
      <c r="C275" t="s">
        <v>690</v>
      </c>
      <c r="D275">
        <v>254</v>
      </c>
      <c r="F275">
        <f>OUTPUTAvatarMatResID[[#This Row],[AvatarPartID]]*10000+OUTPUTAvatarMatResID[[#This Row],[SexID]]*1000+AvatarMatResID[[#This Row],[CountIndex]]</f>
        <v>11254</v>
      </c>
      <c r="G275">
        <f>VLOOKUP(AvatarMatResID[[#This Row],[AvatarPart]],AvatarPartID[],2,0)</f>
        <v>1</v>
      </c>
      <c r="H275">
        <f>VLOOKUP(AvatarMatResID[[#This Row],[Sex]],SexID[],2,0)</f>
        <v>1</v>
      </c>
      <c r="I275" t="str">
        <f>AvatarMatResID[[#This Row],[Material]]</f>
        <v>Female Brown Barbarian 03 Purple</v>
      </c>
    </row>
    <row r="276" spans="1:9" x14ac:dyDescent="0.15">
      <c r="A276" t="s">
        <v>454</v>
      </c>
      <c r="B276" t="s">
        <v>1920</v>
      </c>
      <c r="C276" t="s">
        <v>691</v>
      </c>
      <c r="D276">
        <v>255</v>
      </c>
      <c r="F276">
        <f>OUTPUTAvatarMatResID[[#This Row],[AvatarPartID]]*10000+OUTPUTAvatarMatResID[[#This Row],[SexID]]*1000+AvatarMatResID[[#This Row],[CountIndex]]</f>
        <v>11255</v>
      </c>
      <c r="G276">
        <f>VLOOKUP(AvatarMatResID[[#This Row],[AvatarPart]],AvatarPartID[],2,0)</f>
        <v>1</v>
      </c>
      <c r="H276">
        <f>VLOOKUP(AvatarMatResID[[#This Row],[Sex]],SexID[],2,0)</f>
        <v>1</v>
      </c>
      <c r="I276" t="str">
        <f>AvatarMatResID[[#This Row],[Material]]</f>
        <v>Female Brown Barbarian 03 Red</v>
      </c>
    </row>
    <row r="277" spans="1:9" x14ac:dyDescent="0.15">
      <c r="A277" t="s">
        <v>454</v>
      </c>
      <c r="B277" t="s">
        <v>1920</v>
      </c>
      <c r="C277" t="s">
        <v>692</v>
      </c>
      <c r="D277">
        <v>256</v>
      </c>
      <c r="F277">
        <f>OUTPUTAvatarMatResID[[#This Row],[AvatarPartID]]*10000+OUTPUTAvatarMatResID[[#This Row],[SexID]]*1000+AvatarMatResID[[#This Row],[CountIndex]]</f>
        <v>11256</v>
      </c>
      <c r="G277">
        <f>VLOOKUP(AvatarMatResID[[#This Row],[AvatarPart]],AvatarPartID[],2,0)</f>
        <v>1</v>
      </c>
      <c r="H277">
        <f>VLOOKUP(AvatarMatResID[[#This Row],[Sex]],SexID[],2,0)</f>
        <v>1</v>
      </c>
      <c r="I277" t="str">
        <f>AvatarMatResID[[#This Row],[Material]]</f>
        <v>Female Brown Barbarian 03 White</v>
      </c>
    </row>
    <row r="278" spans="1:9" x14ac:dyDescent="0.15">
      <c r="A278" t="s">
        <v>454</v>
      </c>
      <c r="B278" t="s">
        <v>1920</v>
      </c>
      <c r="C278" t="s">
        <v>693</v>
      </c>
      <c r="D278">
        <v>257</v>
      </c>
      <c r="F278">
        <f>OUTPUTAvatarMatResID[[#This Row],[AvatarPartID]]*10000+OUTPUTAvatarMatResID[[#This Row],[SexID]]*1000+AvatarMatResID[[#This Row],[CountIndex]]</f>
        <v>11257</v>
      </c>
      <c r="G278">
        <f>VLOOKUP(AvatarMatResID[[#This Row],[AvatarPart]],AvatarPartID[],2,0)</f>
        <v>1</v>
      </c>
      <c r="H278">
        <f>VLOOKUP(AvatarMatResID[[#This Row],[Sex]],SexID[],2,0)</f>
        <v>1</v>
      </c>
      <c r="I278" t="str">
        <f>AvatarMatResID[[#This Row],[Material]]</f>
        <v>Female Brown Barbarian 04 Black</v>
      </c>
    </row>
    <row r="279" spans="1:9" x14ac:dyDescent="0.15">
      <c r="A279" t="s">
        <v>454</v>
      </c>
      <c r="B279" t="s">
        <v>1920</v>
      </c>
      <c r="C279" t="s">
        <v>694</v>
      </c>
      <c r="D279">
        <v>258</v>
      </c>
      <c r="F279">
        <f>OUTPUTAvatarMatResID[[#This Row],[AvatarPartID]]*10000+OUTPUTAvatarMatResID[[#This Row],[SexID]]*1000+AvatarMatResID[[#This Row],[CountIndex]]</f>
        <v>11258</v>
      </c>
      <c r="G279">
        <f>VLOOKUP(AvatarMatResID[[#This Row],[AvatarPart]],AvatarPartID[],2,0)</f>
        <v>1</v>
      </c>
      <c r="H279">
        <f>VLOOKUP(AvatarMatResID[[#This Row],[Sex]],SexID[],2,0)</f>
        <v>1</v>
      </c>
      <c r="I279" t="str">
        <f>AvatarMatResID[[#This Row],[Material]]</f>
        <v>Female Brown Barbarian 04 Blue</v>
      </c>
    </row>
    <row r="280" spans="1:9" x14ac:dyDescent="0.15">
      <c r="A280" t="s">
        <v>454</v>
      </c>
      <c r="B280" t="s">
        <v>1920</v>
      </c>
      <c r="C280" t="s">
        <v>695</v>
      </c>
      <c r="D280">
        <v>259</v>
      </c>
      <c r="F280">
        <f>OUTPUTAvatarMatResID[[#This Row],[AvatarPartID]]*10000+OUTPUTAvatarMatResID[[#This Row],[SexID]]*1000+AvatarMatResID[[#This Row],[CountIndex]]</f>
        <v>11259</v>
      </c>
      <c r="G280">
        <f>VLOOKUP(AvatarMatResID[[#This Row],[AvatarPart]],AvatarPartID[],2,0)</f>
        <v>1</v>
      </c>
      <c r="H280">
        <f>VLOOKUP(AvatarMatResID[[#This Row],[Sex]],SexID[],2,0)</f>
        <v>1</v>
      </c>
      <c r="I280" t="str">
        <f>AvatarMatResID[[#This Row],[Material]]</f>
        <v>Female Brown Barbarian 04 Green</v>
      </c>
    </row>
    <row r="281" spans="1:9" x14ac:dyDescent="0.15">
      <c r="A281" t="s">
        <v>454</v>
      </c>
      <c r="B281" t="s">
        <v>1920</v>
      </c>
      <c r="C281" t="s">
        <v>696</v>
      </c>
      <c r="D281">
        <v>260</v>
      </c>
      <c r="F281">
        <f>OUTPUTAvatarMatResID[[#This Row],[AvatarPartID]]*10000+OUTPUTAvatarMatResID[[#This Row],[SexID]]*1000+AvatarMatResID[[#This Row],[CountIndex]]</f>
        <v>11260</v>
      </c>
      <c r="G281">
        <f>VLOOKUP(AvatarMatResID[[#This Row],[AvatarPart]],AvatarPartID[],2,0)</f>
        <v>1</v>
      </c>
      <c r="H281">
        <f>VLOOKUP(AvatarMatResID[[#This Row],[Sex]],SexID[],2,0)</f>
        <v>1</v>
      </c>
      <c r="I281" t="str">
        <f>AvatarMatResID[[#This Row],[Material]]</f>
        <v>Female Brown Barbarian 04 Magenta</v>
      </c>
    </row>
    <row r="282" spans="1:9" x14ac:dyDescent="0.15">
      <c r="A282" t="s">
        <v>454</v>
      </c>
      <c r="B282" t="s">
        <v>1920</v>
      </c>
      <c r="C282" t="s">
        <v>697</v>
      </c>
      <c r="D282">
        <v>261</v>
      </c>
      <c r="F282">
        <f>OUTPUTAvatarMatResID[[#This Row],[AvatarPartID]]*10000+OUTPUTAvatarMatResID[[#This Row],[SexID]]*1000+AvatarMatResID[[#This Row],[CountIndex]]</f>
        <v>11261</v>
      </c>
      <c r="G282">
        <f>VLOOKUP(AvatarMatResID[[#This Row],[AvatarPart]],AvatarPartID[],2,0)</f>
        <v>1</v>
      </c>
      <c r="H282">
        <f>VLOOKUP(AvatarMatResID[[#This Row],[Sex]],SexID[],2,0)</f>
        <v>1</v>
      </c>
      <c r="I282" t="str">
        <f>AvatarMatResID[[#This Row],[Material]]</f>
        <v>Female Brown Barbarian 04 Purple</v>
      </c>
    </row>
    <row r="283" spans="1:9" x14ac:dyDescent="0.15">
      <c r="A283" t="s">
        <v>454</v>
      </c>
      <c r="B283" t="s">
        <v>1920</v>
      </c>
      <c r="C283" t="s">
        <v>698</v>
      </c>
      <c r="D283">
        <v>262</v>
      </c>
      <c r="F283">
        <f>OUTPUTAvatarMatResID[[#This Row],[AvatarPartID]]*10000+OUTPUTAvatarMatResID[[#This Row],[SexID]]*1000+AvatarMatResID[[#This Row],[CountIndex]]</f>
        <v>11262</v>
      </c>
      <c r="G283">
        <f>VLOOKUP(AvatarMatResID[[#This Row],[AvatarPart]],AvatarPartID[],2,0)</f>
        <v>1</v>
      </c>
      <c r="H283">
        <f>VLOOKUP(AvatarMatResID[[#This Row],[Sex]],SexID[],2,0)</f>
        <v>1</v>
      </c>
      <c r="I283" t="str">
        <f>AvatarMatResID[[#This Row],[Material]]</f>
        <v>Female Brown Barbarian 04 Red</v>
      </c>
    </row>
    <row r="284" spans="1:9" x14ac:dyDescent="0.15">
      <c r="A284" t="s">
        <v>454</v>
      </c>
      <c r="B284" t="s">
        <v>1920</v>
      </c>
      <c r="C284" t="s">
        <v>699</v>
      </c>
      <c r="D284">
        <v>263</v>
      </c>
      <c r="F284">
        <f>OUTPUTAvatarMatResID[[#This Row],[AvatarPartID]]*10000+OUTPUTAvatarMatResID[[#This Row],[SexID]]*1000+AvatarMatResID[[#This Row],[CountIndex]]</f>
        <v>11263</v>
      </c>
      <c r="G284">
        <f>VLOOKUP(AvatarMatResID[[#This Row],[AvatarPart]],AvatarPartID[],2,0)</f>
        <v>1</v>
      </c>
      <c r="H284">
        <f>VLOOKUP(AvatarMatResID[[#This Row],[Sex]],SexID[],2,0)</f>
        <v>1</v>
      </c>
      <c r="I284" t="str">
        <f>AvatarMatResID[[#This Row],[Material]]</f>
        <v>Female Brown Barbarian 04 White</v>
      </c>
    </row>
    <row r="285" spans="1:9" x14ac:dyDescent="0.15">
      <c r="A285" t="s">
        <v>454</v>
      </c>
      <c r="B285" t="s">
        <v>1920</v>
      </c>
      <c r="C285" t="s">
        <v>700</v>
      </c>
      <c r="D285">
        <v>264</v>
      </c>
      <c r="F285">
        <f>OUTPUTAvatarMatResID[[#This Row],[AvatarPartID]]*10000+OUTPUTAvatarMatResID[[#This Row],[SexID]]*1000+AvatarMatResID[[#This Row],[CountIndex]]</f>
        <v>11264</v>
      </c>
      <c r="G285">
        <f>VLOOKUP(AvatarMatResID[[#This Row],[AvatarPart]],AvatarPartID[],2,0)</f>
        <v>1</v>
      </c>
      <c r="H285">
        <f>VLOOKUP(AvatarMatResID[[#This Row],[Sex]],SexID[],2,0)</f>
        <v>1</v>
      </c>
      <c r="I285" t="str">
        <f>AvatarMatResID[[#This Row],[Material]]</f>
        <v>Female Brown Barbarian 04 Yellow</v>
      </c>
    </row>
    <row r="286" spans="1:9" x14ac:dyDescent="0.15">
      <c r="A286" t="s">
        <v>454</v>
      </c>
      <c r="B286" t="s">
        <v>1920</v>
      </c>
      <c r="C286" t="s">
        <v>701</v>
      </c>
      <c r="D286">
        <v>265</v>
      </c>
      <c r="F286">
        <f>OUTPUTAvatarMatResID[[#This Row],[AvatarPartID]]*10000+OUTPUTAvatarMatResID[[#This Row],[SexID]]*1000+AvatarMatResID[[#This Row],[CountIndex]]</f>
        <v>11265</v>
      </c>
      <c r="G286">
        <f>VLOOKUP(AvatarMatResID[[#This Row],[AvatarPart]],AvatarPartID[],2,0)</f>
        <v>1</v>
      </c>
      <c r="H286">
        <f>VLOOKUP(AvatarMatResID[[#This Row],[Sex]],SexID[],2,0)</f>
        <v>1</v>
      </c>
      <c r="I286" t="str">
        <f>AvatarMatResID[[#This Row],[Material]]</f>
        <v>Female Brown Barbarian 05 Black</v>
      </c>
    </row>
    <row r="287" spans="1:9" x14ac:dyDescent="0.15">
      <c r="A287" t="s">
        <v>454</v>
      </c>
      <c r="B287" t="s">
        <v>1920</v>
      </c>
      <c r="C287" t="s">
        <v>702</v>
      </c>
      <c r="D287">
        <v>266</v>
      </c>
      <c r="F287">
        <f>OUTPUTAvatarMatResID[[#This Row],[AvatarPartID]]*10000+OUTPUTAvatarMatResID[[#This Row],[SexID]]*1000+AvatarMatResID[[#This Row],[CountIndex]]</f>
        <v>11266</v>
      </c>
      <c r="G287">
        <f>VLOOKUP(AvatarMatResID[[#This Row],[AvatarPart]],AvatarPartID[],2,0)</f>
        <v>1</v>
      </c>
      <c r="H287">
        <f>VLOOKUP(AvatarMatResID[[#This Row],[Sex]],SexID[],2,0)</f>
        <v>1</v>
      </c>
      <c r="I287" t="str">
        <f>AvatarMatResID[[#This Row],[Material]]</f>
        <v>Female Brown Barbarian 05 Blue</v>
      </c>
    </row>
    <row r="288" spans="1:9" x14ac:dyDescent="0.15">
      <c r="A288" t="s">
        <v>454</v>
      </c>
      <c r="B288" t="s">
        <v>1920</v>
      </c>
      <c r="C288" t="s">
        <v>703</v>
      </c>
      <c r="D288">
        <v>267</v>
      </c>
      <c r="F288">
        <f>OUTPUTAvatarMatResID[[#This Row],[AvatarPartID]]*10000+OUTPUTAvatarMatResID[[#This Row],[SexID]]*1000+AvatarMatResID[[#This Row],[CountIndex]]</f>
        <v>11267</v>
      </c>
      <c r="G288">
        <f>VLOOKUP(AvatarMatResID[[#This Row],[AvatarPart]],AvatarPartID[],2,0)</f>
        <v>1</v>
      </c>
      <c r="H288">
        <f>VLOOKUP(AvatarMatResID[[#This Row],[Sex]],SexID[],2,0)</f>
        <v>1</v>
      </c>
      <c r="I288" t="str">
        <f>AvatarMatResID[[#This Row],[Material]]</f>
        <v>Female Brown Barbarian 05 Green</v>
      </c>
    </row>
    <row r="289" spans="1:9" x14ac:dyDescent="0.15">
      <c r="A289" t="s">
        <v>454</v>
      </c>
      <c r="B289" t="s">
        <v>1920</v>
      </c>
      <c r="C289" t="s">
        <v>704</v>
      </c>
      <c r="D289">
        <v>268</v>
      </c>
      <c r="F289">
        <f>OUTPUTAvatarMatResID[[#This Row],[AvatarPartID]]*10000+OUTPUTAvatarMatResID[[#This Row],[SexID]]*1000+AvatarMatResID[[#This Row],[CountIndex]]</f>
        <v>11268</v>
      </c>
      <c r="G289">
        <f>VLOOKUP(AvatarMatResID[[#This Row],[AvatarPart]],AvatarPartID[],2,0)</f>
        <v>1</v>
      </c>
      <c r="H289">
        <f>VLOOKUP(AvatarMatResID[[#This Row],[Sex]],SexID[],2,0)</f>
        <v>1</v>
      </c>
      <c r="I289" t="str">
        <f>AvatarMatResID[[#This Row],[Material]]</f>
        <v>Female Brown Barbarian 05 Magenta</v>
      </c>
    </row>
    <row r="290" spans="1:9" x14ac:dyDescent="0.15">
      <c r="A290" t="s">
        <v>454</v>
      </c>
      <c r="B290" t="s">
        <v>1920</v>
      </c>
      <c r="C290" t="s">
        <v>705</v>
      </c>
      <c r="D290">
        <v>269</v>
      </c>
      <c r="F290">
        <f>OUTPUTAvatarMatResID[[#This Row],[AvatarPartID]]*10000+OUTPUTAvatarMatResID[[#This Row],[SexID]]*1000+AvatarMatResID[[#This Row],[CountIndex]]</f>
        <v>11269</v>
      </c>
      <c r="G290">
        <f>VLOOKUP(AvatarMatResID[[#This Row],[AvatarPart]],AvatarPartID[],2,0)</f>
        <v>1</v>
      </c>
      <c r="H290">
        <f>VLOOKUP(AvatarMatResID[[#This Row],[Sex]],SexID[],2,0)</f>
        <v>1</v>
      </c>
      <c r="I290" t="str">
        <f>AvatarMatResID[[#This Row],[Material]]</f>
        <v>Female Brown Barbarian 05 Purple</v>
      </c>
    </row>
    <row r="291" spans="1:9" x14ac:dyDescent="0.15">
      <c r="A291" t="s">
        <v>454</v>
      </c>
      <c r="B291" t="s">
        <v>1920</v>
      </c>
      <c r="C291" t="s">
        <v>706</v>
      </c>
      <c r="D291">
        <v>270</v>
      </c>
      <c r="F291">
        <f>OUTPUTAvatarMatResID[[#This Row],[AvatarPartID]]*10000+OUTPUTAvatarMatResID[[#This Row],[SexID]]*1000+AvatarMatResID[[#This Row],[CountIndex]]</f>
        <v>11270</v>
      </c>
      <c r="G291">
        <f>VLOOKUP(AvatarMatResID[[#This Row],[AvatarPart]],AvatarPartID[],2,0)</f>
        <v>1</v>
      </c>
      <c r="H291">
        <f>VLOOKUP(AvatarMatResID[[#This Row],[Sex]],SexID[],2,0)</f>
        <v>1</v>
      </c>
      <c r="I291" t="str">
        <f>AvatarMatResID[[#This Row],[Material]]</f>
        <v>Female Brown Barbarian 05 Red</v>
      </c>
    </row>
    <row r="292" spans="1:9" x14ac:dyDescent="0.15">
      <c r="A292" t="s">
        <v>454</v>
      </c>
      <c r="B292" t="s">
        <v>1920</v>
      </c>
      <c r="C292" t="s">
        <v>707</v>
      </c>
      <c r="D292">
        <v>271</v>
      </c>
      <c r="F292">
        <f>OUTPUTAvatarMatResID[[#This Row],[AvatarPartID]]*10000+OUTPUTAvatarMatResID[[#This Row],[SexID]]*1000+AvatarMatResID[[#This Row],[CountIndex]]</f>
        <v>11271</v>
      </c>
      <c r="G292">
        <f>VLOOKUP(AvatarMatResID[[#This Row],[AvatarPart]],AvatarPartID[],2,0)</f>
        <v>1</v>
      </c>
      <c r="H292">
        <f>VLOOKUP(AvatarMatResID[[#This Row],[Sex]],SexID[],2,0)</f>
        <v>1</v>
      </c>
      <c r="I292" t="str">
        <f>AvatarMatResID[[#This Row],[Material]]</f>
        <v>Female Brown Barbarian 05 White</v>
      </c>
    </row>
    <row r="293" spans="1:9" x14ac:dyDescent="0.15">
      <c r="A293" t="s">
        <v>454</v>
      </c>
      <c r="B293" t="s">
        <v>1920</v>
      </c>
      <c r="C293" t="s">
        <v>708</v>
      </c>
      <c r="D293">
        <v>272</v>
      </c>
      <c r="F293">
        <f>OUTPUTAvatarMatResID[[#This Row],[AvatarPartID]]*10000+OUTPUTAvatarMatResID[[#This Row],[SexID]]*1000+AvatarMatResID[[#This Row],[CountIndex]]</f>
        <v>11272</v>
      </c>
      <c r="G293">
        <f>VLOOKUP(AvatarMatResID[[#This Row],[AvatarPart]],AvatarPartID[],2,0)</f>
        <v>1</v>
      </c>
      <c r="H293">
        <f>VLOOKUP(AvatarMatResID[[#This Row],[Sex]],SexID[],2,0)</f>
        <v>1</v>
      </c>
      <c r="I293" t="str">
        <f>AvatarMatResID[[#This Row],[Material]]</f>
        <v>Female Brown Barbarian 05 Yellow</v>
      </c>
    </row>
    <row r="294" spans="1:9" x14ac:dyDescent="0.15">
      <c r="A294" t="s">
        <v>454</v>
      </c>
      <c r="B294" t="s">
        <v>1920</v>
      </c>
      <c r="C294" t="s">
        <v>709</v>
      </c>
      <c r="D294">
        <v>273</v>
      </c>
      <c r="F294">
        <f>OUTPUTAvatarMatResID[[#This Row],[AvatarPartID]]*10000+OUTPUTAvatarMatResID[[#This Row],[SexID]]*1000+AvatarMatResID[[#This Row],[CountIndex]]</f>
        <v>11273</v>
      </c>
      <c r="G294">
        <f>VLOOKUP(AvatarMatResID[[#This Row],[AvatarPart]],AvatarPartID[],2,0)</f>
        <v>1</v>
      </c>
      <c r="H294">
        <f>VLOOKUP(AvatarMatResID[[#This Row],[Sex]],SexID[],2,0)</f>
        <v>1</v>
      </c>
      <c r="I294" t="str">
        <f>AvatarMatResID[[#This Row],[Material]]</f>
        <v>Female Brown Casual 01A</v>
      </c>
    </row>
    <row r="295" spans="1:9" x14ac:dyDescent="0.15">
      <c r="A295" t="s">
        <v>454</v>
      </c>
      <c r="B295" t="s">
        <v>1920</v>
      </c>
      <c r="C295" t="s">
        <v>710</v>
      </c>
      <c r="D295">
        <v>274</v>
      </c>
      <c r="F295">
        <f>OUTPUTAvatarMatResID[[#This Row],[AvatarPartID]]*10000+OUTPUTAvatarMatResID[[#This Row],[SexID]]*1000+AvatarMatResID[[#This Row],[CountIndex]]</f>
        <v>11274</v>
      </c>
      <c r="G295">
        <f>VLOOKUP(AvatarMatResID[[#This Row],[AvatarPart]],AvatarPartID[],2,0)</f>
        <v>1</v>
      </c>
      <c r="H295">
        <f>VLOOKUP(AvatarMatResID[[#This Row],[Sex]],SexID[],2,0)</f>
        <v>1</v>
      </c>
      <c r="I295" t="str">
        <f>AvatarMatResID[[#This Row],[Material]]</f>
        <v>Female Brown Casual 01B</v>
      </c>
    </row>
    <row r="296" spans="1:9" x14ac:dyDescent="0.15">
      <c r="A296" t="s">
        <v>454</v>
      </c>
      <c r="B296" t="s">
        <v>1920</v>
      </c>
      <c r="C296" t="s">
        <v>711</v>
      </c>
      <c r="D296">
        <v>275</v>
      </c>
      <c r="F296">
        <f>OUTPUTAvatarMatResID[[#This Row],[AvatarPartID]]*10000+OUTPUTAvatarMatResID[[#This Row],[SexID]]*1000+AvatarMatResID[[#This Row],[CountIndex]]</f>
        <v>11275</v>
      </c>
      <c r="G296">
        <f>VLOOKUP(AvatarMatResID[[#This Row],[AvatarPart]],AvatarPartID[],2,0)</f>
        <v>1</v>
      </c>
      <c r="H296">
        <f>VLOOKUP(AvatarMatResID[[#This Row],[Sex]],SexID[],2,0)</f>
        <v>1</v>
      </c>
      <c r="I296" t="str">
        <f>AvatarMatResID[[#This Row],[Material]]</f>
        <v>Female Brown Casual 01C</v>
      </c>
    </row>
    <row r="297" spans="1:9" x14ac:dyDescent="0.15">
      <c r="A297" t="s">
        <v>454</v>
      </c>
      <c r="B297" t="s">
        <v>1920</v>
      </c>
      <c r="C297" t="s">
        <v>712</v>
      </c>
      <c r="D297">
        <v>276</v>
      </c>
      <c r="F297">
        <f>OUTPUTAvatarMatResID[[#This Row],[AvatarPartID]]*10000+OUTPUTAvatarMatResID[[#This Row],[SexID]]*1000+AvatarMatResID[[#This Row],[CountIndex]]</f>
        <v>11276</v>
      </c>
      <c r="G297">
        <f>VLOOKUP(AvatarMatResID[[#This Row],[AvatarPart]],AvatarPartID[],2,0)</f>
        <v>1</v>
      </c>
      <c r="H297">
        <f>VLOOKUP(AvatarMatResID[[#This Row],[Sex]],SexID[],2,0)</f>
        <v>1</v>
      </c>
      <c r="I297" t="str">
        <f>AvatarMatResID[[#This Row],[Material]]</f>
        <v>Female Brown Casual 02A</v>
      </c>
    </row>
    <row r="298" spans="1:9" x14ac:dyDescent="0.15">
      <c r="A298" t="s">
        <v>454</v>
      </c>
      <c r="B298" t="s">
        <v>1920</v>
      </c>
      <c r="C298" t="s">
        <v>713</v>
      </c>
      <c r="D298">
        <v>277</v>
      </c>
      <c r="F298">
        <f>OUTPUTAvatarMatResID[[#This Row],[AvatarPartID]]*10000+OUTPUTAvatarMatResID[[#This Row],[SexID]]*1000+AvatarMatResID[[#This Row],[CountIndex]]</f>
        <v>11277</v>
      </c>
      <c r="G298">
        <f>VLOOKUP(AvatarMatResID[[#This Row],[AvatarPart]],AvatarPartID[],2,0)</f>
        <v>1</v>
      </c>
      <c r="H298">
        <f>VLOOKUP(AvatarMatResID[[#This Row],[Sex]],SexID[],2,0)</f>
        <v>1</v>
      </c>
      <c r="I298" t="str">
        <f>AvatarMatResID[[#This Row],[Material]]</f>
        <v>Female Brown Casual 02B</v>
      </c>
    </row>
    <row r="299" spans="1:9" x14ac:dyDescent="0.15">
      <c r="A299" t="s">
        <v>454</v>
      </c>
      <c r="B299" t="s">
        <v>1920</v>
      </c>
      <c r="C299" t="s">
        <v>714</v>
      </c>
      <c r="D299">
        <v>278</v>
      </c>
      <c r="F299">
        <f>OUTPUTAvatarMatResID[[#This Row],[AvatarPartID]]*10000+OUTPUTAvatarMatResID[[#This Row],[SexID]]*1000+AvatarMatResID[[#This Row],[CountIndex]]</f>
        <v>11278</v>
      </c>
      <c r="G299">
        <f>VLOOKUP(AvatarMatResID[[#This Row],[AvatarPart]],AvatarPartID[],2,0)</f>
        <v>1</v>
      </c>
      <c r="H299">
        <f>VLOOKUP(AvatarMatResID[[#This Row],[Sex]],SexID[],2,0)</f>
        <v>1</v>
      </c>
      <c r="I299" t="str">
        <f>AvatarMatResID[[#This Row],[Material]]</f>
        <v>Female Brown Casual 02C</v>
      </c>
    </row>
    <row r="300" spans="1:9" x14ac:dyDescent="0.15">
      <c r="A300" t="s">
        <v>454</v>
      </c>
      <c r="B300" t="s">
        <v>1920</v>
      </c>
      <c r="C300" t="s">
        <v>715</v>
      </c>
      <c r="D300">
        <v>279</v>
      </c>
      <c r="F300">
        <f>OUTPUTAvatarMatResID[[#This Row],[AvatarPartID]]*10000+OUTPUTAvatarMatResID[[#This Row],[SexID]]*1000+AvatarMatResID[[#This Row],[CountIndex]]</f>
        <v>11279</v>
      </c>
      <c r="G300">
        <f>VLOOKUP(AvatarMatResID[[#This Row],[AvatarPart]],AvatarPartID[],2,0)</f>
        <v>1</v>
      </c>
      <c r="H300">
        <f>VLOOKUP(AvatarMatResID[[#This Row],[Sex]],SexID[],2,0)</f>
        <v>1</v>
      </c>
      <c r="I300" t="str">
        <f>AvatarMatResID[[#This Row],[Material]]</f>
        <v>Female Brown Casual 03A</v>
      </c>
    </row>
    <row r="301" spans="1:9" x14ac:dyDescent="0.15">
      <c r="A301" t="s">
        <v>454</v>
      </c>
      <c r="B301" t="s">
        <v>1920</v>
      </c>
      <c r="C301" t="s">
        <v>716</v>
      </c>
      <c r="D301">
        <v>280</v>
      </c>
      <c r="F301">
        <f>OUTPUTAvatarMatResID[[#This Row],[AvatarPartID]]*10000+OUTPUTAvatarMatResID[[#This Row],[SexID]]*1000+AvatarMatResID[[#This Row],[CountIndex]]</f>
        <v>11280</v>
      </c>
      <c r="G301">
        <f>VLOOKUP(AvatarMatResID[[#This Row],[AvatarPart]],AvatarPartID[],2,0)</f>
        <v>1</v>
      </c>
      <c r="H301">
        <f>VLOOKUP(AvatarMatResID[[#This Row],[Sex]],SexID[],2,0)</f>
        <v>1</v>
      </c>
      <c r="I301" t="str">
        <f>AvatarMatResID[[#This Row],[Material]]</f>
        <v>Female Brown Casual 03B</v>
      </c>
    </row>
    <row r="302" spans="1:9" x14ac:dyDescent="0.15">
      <c r="A302" t="s">
        <v>454</v>
      </c>
      <c r="B302" t="s">
        <v>1920</v>
      </c>
      <c r="C302" t="s">
        <v>717</v>
      </c>
      <c r="D302">
        <v>281</v>
      </c>
      <c r="F302">
        <f>OUTPUTAvatarMatResID[[#This Row],[AvatarPartID]]*10000+OUTPUTAvatarMatResID[[#This Row],[SexID]]*1000+AvatarMatResID[[#This Row],[CountIndex]]</f>
        <v>11281</v>
      </c>
      <c r="G302">
        <f>VLOOKUP(AvatarMatResID[[#This Row],[AvatarPart]],AvatarPartID[],2,0)</f>
        <v>1</v>
      </c>
      <c r="H302">
        <f>VLOOKUP(AvatarMatResID[[#This Row],[Sex]],SexID[],2,0)</f>
        <v>1</v>
      </c>
      <c r="I302" t="str">
        <f>AvatarMatResID[[#This Row],[Material]]</f>
        <v>Female Brown Casual 03C</v>
      </c>
    </row>
    <row r="303" spans="1:9" x14ac:dyDescent="0.15">
      <c r="A303" t="s">
        <v>454</v>
      </c>
      <c r="B303" t="s">
        <v>1920</v>
      </c>
      <c r="C303" t="s">
        <v>718</v>
      </c>
      <c r="D303">
        <v>282</v>
      </c>
      <c r="F303">
        <f>OUTPUTAvatarMatResID[[#This Row],[AvatarPartID]]*10000+OUTPUTAvatarMatResID[[#This Row],[SexID]]*1000+AvatarMatResID[[#This Row],[CountIndex]]</f>
        <v>11282</v>
      </c>
      <c r="G303">
        <f>VLOOKUP(AvatarMatResID[[#This Row],[AvatarPart]],AvatarPartID[],2,0)</f>
        <v>1</v>
      </c>
      <c r="H303">
        <f>VLOOKUP(AvatarMatResID[[#This Row],[Sex]],SexID[],2,0)</f>
        <v>1</v>
      </c>
      <c r="I303" t="str">
        <f>AvatarMatResID[[#This Row],[Material]]</f>
        <v>Female Brown Casual 04A</v>
      </c>
    </row>
    <row r="304" spans="1:9" x14ac:dyDescent="0.15">
      <c r="A304" t="s">
        <v>454</v>
      </c>
      <c r="B304" t="s">
        <v>1920</v>
      </c>
      <c r="C304" t="s">
        <v>719</v>
      </c>
      <c r="D304">
        <v>283</v>
      </c>
      <c r="F304">
        <f>OUTPUTAvatarMatResID[[#This Row],[AvatarPartID]]*10000+OUTPUTAvatarMatResID[[#This Row],[SexID]]*1000+AvatarMatResID[[#This Row],[CountIndex]]</f>
        <v>11283</v>
      </c>
      <c r="G304">
        <f>VLOOKUP(AvatarMatResID[[#This Row],[AvatarPart]],AvatarPartID[],2,0)</f>
        <v>1</v>
      </c>
      <c r="H304">
        <f>VLOOKUP(AvatarMatResID[[#This Row],[Sex]],SexID[],2,0)</f>
        <v>1</v>
      </c>
      <c r="I304" t="str">
        <f>AvatarMatResID[[#This Row],[Material]]</f>
        <v>Female Brown Casual 04B</v>
      </c>
    </row>
    <row r="305" spans="1:9" x14ac:dyDescent="0.15">
      <c r="A305" t="s">
        <v>454</v>
      </c>
      <c r="B305" t="s">
        <v>1920</v>
      </c>
      <c r="C305" t="s">
        <v>720</v>
      </c>
      <c r="D305">
        <v>284</v>
      </c>
      <c r="F305">
        <f>OUTPUTAvatarMatResID[[#This Row],[AvatarPartID]]*10000+OUTPUTAvatarMatResID[[#This Row],[SexID]]*1000+AvatarMatResID[[#This Row],[CountIndex]]</f>
        <v>11284</v>
      </c>
      <c r="G305">
        <f>VLOOKUP(AvatarMatResID[[#This Row],[AvatarPart]],AvatarPartID[],2,0)</f>
        <v>1</v>
      </c>
      <c r="H305">
        <f>VLOOKUP(AvatarMatResID[[#This Row],[Sex]],SexID[],2,0)</f>
        <v>1</v>
      </c>
      <c r="I305" t="str">
        <f>AvatarMatResID[[#This Row],[Material]]</f>
        <v>Female Brown Casual 04C</v>
      </c>
    </row>
    <row r="306" spans="1:9" x14ac:dyDescent="0.15">
      <c r="A306" t="s">
        <v>454</v>
      </c>
      <c r="B306" t="s">
        <v>1920</v>
      </c>
      <c r="C306" t="s">
        <v>721</v>
      </c>
      <c r="D306">
        <v>285</v>
      </c>
      <c r="F306">
        <f>OUTPUTAvatarMatResID[[#This Row],[AvatarPartID]]*10000+OUTPUTAvatarMatResID[[#This Row],[SexID]]*1000+AvatarMatResID[[#This Row],[CountIndex]]</f>
        <v>11285</v>
      </c>
      <c r="G306">
        <f>VLOOKUP(AvatarMatResID[[#This Row],[AvatarPart]],AvatarPartID[],2,0)</f>
        <v>1</v>
      </c>
      <c r="H306">
        <f>VLOOKUP(AvatarMatResID[[#This Row],[Sex]],SexID[],2,0)</f>
        <v>1</v>
      </c>
      <c r="I306" t="str">
        <f>AvatarMatResID[[#This Row],[Material]]</f>
        <v>Female Brown Casual 05A</v>
      </c>
    </row>
    <row r="307" spans="1:9" x14ac:dyDescent="0.15">
      <c r="A307" t="s">
        <v>454</v>
      </c>
      <c r="B307" t="s">
        <v>1920</v>
      </c>
      <c r="C307" t="s">
        <v>722</v>
      </c>
      <c r="D307">
        <v>286</v>
      </c>
      <c r="F307">
        <f>OUTPUTAvatarMatResID[[#This Row],[AvatarPartID]]*10000+OUTPUTAvatarMatResID[[#This Row],[SexID]]*1000+AvatarMatResID[[#This Row],[CountIndex]]</f>
        <v>11286</v>
      </c>
      <c r="G307">
        <f>VLOOKUP(AvatarMatResID[[#This Row],[AvatarPart]],AvatarPartID[],2,0)</f>
        <v>1</v>
      </c>
      <c r="H307">
        <f>VLOOKUP(AvatarMatResID[[#This Row],[Sex]],SexID[],2,0)</f>
        <v>1</v>
      </c>
      <c r="I307" t="str">
        <f>AvatarMatResID[[#This Row],[Material]]</f>
        <v>Female Brown Casual 05B</v>
      </c>
    </row>
    <row r="308" spans="1:9" x14ac:dyDescent="0.15">
      <c r="A308" t="s">
        <v>454</v>
      </c>
      <c r="B308" t="s">
        <v>1920</v>
      </c>
      <c r="C308" t="s">
        <v>723</v>
      </c>
      <c r="D308">
        <v>287</v>
      </c>
      <c r="F308">
        <f>OUTPUTAvatarMatResID[[#This Row],[AvatarPartID]]*10000+OUTPUTAvatarMatResID[[#This Row],[SexID]]*1000+AvatarMatResID[[#This Row],[CountIndex]]</f>
        <v>11287</v>
      </c>
      <c r="G308">
        <f>VLOOKUP(AvatarMatResID[[#This Row],[AvatarPart]],AvatarPartID[],2,0)</f>
        <v>1</v>
      </c>
      <c r="H308">
        <f>VLOOKUP(AvatarMatResID[[#This Row],[Sex]],SexID[],2,0)</f>
        <v>1</v>
      </c>
      <c r="I308" t="str">
        <f>AvatarMatResID[[#This Row],[Material]]</f>
        <v>Female Brown Casual 05C</v>
      </c>
    </row>
    <row r="309" spans="1:9" x14ac:dyDescent="0.15">
      <c r="A309" t="s">
        <v>454</v>
      </c>
      <c r="B309" t="s">
        <v>1920</v>
      </c>
      <c r="C309" t="s">
        <v>724</v>
      </c>
      <c r="D309">
        <v>288</v>
      </c>
      <c r="F309">
        <f>OUTPUTAvatarMatResID[[#This Row],[AvatarPartID]]*10000+OUTPUTAvatarMatResID[[#This Row],[SexID]]*1000+AvatarMatResID[[#This Row],[CountIndex]]</f>
        <v>11288</v>
      </c>
      <c r="G309">
        <f>VLOOKUP(AvatarMatResID[[#This Row],[AvatarPart]],AvatarPartID[],2,0)</f>
        <v>1</v>
      </c>
      <c r="H309">
        <f>VLOOKUP(AvatarMatResID[[#This Row],[Sex]],SexID[],2,0)</f>
        <v>1</v>
      </c>
      <c r="I309" t="str">
        <f>AvatarMatResID[[#This Row],[Material]]</f>
        <v>Female Brown Casual 06A</v>
      </c>
    </row>
    <row r="310" spans="1:9" x14ac:dyDescent="0.15">
      <c r="A310" t="s">
        <v>454</v>
      </c>
      <c r="B310" t="s">
        <v>1920</v>
      </c>
      <c r="C310" t="s">
        <v>725</v>
      </c>
      <c r="D310">
        <v>289</v>
      </c>
      <c r="F310">
        <f>OUTPUTAvatarMatResID[[#This Row],[AvatarPartID]]*10000+OUTPUTAvatarMatResID[[#This Row],[SexID]]*1000+AvatarMatResID[[#This Row],[CountIndex]]</f>
        <v>11289</v>
      </c>
      <c r="G310">
        <f>VLOOKUP(AvatarMatResID[[#This Row],[AvatarPart]],AvatarPartID[],2,0)</f>
        <v>1</v>
      </c>
      <c r="H310">
        <f>VLOOKUP(AvatarMatResID[[#This Row],[Sex]],SexID[],2,0)</f>
        <v>1</v>
      </c>
      <c r="I310" t="str">
        <f>AvatarMatResID[[#This Row],[Material]]</f>
        <v>Female Brown Casual 06B</v>
      </c>
    </row>
    <row r="311" spans="1:9" x14ac:dyDescent="0.15">
      <c r="A311" t="s">
        <v>454</v>
      </c>
      <c r="B311" t="s">
        <v>1920</v>
      </c>
      <c r="C311" t="s">
        <v>726</v>
      </c>
      <c r="D311">
        <v>290</v>
      </c>
      <c r="F311">
        <f>OUTPUTAvatarMatResID[[#This Row],[AvatarPartID]]*10000+OUTPUTAvatarMatResID[[#This Row],[SexID]]*1000+AvatarMatResID[[#This Row],[CountIndex]]</f>
        <v>11290</v>
      </c>
      <c r="G311">
        <f>VLOOKUP(AvatarMatResID[[#This Row],[AvatarPart]],AvatarPartID[],2,0)</f>
        <v>1</v>
      </c>
      <c r="H311">
        <f>VLOOKUP(AvatarMatResID[[#This Row],[Sex]],SexID[],2,0)</f>
        <v>1</v>
      </c>
      <c r="I311" t="str">
        <f>AvatarMatResID[[#This Row],[Material]]</f>
        <v>Female Brown Casual 06C</v>
      </c>
    </row>
    <row r="312" spans="1:9" x14ac:dyDescent="0.15">
      <c r="A312" t="s">
        <v>454</v>
      </c>
      <c r="B312" t="s">
        <v>1920</v>
      </c>
      <c r="C312" t="s">
        <v>727</v>
      </c>
      <c r="D312">
        <v>291</v>
      </c>
      <c r="F312">
        <f>OUTPUTAvatarMatResID[[#This Row],[AvatarPartID]]*10000+OUTPUTAvatarMatResID[[#This Row],[SexID]]*1000+AvatarMatResID[[#This Row],[CountIndex]]</f>
        <v>11291</v>
      </c>
      <c r="G312">
        <f>VLOOKUP(AvatarMatResID[[#This Row],[AvatarPart]],AvatarPartID[],2,0)</f>
        <v>1</v>
      </c>
      <c r="H312">
        <f>VLOOKUP(AvatarMatResID[[#This Row],[Sex]],SexID[],2,0)</f>
        <v>1</v>
      </c>
      <c r="I312" t="str">
        <f>AvatarMatResID[[#This Row],[Material]]</f>
        <v>Female Brown Casual 07A</v>
      </c>
    </row>
    <row r="313" spans="1:9" x14ac:dyDescent="0.15">
      <c r="A313" t="s">
        <v>454</v>
      </c>
      <c r="B313" t="s">
        <v>1920</v>
      </c>
      <c r="C313" t="s">
        <v>728</v>
      </c>
      <c r="D313">
        <v>292</v>
      </c>
      <c r="F313">
        <f>OUTPUTAvatarMatResID[[#This Row],[AvatarPartID]]*10000+OUTPUTAvatarMatResID[[#This Row],[SexID]]*1000+AvatarMatResID[[#This Row],[CountIndex]]</f>
        <v>11292</v>
      </c>
      <c r="G313">
        <f>VLOOKUP(AvatarMatResID[[#This Row],[AvatarPart]],AvatarPartID[],2,0)</f>
        <v>1</v>
      </c>
      <c r="H313">
        <f>VLOOKUP(AvatarMatResID[[#This Row],[Sex]],SexID[],2,0)</f>
        <v>1</v>
      </c>
      <c r="I313" t="str">
        <f>AvatarMatResID[[#This Row],[Material]]</f>
        <v>Female Brown Casual 07B</v>
      </c>
    </row>
    <row r="314" spans="1:9" x14ac:dyDescent="0.15">
      <c r="A314" t="s">
        <v>454</v>
      </c>
      <c r="B314" t="s">
        <v>1920</v>
      </c>
      <c r="C314" t="s">
        <v>729</v>
      </c>
      <c r="D314">
        <v>293</v>
      </c>
      <c r="F314">
        <f>OUTPUTAvatarMatResID[[#This Row],[AvatarPartID]]*10000+OUTPUTAvatarMatResID[[#This Row],[SexID]]*1000+AvatarMatResID[[#This Row],[CountIndex]]</f>
        <v>11293</v>
      </c>
      <c r="G314">
        <f>VLOOKUP(AvatarMatResID[[#This Row],[AvatarPart]],AvatarPartID[],2,0)</f>
        <v>1</v>
      </c>
      <c r="H314">
        <f>VLOOKUP(AvatarMatResID[[#This Row],[Sex]],SexID[],2,0)</f>
        <v>1</v>
      </c>
      <c r="I314" t="str">
        <f>AvatarMatResID[[#This Row],[Material]]</f>
        <v>Female Brown Casual 07C</v>
      </c>
    </row>
    <row r="315" spans="1:9" x14ac:dyDescent="0.15">
      <c r="A315" t="s">
        <v>454</v>
      </c>
      <c r="B315" t="s">
        <v>1920</v>
      </c>
      <c r="C315" t="s">
        <v>730</v>
      </c>
      <c r="D315">
        <v>294</v>
      </c>
      <c r="F315">
        <f>OUTPUTAvatarMatResID[[#This Row],[AvatarPartID]]*10000+OUTPUTAvatarMatResID[[#This Row],[SexID]]*1000+AvatarMatResID[[#This Row],[CountIndex]]</f>
        <v>11294</v>
      </c>
      <c r="G315">
        <f>VLOOKUP(AvatarMatResID[[#This Row],[AvatarPart]],AvatarPartID[],2,0)</f>
        <v>1</v>
      </c>
      <c r="H315">
        <f>VLOOKUP(AvatarMatResID[[#This Row],[Sex]],SexID[],2,0)</f>
        <v>1</v>
      </c>
      <c r="I315" t="str">
        <f>AvatarMatResID[[#This Row],[Material]]</f>
        <v>Female Brown Casual 08A</v>
      </c>
    </row>
    <row r="316" spans="1:9" x14ac:dyDescent="0.15">
      <c r="A316" t="s">
        <v>454</v>
      </c>
      <c r="B316" t="s">
        <v>1920</v>
      </c>
      <c r="C316" t="s">
        <v>731</v>
      </c>
      <c r="D316">
        <v>295</v>
      </c>
      <c r="F316">
        <f>OUTPUTAvatarMatResID[[#This Row],[AvatarPartID]]*10000+OUTPUTAvatarMatResID[[#This Row],[SexID]]*1000+AvatarMatResID[[#This Row],[CountIndex]]</f>
        <v>11295</v>
      </c>
      <c r="G316">
        <f>VLOOKUP(AvatarMatResID[[#This Row],[AvatarPart]],AvatarPartID[],2,0)</f>
        <v>1</v>
      </c>
      <c r="H316">
        <f>VLOOKUP(AvatarMatResID[[#This Row],[Sex]],SexID[],2,0)</f>
        <v>1</v>
      </c>
      <c r="I316" t="str">
        <f>AvatarMatResID[[#This Row],[Material]]</f>
        <v>Female Brown Casual 08B</v>
      </c>
    </row>
    <row r="317" spans="1:9" x14ac:dyDescent="0.15">
      <c r="A317" t="s">
        <v>454</v>
      </c>
      <c r="B317" t="s">
        <v>1920</v>
      </c>
      <c r="C317" t="s">
        <v>732</v>
      </c>
      <c r="D317">
        <v>296</v>
      </c>
      <c r="F317">
        <f>OUTPUTAvatarMatResID[[#This Row],[AvatarPartID]]*10000+OUTPUTAvatarMatResID[[#This Row],[SexID]]*1000+AvatarMatResID[[#This Row],[CountIndex]]</f>
        <v>11296</v>
      </c>
      <c r="G317">
        <f>VLOOKUP(AvatarMatResID[[#This Row],[AvatarPart]],AvatarPartID[],2,0)</f>
        <v>1</v>
      </c>
      <c r="H317">
        <f>VLOOKUP(AvatarMatResID[[#This Row],[Sex]],SexID[],2,0)</f>
        <v>1</v>
      </c>
      <c r="I317" t="str">
        <f>AvatarMatResID[[#This Row],[Material]]</f>
        <v>Female Brown Casual 08C</v>
      </c>
    </row>
    <row r="318" spans="1:9" x14ac:dyDescent="0.15">
      <c r="A318" t="s">
        <v>454</v>
      </c>
      <c r="B318" t="s">
        <v>1920</v>
      </c>
      <c r="C318" t="s">
        <v>733</v>
      </c>
      <c r="D318">
        <v>297</v>
      </c>
      <c r="F318">
        <f>OUTPUTAvatarMatResID[[#This Row],[AvatarPartID]]*10000+OUTPUTAvatarMatResID[[#This Row],[SexID]]*1000+AvatarMatResID[[#This Row],[CountIndex]]</f>
        <v>11297</v>
      </c>
      <c r="G318">
        <f>VLOOKUP(AvatarMatResID[[#This Row],[AvatarPart]],AvatarPartID[],2,0)</f>
        <v>1</v>
      </c>
      <c r="H318">
        <f>VLOOKUP(AvatarMatResID[[#This Row],[Sex]],SexID[],2,0)</f>
        <v>1</v>
      </c>
      <c r="I318" t="str">
        <f>AvatarMatResID[[#This Row],[Material]]</f>
        <v>Female Brown Elf 01</v>
      </c>
    </row>
    <row r="319" spans="1:9" x14ac:dyDescent="0.15">
      <c r="A319" t="s">
        <v>454</v>
      </c>
      <c r="B319" t="s">
        <v>1920</v>
      </c>
      <c r="C319" t="s">
        <v>734</v>
      </c>
      <c r="D319">
        <v>298</v>
      </c>
      <c r="F319">
        <f>OUTPUTAvatarMatResID[[#This Row],[AvatarPartID]]*10000+OUTPUTAvatarMatResID[[#This Row],[SexID]]*1000+AvatarMatResID[[#This Row],[CountIndex]]</f>
        <v>11298</v>
      </c>
      <c r="G319">
        <f>VLOOKUP(AvatarMatResID[[#This Row],[AvatarPart]],AvatarPartID[],2,0)</f>
        <v>1</v>
      </c>
      <c r="H319">
        <f>VLOOKUP(AvatarMatResID[[#This Row],[Sex]],SexID[],2,0)</f>
        <v>1</v>
      </c>
      <c r="I319" t="str">
        <f>AvatarMatResID[[#This Row],[Material]]</f>
        <v>Female Brown Knight 01 Black</v>
      </c>
    </row>
    <row r="320" spans="1:9" x14ac:dyDescent="0.15">
      <c r="A320" t="s">
        <v>454</v>
      </c>
      <c r="B320" t="s">
        <v>1920</v>
      </c>
      <c r="C320" t="s">
        <v>735</v>
      </c>
      <c r="D320">
        <v>299</v>
      </c>
      <c r="F320">
        <f>OUTPUTAvatarMatResID[[#This Row],[AvatarPartID]]*10000+OUTPUTAvatarMatResID[[#This Row],[SexID]]*1000+AvatarMatResID[[#This Row],[CountIndex]]</f>
        <v>11299</v>
      </c>
      <c r="G320">
        <f>VLOOKUP(AvatarMatResID[[#This Row],[AvatarPart]],AvatarPartID[],2,0)</f>
        <v>1</v>
      </c>
      <c r="H320">
        <f>VLOOKUP(AvatarMatResID[[#This Row],[Sex]],SexID[],2,0)</f>
        <v>1</v>
      </c>
      <c r="I320" t="str">
        <f>AvatarMatResID[[#This Row],[Material]]</f>
        <v>Female Brown Knight 01 Blue</v>
      </c>
    </row>
    <row r="321" spans="1:9" x14ac:dyDescent="0.15">
      <c r="A321" t="s">
        <v>454</v>
      </c>
      <c r="B321" t="s">
        <v>1920</v>
      </c>
      <c r="C321" t="s">
        <v>736</v>
      </c>
      <c r="D321">
        <v>300</v>
      </c>
      <c r="F321">
        <f>OUTPUTAvatarMatResID[[#This Row],[AvatarPartID]]*10000+OUTPUTAvatarMatResID[[#This Row],[SexID]]*1000+AvatarMatResID[[#This Row],[CountIndex]]</f>
        <v>11300</v>
      </c>
      <c r="G321">
        <f>VLOOKUP(AvatarMatResID[[#This Row],[AvatarPart]],AvatarPartID[],2,0)</f>
        <v>1</v>
      </c>
      <c r="H321">
        <f>VLOOKUP(AvatarMatResID[[#This Row],[Sex]],SexID[],2,0)</f>
        <v>1</v>
      </c>
      <c r="I321" t="str">
        <f>AvatarMatResID[[#This Row],[Material]]</f>
        <v>Female Brown Knight 01 Green</v>
      </c>
    </row>
    <row r="322" spans="1:9" x14ac:dyDescent="0.15">
      <c r="A322" t="s">
        <v>454</v>
      </c>
      <c r="B322" t="s">
        <v>1920</v>
      </c>
      <c r="C322" t="s">
        <v>737</v>
      </c>
      <c r="D322">
        <v>301</v>
      </c>
      <c r="F322">
        <f>OUTPUTAvatarMatResID[[#This Row],[AvatarPartID]]*10000+OUTPUTAvatarMatResID[[#This Row],[SexID]]*1000+AvatarMatResID[[#This Row],[CountIndex]]</f>
        <v>11301</v>
      </c>
      <c r="G322">
        <f>VLOOKUP(AvatarMatResID[[#This Row],[AvatarPart]],AvatarPartID[],2,0)</f>
        <v>1</v>
      </c>
      <c r="H322">
        <f>VLOOKUP(AvatarMatResID[[#This Row],[Sex]],SexID[],2,0)</f>
        <v>1</v>
      </c>
      <c r="I322" t="str">
        <f>AvatarMatResID[[#This Row],[Material]]</f>
        <v>Female Brown Knight 01 Purple</v>
      </c>
    </row>
    <row r="323" spans="1:9" x14ac:dyDescent="0.15">
      <c r="A323" t="s">
        <v>454</v>
      </c>
      <c r="B323" t="s">
        <v>1920</v>
      </c>
      <c r="C323" t="s">
        <v>738</v>
      </c>
      <c r="D323">
        <v>302</v>
      </c>
      <c r="F323">
        <f>OUTPUTAvatarMatResID[[#This Row],[AvatarPartID]]*10000+OUTPUTAvatarMatResID[[#This Row],[SexID]]*1000+AvatarMatResID[[#This Row],[CountIndex]]</f>
        <v>11302</v>
      </c>
      <c r="G323">
        <f>VLOOKUP(AvatarMatResID[[#This Row],[AvatarPart]],AvatarPartID[],2,0)</f>
        <v>1</v>
      </c>
      <c r="H323">
        <f>VLOOKUP(AvatarMatResID[[#This Row],[Sex]],SexID[],2,0)</f>
        <v>1</v>
      </c>
      <c r="I323" t="str">
        <f>AvatarMatResID[[#This Row],[Material]]</f>
        <v>Female Brown Knight 01 Red</v>
      </c>
    </row>
    <row r="324" spans="1:9" x14ac:dyDescent="0.15">
      <c r="A324" t="s">
        <v>454</v>
      </c>
      <c r="B324" t="s">
        <v>1920</v>
      </c>
      <c r="C324" t="s">
        <v>739</v>
      </c>
      <c r="D324">
        <v>303</v>
      </c>
      <c r="F324">
        <f>OUTPUTAvatarMatResID[[#This Row],[AvatarPartID]]*10000+OUTPUTAvatarMatResID[[#This Row],[SexID]]*1000+AvatarMatResID[[#This Row],[CountIndex]]</f>
        <v>11303</v>
      </c>
      <c r="G324">
        <f>VLOOKUP(AvatarMatResID[[#This Row],[AvatarPart]],AvatarPartID[],2,0)</f>
        <v>1</v>
      </c>
      <c r="H324">
        <f>VLOOKUP(AvatarMatResID[[#This Row],[Sex]],SexID[],2,0)</f>
        <v>1</v>
      </c>
      <c r="I324" t="str">
        <f>AvatarMatResID[[#This Row],[Material]]</f>
        <v>Female Brown Knight 01 White</v>
      </c>
    </row>
    <row r="325" spans="1:9" x14ac:dyDescent="0.15">
      <c r="A325" t="s">
        <v>454</v>
      </c>
      <c r="B325" t="s">
        <v>1920</v>
      </c>
      <c r="C325" t="s">
        <v>740</v>
      </c>
      <c r="D325">
        <v>304</v>
      </c>
      <c r="F325">
        <f>OUTPUTAvatarMatResID[[#This Row],[AvatarPartID]]*10000+OUTPUTAvatarMatResID[[#This Row],[SexID]]*1000+AvatarMatResID[[#This Row],[CountIndex]]</f>
        <v>11304</v>
      </c>
      <c r="G325">
        <f>VLOOKUP(AvatarMatResID[[#This Row],[AvatarPart]],AvatarPartID[],2,0)</f>
        <v>1</v>
      </c>
      <c r="H325">
        <f>VLOOKUP(AvatarMatResID[[#This Row],[Sex]],SexID[],2,0)</f>
        <v>1</v>
      </c>
      <c r="I325" t="str">
        <f>AvatarMatResID[[#This Row],[Material]]</f>
        <v>Female Brown Knight 02 Black</v>
      </c>
    </row>
    <row r="326" spans="1:9" x14ac:dyDescent="0.15">
      <c r="A326" t="s">
        <v>454</v>
      </c>
      <c r="B326" t="s">
        <v>1920</v>
      </c>
      <c r="C326" t="s">
        <v>741</v>
      </c>
      <c r="D326">
        <v>305</v>
      </c>
      <c r="F326">
        <f>OUTPUTAvatarMatResID[[#This Row],[AvatarPartID]]*10000+OUTPUTAvatarMatResID[[#This Row],[SexID]]*1000+AvatarMatResID[[#This Row],[CountIndex]]</f>
        <v>11305</v>
      </c>
      <c r="G326">
        <f>VLOOKUP(AvatarMatResID[[#This Row],[AvatarPart]],AvatarPartID[],2,0)</f>
        <v>1</v>
      </c>
      <c r="H326">
        <f>VLOOKUP(AvatarMatResID[[#This Row],[Sex]],SexID[],2,0)</f>
        <v>1</v>
      </c>
      <c r="I326" t="str">
        <f>AvatarMatResID[[#This Row],[Material]]</f>
        <v>Female Brown Knight 02 Blue</v>
      </c>
    </row>
    <row r="327" spans="1:9" x14ac:dyDescent="0.15">
      <c r="A327" t="s">
        <v>454</v>
      </c>
      <c r="B327" t="s">
        <v>1920</v>
      </c>
      <c r="C327" t="s">
        <v>742</v>
      </c>
      <c r="D327">
        <v>306</v>
      </c>
      <c r="F327">
        <f>OUTPUTAvatarMatResID[[#This Row],[AvatarPartID]]*10000+OUTPUTAvatarMatResID[[#This Row],[SexID]]*1000+AvatarMatResID[[#This Row],[CountIndex]]</f>
        <v>11306</v>
      </c>
      <c r="G327">
        <f>VLOOKUP(AvatarMatResID[[#This Row],[AvatarPart]],AvatarPartID[],2,0)</f>
        <v>1</v>
      </c>
      <c r="H327">
        <f>VLOOKUP(AvatarMatResID[[#This Row],[Sex]],SexID[],2,0)</f>
        <v>1</v>
      </c>
      <c r="I327" t="str">
        <f>AvatarMatResID[[#This Row],[Material]]</f>
        <v>Female Brown Knight 02 Green</v>
      </c>
    </row>
    <row r="328" spans="1:9" x14ac:dyDescent="0.15">
      <c r="A328" t="s">
        <v>454</v>
      </c>
      <c r="B328" t="s">
        <v>1920</v>
      </c>
      <c r="C328" t="s">
        <v>743</v>
      </c>
      <c r="D328">
        <v>307</v>
      </c>
      <c r="F328">
        <f>OUTPUTAvatarMatResID[[#This Row],[AvatarPartID]]*10000+OUTPUTAvatarMatResID[[#This Row],[SexID]]*1000+AvatarMatResID[[#This Row],[CountIndex]]</f>
        <v>11307</v>
      </c>
      <c r="G328">
        <f>VLOOKUP(AvatarMatResID[[#This Row],[AvatarPart]],AvatarPartID[],2,0)</f>
        <v>1</v>
      </c>
      <c r="H328">
        <f>VLOOKUP(AvatarMatResID[[#This Row],[Sex]],SexID[],2,0)</f>
        <v>1</v>
      </c>
      <c r="I328" t="str">
        <f>AvatarMatResID[[#This Row],[Material]]</f>
        <v>Female Brown Knight 02 Purple</v>
      </c>
    </row>
    <row r="329" spans="1:9" x14ac:dyDescent="0.15">
      <c r="A329" t="s">
        <v>454</v>
      </c>
      <c r="B329" t="s">
        <v>1920</v>
      </c>
      <c r="C329" t="s">
        <v>744</v>
      </c>
      <c r="D329">
        <v>308</v>
      </c>
      <c r="F329">
        <f>OUTPUTAvatarMatResID[[#This Row],[AvatarPartID]]*10000+OUTPUTAvatarMatResID[[#This Row],[SexID]]*1000+AvatarMatResID[[#This Row],[CountIndex]]</f>
        <v>11308</v>
      </c>
      <c r="G329">
        <f>VLOOKUP(AvatarMatResID[[#This Row],[AvatarPart]],AvatarPartID[],2,0)</f>
        <v>1</v>
      </c>
      <c r="H329">
        <f>VLOOKUP(AvatarMatResID[[#This Row],[Sex]],SexID[],2,0)</f>
        <v>1</v>
      </c>
      <c r="I329" t="str">
        <f>AvatarMatResID[[#This Row],[Material]]</f>
        <v>Female Brown Knight 02 Red</v>
      </c>
    </row>
    <row r="330" spans="1:9" x14ac:dyDescent="0.15">
      <c r="A330" t="s">
        <v>454</v>
      </c>
      <c r="B330" t="s">
        <v>1920</v>
      </c>
      <c r="C330" t="s">
        <v>745</v>
      </c>
      <c r="D330">
        <v>309</v>
      </c>
      <c r="F330">
        <f>OUTPUTAvatarMatResID[[#This Row],[AvatarPartID]]*10000+OUTPUTAvatarMatResID[[#This Row],[SexID]]*1000+AvatarMatResID[[#This Row],[CountIndex]]</f>
        <v>11309</v>
      </c>
      <c r="G330">
        <f>VLOOKUP(AvatarMatResID[[#This Row],[AvatarPart]],AvatarPartID[],2,0)</f>
        <v>1</v>
      </c>
      <c r="H330">
        <f>VLOOKUP(AvatarMatResID[[#This Row],[Sex]],SexID[],2,0)</f>
        <v>1</v>
      </c>
      <c r="I330" t="str">
        <f>AvatarMatResID[[#This Row],[Material]]</f>
        <v>Female Brown Knight 02 White</v>
      </c>
    </row>
    <row r="331" spans="1:9" x14ac:dyDescent="0.15">
      <c r="A331" t="s">
        <v>454</v>
      </c>
      <c r="B331" t="s">
        <v>1920</v>
      </c>
      <c r="C331" t="s">
        <v>746</v>
      </c>
      <c r="D331">
        <v>310</v>
      </c>
      <c r="F331">
        <f>OUTPUTAvatarMatResID[[#This Row],[AvatarPartID]]*10000+OUTPUTAvatarMatResID[[#This Row],[SexID]]*1000+AvatarMatResID[[#This Row],[CountIndex]]</f>
        <v>11310</v>
      </c>
      <c r="G331">
        <f>VLOOKUP(AvatarMatResID[[#This Row],[AvatarPart]],AvatarPartID[],2,0)</f>
        <v>1</v>
      </c>
      <c r="H331">
        <f>VLOOKUP(AvatarMatResID[[#This Row],[Sex]],SexID[],2,0)</f>
        <v>1</v>
      </c>
      <c r="I331" t="str">
        <f>AvatarMatResID[[#This Row],[Material]]</f>
        <v>Female Brown Knight 03 Black</v>
      </c>
    </row>
    <row r="332" spans="1:9" x14ac:dyDescent="0.15">
      <c r="A332" t="s">
        <v>454</v>
      </c>
      <c r="B332" t="s">
        <v>1920</v>
      </c>
      <c r="C332" t="s">
        <v>747</v>
      </c>
      <c r="D332">
        <v>311</v>
      </c>
      <c r="F332">
        <f>OUTPUTAvatarMatResID[[#This Row],[AvatarPartID]]*10000+OUTPUTAvatarMatResID[[#This Row],[SexID]]*1000+AvatarMatResID[[#This Row],[CountIndex]]</f>
        <v>11311</v>
      </c>
      <c r="G332">
        <f>VLOOKUP(AvatarMatResID[[#This Row],[AvatarPart]],AvatarPartID[],2,0)</f>
        <v>1</v>
      </c>
      <c r="H332">
        <f>VLOOKUP(AvatarMatResID[[#This Row],[Sex]],SexID[],2,0)</f>
        <v>1</v>
      </c>
      <c r="I332" t="str">
        <f>AvatarMatResID[[#This Row],[Material]]</f>
        <v>Female Brown Knight 03 Blue</v>
      </c>
    </row>
    <row r="333" spans="1:9" x14ac:dyDescent="0.15">
      <c r="A333" t="s">
        <v>454</v>
      </c>
      <c r="B333" t="s">
        <v>1920</v>
      </c>
      <c r="C333" t="s">
        <v>748</v>
      </c>
      <c r="D333">
        <v>312</v>
      </c>
      <c r="F333">
        <f>OUTPUTAvatarMatResID[[#This Row],[AvatarPartID]]*10000+OUTPUTAvatarMatResID[[#This Row],[SexID]]*1000+AvatarMatResID[[#This Row],[CountIndex]]</f>
        <v>11312</v>
      </c>
      <c r="G333">
        <f>VLOOKUP(AvatarMatResID[[#This Row],[AvatarPart]],AvatarPartID[],2,0)</f>
        <v>1</v>
      </c>
      <c r="H333">
        <f>VLOOKUP(AvatarMatResID[[#This Row],[Sex]],SexID[],2,0)</f>
        <v>1</v>
      </c>
      <c r="I333" t="str">
        <f>AvatarMatResID[[#This Row],[Material]]</f>
        <v>Female Brown Knight 03 Green</v>
      </c>
    </row>
    <row r="334" spans="1:9" x14ac:dyDescent="0.15">
      <c r="A334" t="s">
        <v>454</v>
      </c>
      <c r="B334" t="s">
        <v>1920</v>
      </c>
      <c r="C334" t="s">
        <v>749</v>
      </c>
      <c r="D334">
        <v>313</v>
      </c>
      <c r="F334">
        <f>OUTPUTAvatarMatResID[[#This Row],[AvatarPartID]]*10000+OUTPUTAvatarMatResID[[#This Row],[SexID]]*1000+AvatarMatResID[[#This Row],[CountIndex]]</f>
        <v>11313</v>
      </c>
      <c r="G334">
        <f>VLOOKUP(AvatarMatResID[[#This Row],[AvatarPart]],AvatarPartID[],2,0)</f>
        <v>1</v>
      </c>
      <c r="H334">
        <f>VLOOKUP(AvatarMatResID[[#This Row],[Sex]],SexID[],2,0)</f>
        <v>1</v>
      </c>
      <c r="I334" t="str">
        <f>AvatarMatResID[[#This Row],[Material]]</f>
        <v>Female Brown Knight 03 Purple</v>
      </c>
    </row>
    <row r="335" spans="1:9" x14ac:dyDescent="0.15">
      <c r="A335" t="s">
        <v>454</v>
      </c>
      <c r="B335" t="s">
        <v>1920</v>
      </c>
      <c r="C335" t="s">
        <v>750</v>
      </c>
      <c r="D335">
        <v>314</v>
      </c>
      <c r="F335">
        <f>OUTPUTAvatarMatResID[[#This Row],[AvatarPartID]]*10000+OUTPUTAvatarMatResID[[#This Row],[SexID]]*1000+AvatarMatResID[[#This Row],[CountIndex]]</f>
        <v>11314</v>
      </c>
      <c r="G335">
        <f>VLOOKUP(AvatarMatResID[[#This Row],[AvatarPart]],AvatarPartID[],2,0)</f>
        <v>1</v>
      </c>
      <c r="H335">
        <f>VLOOKUP(AvatarMatResID[[#This Row],[Sex]],SexID[],2,0)</f>
        <v>1</v>
      </c>
      <c r="I335" t="str">
        <f>AvatarMatResID[[#This Row],[Material]]</f>
        <v>Female Brown Knight 03 Red</v>
      </c>
    </row>
    <row r="336" spans="1:9" x14ac:dyDescent="0.15">
      <c r="A336" t="s">
        <v>454</v>
      </c>
      <c r="B336" t="s">
        <v>1920</v>
      </c>
      <c r="C336" t="s">
        <v>751</v>
      </c>
      <c r="D336">
        <v>315</v>
      </c>
      <c r="F336">
        <f>OUTPUTAvatarMatResID[[#This Row],[AvatarPartID]]*10000+OUTPUTAvatarMatResID[[#This Row],[SexID]]*1000+AvatarMatResID[[#This Row],[CountIndex]]</f>
        <v>11315</v>
      </c>
      <c r="G336">
        <f>VLOOKUP(AvatarMatResID[[#This Row],[AvatarPart]],AvatarPartID[],2,0)</f>
        <v>1</v>
      </c>
      <c r="H336">
        <f>VLOOKUP(AvatarMatResID[[#This Row],[Sex]],SexID[],2,0)</f>
        <v>1</v>
      </c>
      <c r="I336" t="str">
        <f>AvatarMatResID[[#This Row],[Material]]</f>
        <v>Female Brown Knight 03 White</v>
      </c>
    </row>
    <row r="337" spans="1:9" x14ac:dyDescent="0.15">
      <c r="A337" t="s">
        <v>454</v>
      </c>
      <c r="B337" t="s">
        <v>1920</v>
      </c>
      <c r="C337" t="s">
        <v>752</v>
      </c>
      <c r="D337">
        <v>316</v>
      </c>
      <c r="F337">
        <f>OUTPUTAvatarMatResID[[#This Row],[AvatarPartID]]*10000+OUTPUTAvatarMatResID[[#This Row],[SexID]]*1000+AvatarMatResID[[#This Row],[CountIndex]]</f>
        <v>11316</v>
      </c>
      <c r="G337">
        <f>VLOOKUP(AvatarMatResID[[#This Row],[AvatarPart]],AvatarPartID[],2,0)</f>
        <v>1</v>
      </c>
      <c r="H337">
        <f>VLOOKUP(AvatarMatResID[[#This Row],[Sex]],SexID[],2,0)</f>
        <v>1</v>
      </c>
      <c r="I337" t="str">
        <f>AvatarMatResID[[#This Row],[Material]]</f>
        <v>Female Brown Knight 04 Black</v>
      </c>
    </row>
    <row r="338" spans="1:9" x14ac:dyDescent="0.15">
      <c r="A338" t="s">
        <v>454</v>
      </c>
      <c r="B338" t="s">
        <v>1920</v>
      </c>
      <c r="C338" t="s">
        <v>753</v>
      </c>
      <c r="D338">
        <v>317</v>
      </c>
      <c r="F338">
        <f>OUTPUTAvatarMatResID[[#This Row],[AvatarPartID]]*10000+OUTPUTAvatarMatResID[[#This Row],[SexID]]*1000+AvatarMatResID[[#This Row],[CountIndex]]</f>
        <v>11317</v>
      </c>
      <c r="G338">
        <f>VLOOKUP(AvatarMatResID[[#This Row],[AvatarPart]],AvatarPartID[],2,0)</f>
        <v>1</v>
      </c>
      <c r="H338">
        <f>VLOOKUP(AvatarMatResID[[#This Row],[Sex]],SexID[],2,0)</f>
        <v>1</v>
      </c>
      <c r="I338" t="str">
        <f>AvatarMatResID[[#This Row],[Material]]</f>
        <v>Female Brown Knight 04 Blue</v>
      </c>
    </row>
    <row r="339" spans="1:9" x14ac:dyDescent="0.15">
      <c r="A339" t="s">
        <v>454</v>
      </c>
      <c r="B339" t="s">
        <v>1920</v>
      </c>
      <c r="C339" t="s">
        <v>754</v>
      </c>
      <c r="D339">
        <v>318</v>
      </c>
      <c r="F339">
        <f>OUTPUTAvatarMatResID[[#This Row],[AvatarPartID]]*10000+OUTPUTAvatarMatResID[[#This Row],[SexID]]*1000+AvatarMatResID[[#This Row],[CountIndex]]</f>
        <v>11318</v>
      </c>
      <c r="G339">
        <f>VLOOKUP(AvatarMatResID[[#This Row],[AvatarPart]],AvatarPartID[],2,0)</f>
        <v>1</v>
      </c>
      <c r="H339">
        <f>VLOOKUP(AvatarMatResID[[#This Row],[Sex]],SexID[],2,0)</f>
        <v>1</v>
      </c>
      <c r="I339" t="str">
        <f>AvatarMatResID[[#This Row],[Material]]</f>
        <v>Female Brown Knight 04 Green</v>
      </c>
    </row>
    <row r="340" spans="1:9" x14ac:dyDescent="0.15">
      <c r="A340" t="s">
        <v>454</v>
      </c>
      <c r="B340" t="s">
        <v>1920</v>
      </c>
      <c r="C340" t="s">
        <v>755</v>
      </c>
      <c r="D340">
        <v>319</v>
      </c>
      <c r="F340">
        <f>OUTPUTAvatarMatResID[[#This Row],[AvatarPartID]]*10000+OUTPUTAvatarMatResID[[#This Row],[SexID]]*1000+AvatarMatResID[[#This Row],[CountIndex]]</f>
        <v>11319</v>
      </c>
      <c r="G340">
        <f>VLOOKUP(AvatarMatResID[[#This Row],[AvatarPart]],AvatarPartID[],2,0)</f>
        <v>1</v>
      </c>
      <c r="H340">
        <f>VLOOKUP(AvatarMatResID[[#This Row],[Sex]],SexID[],2,0)</f>
        <v>1</v>
      </c>
      <c r="I340" t="str">
        <f>AvatarMatResID[[#This Row],[Material]]</f>
        <v>Female Brown Knight 04 Magenta</v>
      </c>
    </row>
    <row r="341" spans="1:9" x14ac:dyDescent="0.15">
      <c r="A341" t="s">
        <v>454</v>
      </c>
      <c r="B341" t="s">
        <v>1920</v>
      </c>
      <c r="C341" t="s">
        <v>756</v>
      </c>
      <c r="D341">
        <v>320</v>
      </c>
      <c r="F341">
        <f>OUTPUTAvatarMatResID[[#This Row],[AvatarPartID]]*10000+OUTPUTAvatarMatResID[[#This Row],[SexID]]*1000+AvatarMatResID[[#This Row],[CountIndex]]</f>
        <v>11320</v>
      </c>
      <c r="G341">
        <f>VLOOKUP(AvatarMatResID[[#This Row],[AvatarPart]],AvatarPartID[],2,0)</f>
        <v>1</v>
      </c>
      <c r="H341">
        <f>VLOOKUP(AvatarMatResID[[#This Row],[Sex]],SexID[],2,0)</f>
        <v>1</v>
      </c>
      <c r="I341" t="str">
        <f>AvatarMatResID[[#This Row],[Material]]</f>
        <v>Female Brown Knight 04 Purple</v>
      </c>
    </row>
    <row r="342" spans="1:9" x14ac:dyDescent="0.15">
      <c r="A342" t="s">
        <v>454</v>
      </c>
      <c r="B342" t="s">
        <v>1920</v>
      </c>
      <c r="C342" t="s">
        <v>757</v>
      </c>
      <c r="D342">
        <v>321</v>
      </c>
      <c r="F342">
        <f>OUTPUTAvatarMatResID[[#This Row],[AvatarPartID]]*10000+OUTPUTAvatarMatResID[[#This Row],[SexID]]*1000+AvatarMatResID[[#This Row],[CountIndex]]</f>
        <v>11321</v>
      </c>
      <c r="G342">
        <f>VLOOKUP(AvatarMatResID[[#This Row],[AvatarPart]],AvatarPartID[],2,0)</f>
        <v>1</v>
      </c>
      <c r="H342">
        <f>VLOOKUP(AvatarMatResID[[#This Row],[Sex]],SexID[],2,0)</f>
        <v>1</v>
      </c>
      <c r="I342" t="str">
        <f>AvatarMatResID[[#This Row],[Material]]</f>
        <v>Female Brown Knight 04 Red</v>
      </c>
    </row>
    <row r="343" spans="1:9" x14ac:dyDescent="0.15">
      <c r="A343" t="s">
        <v>454</v>
      </c>
      <c r="B343" t="s">
        <v>1920</v>
      </c>
      <c r="C343" t="s">
        <v>758</v>
      </c>
      <c r="D343">
        <v>322</v>
      </c>
      <c r="F343">
        <f>OUTPUTAvatarMatResID[[#This Row],[AvatarPartID]]*10000+OUTPUTAvatarMatResID[[#This Row],[SexID]]*1000+AvatarMatResID[[#This Row],[CountIndex]]</f>
        <v>11322</v>
      </c>
      <c r="G343">
        <f>VLOOKUP(AvatarMatResID[[#This Row],[AvatarPart]],AvatarPartID[],2,0)</f>
        <v>1</v>
      </c>
      <c r="H343">
        <f>VLOOKUP(AvatarMatResID[[#This Row],[Sex]],SexID[],2,0)</f>
        <v>1</v>
      </c>
      <c r="I343" t="str">
        <f>AvatarMatResID[[#This Row],[Material]]</f>
        <v>Female Brown Knight 04 White</v>
      </c>
    </row>
    <row r="344" spans="1:9" x14ac:dyDescent="0.15">
      <c r="A344" t="s">
        <v>454</v>
      </c>
      <c r="B344" t="s">
        <v>1920</v>
      </c>
      <c r="C344" t="s">
        <v>759</v>
      </c>
      <c r="D344">
        <v>323</v>
      </c>
      <c r="F344">
        <f>OUTPUTAvatarMatResID[[#This Row],[AvatarPartID]]*10000+OUTPUTAvatarMatResID[[#This Row],[SexID]]*1000+AvatarMatResID[[#This Row],[CountIndex]]</f>
        <v>11323</v>
      </c>
      <c r="G344">
        <f>VLOOKUP(AvatarMatResID[[#This Row],[AvatarPart]],AvatarPartID[],2,0)</f>
        <v>1</v>
      </c>
      <c r="H344">
        <f>VLOOKUP(AvatarMatResID[[#This Row],[Sex]],SexID[],2,0)</f>
        <v>1</v>
      </c>
      <c r="I344" t="str">
        <f>AvatarMatResID[[#This Row],[Material]]</f>
        <v>Female Brown Knight 04 Yellow</v>
      </c>
    </row>
    <row r="345" spans="1:9" x14ac:dyDescent="0.15">
      <c r="A345" t="s">
        <v>454</v>
      </c>
      <c r="B345" t="s">
        <v>1920</v>
      </c>
      <c r="C345" t="s">
        <v>760</v>
      </c>
      <c r="D345">
        <v>324</v>
      </c>
      <c r="F345">
        <f>OUTPUTAvatarMatResID[[#This Row],[AvatarPartID]]*10000+OUTPUTAvatarMatResID[[#This Row],[SexID]]*1000+AvatarMatResID[[#This Row],[CountIndex]]</f>
        <v>11324</v>
      </c>
      <c r="G345">
        <f>VLOOKUP(AvatarMatResID[[#This Row],[AvatarPart]],AvatarPartID[],2,0)</f>
        <v>1</v>
      </c>
      <c r="H345">
        <f>VLOOKUP(AvatarMatResID[[#This Row],[Sex]],SexID[],2,0)</f>
        <v>1</v>
      </c>
      <c r="I345" t="str">
        <f>AvatarMatResID[[#This Row],[Material]]</f>
        <v>Female Brown Knight 05 Blue</v>
      </c>
    </row>
    <row r="346" spans="1:9" x14ac:dyDescent="0.15">
      <c r="A346" t="s">
        <v>454</v>
      </c>
      <c r="B346" t="s">
        <v>1920</v>
      </c>
      <c r="C346" t="s">
        <v>761</v>
      </c>
      <c r="D346">
        <v>325</v>
      </c>
      <c r="F346">
        <f>OUTPUTAvatarMatResID[[#This Row],[AvatarPartID]]*10000+OUTPUTAvatarMatResID[[#This Row],[SexID]]*1000+AvatarMatResID[[#This Row],[CountIndex]]</f>
        <v>11325</v>
      </c>
      <c r="G346">
        <f>VLOOKUP(AvatarMatResID[[#This Row],[AvatarPart]],AvatarPartID[],2,0)</f>
        <v>1</v>
      </c>
      <c r="H346">
        <f>VLOOKUP(AvatarMatResID[[#This Row],[Sex]],SexID[],2,0)</f>
        <v>1</v>
      </c>
      <c r="I346" t="str">
        <f>AvatarMatResID[[#This Row],[Material]]</f>
        <v>Female Brown Knight 05 Green</v>
      </c>
    </row>
    <row r="347" spans="1:9" x14ac:dyDescent="0.15">
      <c r="A347" t="s">
        <v>454</v>
      </c>
      <c r="B347" t="s">
        <v>1920</v>
      </c>
      <c r="C347" t="s">
        <v>762</v>
      </c>
      <c r="D347">
        <v>326</v>
      </c>
      <c r="F347">
        <f>OUTPUTAvatarMatResID[[#This Row],[AvatarPartID]]*10000+OUTPUTAvatarMatResID[[#This Row],[SexID]]*1000+AvatarMatResID[[#This Row],[CountIndex]]</f>
        <v>11326</v>
      </c>
      <c r="G347">
        <f>VLOOKUP(AvatarMatResID[[#This Row],[AvatarPart]],AvatarPartID[],2,0)</f>
        <v>1</v>
      </c>
      <c r="H347">
        <f>VLOOKUP(AvatarMatResID[[#This Row],[Sex]],SexID[],2,0)</f>
        <v>1</v>
      </c>
      <c r="I347" t="str">
        <f>AvatarMatResID[[#This Row],[Material]]</f>
        <v>Female Brown Knight 05 Magenta</v>
      </c>
    </row>
    <row r="348" spans="1:9" x14ac:dyDescent="0.15">
      <c r="A348" t="s">
        <v>454</v>
      </c>
      <c r="B348" t="s">
        <v>1920</v>
      </c>
      <c r="C348" t="s">
        <v>763</v>
      </c>
      <c r="D348">
        <v>327</v>
      </c>
      <c r="F348">
        <f>OUTPUTAvatarMatResID[[#This Row],[AvatarPartID]]*10000+OUTPUTAvatarMatResID[[#This Row],[SexID]]*1000+AvatarMatResID[[#This Row],[CountIndex]]</f>
        <v>11327</v>
      </c>
      <c r="G348">
        <f>VLOOKUP(AvatarMatResID[[#This Row],[AvatarPart]],AvatarPartID[],2,0)</f>
        <v>1</v>
      </c>
      <c r="H348">
        <f>VLOOKUP(AvatarMatResID[[#This Row],[Sex]],SexID[],2,0)</f>
        <v>1</v>
      </c>
      <c r="I348" t="str">
        <f>AvatarMatResID[[#This Row],[Material]]</f>
        <v>Female Brown Knight 05 Purple</v>
      </c>
    </row>
    <row r="349" spans="1:9" x14ac:dyDescent="0.15">
      <c r="A349" t="s">
        <v>454</v>
      </c>
      <c r="B349" t="s">
        <v>1920</v>
      </c>
      <c r="C349" t="s">
        <v>764</v>
      </c>
      <c r="D349">
        <v>328</v>
      </c>
      <c r="F349">
        <f>OUTPUTAvatarMatResID[[#This Row],[AvatarPartID]]*10000+OUTPUTAvatarMatResID[[#This Row],[SexID]]*1000+AvatarMatResID[[#This Row],[CountIndex]]</f>
        <v>11328</v>
      </c>
      <c r="G349">
        <f>VLOOKUP(AvatarMatResID[[#This Row],[AvatarPart]],AvatarPartID[],2,0)</f>
        <v>1</v>
      </c>
      <c r="H349">
        <f>VLOOKUP(AvatarMatResID[[#This Row],[Sex]],SexID[],2,0)</f>
        <v>1</v>
      </c>
      <c r="I349" t="str">
        <f>AvatarMatResID[[#This Row],[Material]]</f>
        <v>Female Brown Knight 05 Red</v>
      </c>
    </row>
    <row r="350" spans="1:9" x14ac:dyDescent="0.15">
      <c r="A350" t="s">
        <v>454</v>
      </c>
      <c r="B350" t="s">
        <v>1920</v>
      </c>
      <c r="C350" t="s">
        <v>765</v>
      </c>
      <c r="D350">
        <v>329</v>
      </c>
      <c r="F350">
        <f>OUTPUTAvatarMatResID[[#This Row],[AvatarPartID]]*10000+OUTPUTAvatarMatResID[[#This Row],[SexID]]*1000+AvatarMatResID[[#This Row],[CountIndex]]</f>
        <v>11329</v>
      </c>
      <c r="G350">
        <f>VLOOKUP(AvatarMatResID[[#This Row],[AvatarPart]],AvatarPartID[],2,0)</f>
        <v>1</v>
      </c>
      <c r="H350">
        <f>VLOOKUP(AvatarMatResID[[#This Row],[Sex]],SexID[],2,0)</f>
        <v>1</v>
      </c>
      <c r="I350" t="str">
        <f>AvatarMatResID[[#This Row],[Material]]</f>
        <v>Female Brown Knight 05 White</v>
      </c>
    </row>
    <row r="351" spans="1:9" x14ac:dyDescent="0.15">
      <c r="A351" t="s">
        <v>454</v>
      </c>
      <c r="B351" t="s">
        <v>1920</v>
      </c>
      <c r="C351" t="s">
        <v>766</v>
      </c>
      <c r="D351">
        <v>330</v>
      </c>
      <c r="F351">
        <f>OUTPUTAvatarMatResID[[#This Row],[AvatarPartID]]*10000+OUTPUTAvatarMatResID[[#This Row],[SexID]]*1000+AvatarMatResID[[#This Row],[CountIndex]]</f>
        <v>11330</v>
      </c>
      <c r="G351">
        <f>VLOOKUP(AvatarMatResID[[#This Row],[AvatarPart]],AvatarPartID[],2,0)</f>
        <v>1</v>
      </c>
      <c r="H351">
        <f>VLOOKUP(AvatarMatResID[[#This Row],[Sex]],SexID[],2,0)</f>
        <v>1</v>
      </c>
      <c r="I351" t="str">
        <f>AvatarMatResID[[#This Row],[Material]]</f>
        <v>Female Brown Knight 05 Yellow</v>
      </c>
    </row>
    <row r="352" spans="1:9" x14ac:dyDescent="0.15">
      <c r="A352" t="s">
        <v>454</v>
      </c>
      <c r="B352" t="s">
        <v>1920</v>
      </c>
      <c r="C352" t="s">
        <v>767</v>
      </c>
      <c r="D352">
        <v>331</v>
      </c>
      <c r="F352">
        <f>OUTPUTAvatarMatResID[[#This Row],[AvatarPartID]]*10000+OUTPUTAvatarMatResID[[#This Row],[SexID]]*1000+AvatarMatResID[[#This Row],[CountIndex]]</f>
        <v>11331</v>
      </c>
      <c r="G352">
        <f>VLOOKUP(AvatarMatResID[[#This Row],[AvatarPart]],AvatarPartID[],2,0)</f>
        <v>1</v>
      </c>
      <c r="H352">
        <f>VLOOKUP(AvatarMatResID[[#This Row],[Sex]],SexID[],2,0)</f>
        <v>1</v>
      </c>
      <c r="I352" t="str">
        <f>AvatarMatResID[[#This Row],[Material]]</f>
        <v>Female Brown Knight 06 Black</v>
      </c>
    </row>
    <row r="353" spans="1:9" x14ac:dyDescent="0.15">
      <c r="A353" t="s">
        <v>454</v>
      </c>
      <c r="B353" t="s">
        <v>1920</v>
      </c>
      <c r="C353" t="s">
        <v>768</v>
      </c>
      <c r="D353">
        <v>332</v>
      </c>
      <c r="F353">
        <f>OUTPUTAvatarMatResID[[#This Row],[AvatarPartID]]*10000+OUTPUTAvatarMatResID[[#This Row],[SexID]]*1000+AvatarMatResID[[#This Row],[CountIndex]]</f>
        <v>11332</v>
      </c>
      <c r="G353">
        <f>VLOOKUP(AvatarMatResID[[#This Row],[AvatarPart]],AvatarPartID[],2,0)</f>
        <v>1</v>
      </c>
      <c r="H353">
        <f>VLOOKUP(AvatarMatResID[[#This Row],[Sex]],SexID[],2,0)</f>
        <v>1</v>
      </c>
      <c r="I353" t="str">
        <f>AvatarMatResID[[#This Row],[Material]]</f>
        <v>Female Brown Knight 06 Blue</v>
      </c>
    </row>
    <row r="354" spans="1:9" x14ac:dyDescent="0.15">
      <c r="A354" t="s">
        <v>454</v>
      </c>
      <c r="B354" t="s">
        <v>1920</v>
      </c>
      <c r="C354" t="s">
        <v>769</v>
      </c>
      <c r="D354">
        <v>333</v>
      </c>
      <c r="F354">
        <f>OUTPUTAvatarMatResID[[#This Row],[AvatarPartID]]*10000+OUTPUTAvatarMatResID[[#This Row],[SexID]]*1000+AvatarMatResID[[#This Row],[CountIndex]]</f>
        <v>11333</v>
      </c>
      <c r="G354">
        <f>VLOOKUP(AvatarMatResID[[#This Row],[AvatarPart]],AvatarPartID[],2,0)</f>
        <v>1</v>
      </c>
      <c r="H354">
        <f>VLOOKUP(AvatarMatResID[[#This Row],[Sex]],SexID[],2,0)</f>
        <v>1</v>
      </c>
      <c r="I354" t="str">
        <f>AvatarMatResID[[#This Row],[Material]]</f>
        <v>Female Brown Knight 06 Green</v>
      </c>
    </row>
    <row r="355" spans="1:9" x14ac:dyDescent="0.15">
      <c r="A355" t="s">
        <v>454</v>
      </c>
      <c r="B355" t="s">
        <v>1920</v>
      </c>
      <c r="C355" t="s">
        <v>770</v>
      </c>
      <c r="D355">
        <v>334</v>
      </c>
      <c r="F355">
        <f>OUTPUTAvatarMatResID[[#This Row],[AvatarPartID]]*10000+OUTPUTAvatarMatResID[[#This Row],[SexID]]*1000+AvatarMatResID[[#This Row],[CountIndex]]</f>
        <v>11334</v>
      </c>
      <c r="G355">
        <f>VLOOKUP(AvatarMatResID[[#This Row],[AvatarPart]],AvatarPartID[],2,0)</f>
        <v>1</v>
      </c>
      <c r="H355">
        <f>VLOOKUP(AvatarMatResID[[#This Row],[Sex]],SexID[],2,0)</f>
        <v>1</v>
      </c>
      <c r="I355" t="str">
        <f>AvatarMatResID[[#This Row],[Material]]</f>
        <v>Female Brown Knight 06 Magenta</v>
      </c>
    </row>
    <row r="356" spans="1:9" x14ac:dyDescent="0.15">
      <c r="A356" t="s">
        <v>454</v>
      </c>
      <c r="B356" t="s">
        <v>1920</v>
      </c>
      <c r="C356" t="s">
        <v>771</v>
      </c>
      <c r="D356">
        <v>335</v>
      </c>
      <c r="F356">
        <f>OUTPUTAvatarMatResID[[#This Row],[AvatarPartID]]*10000+OUTPUTAvatarMatResID[[#This Row],[SexID]]*1000+AvatarMatResID[[#This Row],[CountIndex]]</f>
        <v>11335</v>
      </c>
      <c r="G356">
        <f>VLOOKUP(AvatarMatResID[[#This Row],[AvatarPart]],AvatarPartID[],2,0)</f>
        <v>1</v>
      </c>
      <c r="H356">
        <f>VLOOKUP(AvatarMatResID[[#This Row],[Sex]],SexID[],2,0)</f>
        <v>1</v>
      </c>
      <c r="I356" t="str">
        <f>AvatarMatResID[[#This Row],[Material]]</f>
        <v>Female Brown Knight 06 Purple</v>
      </c>
    </row>
    <row r="357" spans="1:9" x14ac:dyDescent="0.15">
      <c r="A357" t="s">
        <v>454</v>
      </c>
      <c r="B357" t="s">
        <v>1920</v>
      </c>
      <c r="C357" t="s">
        <v>772</v>
      </c>
      <c r="D357">
        <v>336</v>
      </c>
      <c r="F357">
        <f>OUTPUTAvatarMatResID[[#This Row],[AvatarPartID]]*10000+OUTPUTAvatarMatResID[[#This Row],[SexID]]*1000+AvatarMatResID[[#This Row],[CountIndex]]</f>
        <v>11336</v>
      </c>
      <c r="G357">
        <f>VLOOKUP(AvatarMatResID[[#This Row],[AvatarPart]],AvatarPartID[],2,0)</f>
        <v>1</v>
      </c>
      <c r="H357">
        <f>VLOOKUP(AvatarMatResID[[#This Row],[Sex]],SexID[],2,0)</f>
        <v>1</v>
      </c>
      <c r="I357" t="str">
        <f>AvatarMatResID[[#This Row],[Material]]</f>
        <v>Female Brown Knight 06 Red</v>
      </c>
    </row>
    <row r="358" spans="1:9" x14ac:dyDescent="0.15">
      <c r="A358" t="s">
        <v>454</v>
      </c>
      <c r="B358" t="s">
        <v>1920</v>
      </c>
      <c r="C358" t="s">
        <v>773</v>
      </c>
      <c r="D358">
        <v>337</v>
      </c>
      <c r="F358">
        <f>OUTPUTAvatarMatResID[[#This Row],[AvatarPartID]]*10000+OUTPUTAvatarMatResID[[#This Row],[SexID]]*1000+AvatarMatResID[[#This Row],[CountIndex]]</f>
        <v>11337</v>
      </c>
      <c r="G358">
        <f>VLOOKUP(AvatarMatResID[[#This Row],[AvatarPart]],AvatarPartID[],2,0)</f>
        <v>1</v>
      </c>
      <c r="H358">
        <f>VLOOKUP(AvatarMatResID[[#This Row],[Sex]],SexID[],2,0)</f>
        <v>1</v>
      </c>
      <c r="I358" t="str">
        <f>AvatarMatResID[[#This Row],[Material]]</f>
        <v>Female Brown Knight 06 White</v>
      </c>
    </row>
    <row r="359" spans="1:9" x14ac:dyDescent="0.15">
      <c r="A359" t="s">
        <v>454</v>
      </c>
      <c r="B359" t="s">
        <v>1920</v>
      </c>
      <c r="C359" t="s">
        <v>774</v>
      </c>
      <c r="D359">
        <v>338</v>
      </c>
      <c r="F359">
        <f>OUTPUTAvatarMatResID[[#This Row],[AvatarPartID]]*10000+OUTPUTAvatarMatResID[[#This Row],[SexID]]*1000+AvatarMatResID[[#This Row],[CountIndex]]</f>
        <v>11338</v>
      </c>
      <c r="G359">
        <f>VLOOKUP(AvatarMatResID[[#This Row],[AvatarPart]],AvatarPartID[],2,0)</f>
        <v>1</v>
      </c>
      <c r="H359">
        <f>VLOOKUP(AvatarMatResID[[#This Row],[Sex]],SexID[],2,0)</f>
        <v>1</v>
      </c>
      <c r="I359" t="str">
        <f>AvatarMatResID[[#This Row],[Material]]</f>
        <v>Female Brown Knight 06 Yellow</v>
      </c>
    </row>
    <row r="360" spans="1:9" x14ac:dyDescent="0.15">
      <c r="A360" t="s">
        <v>454</v>
      </c>
      <c r="B360" t="s">
        <v>1920</v>
      </c>
      <c r="C360" t="s">
        <v>1746</v>
      </c>
      <c r="D360">
        <v>339</v>
      </c>
      <c r="F360">
        <f>OUTPUTAvatarMatResID[[#This Row],[AvatarPartID]]*10000+OUTPUTAvatarMatResID[[#This Row],[SexID]]*1000+AvatarMatResID[[#This Row],[CountIndex]]</f>
        <v>11339</v>
      </c>
      <c r="G360">
        <f>VLOOKUP(AvatarMatResID[[#This Row],[AvatarPart]],AvatarPartID[],2,0)</f>
        <v>1</v>
      </c>
      <c r="H360">
        <f>VLOOKUP(AvatarMatResID[[#This Row],[Sex]],SexID[],2,0)</f>
        <v>1</v>
      </c>
      <c r="I360" t="str">
        <f>AvatarMatResID[[#This Row],[Material]]</f>
        <v>Female Brown L Dress 01 Blue</v>
      </c>
    </row>
    <row r="361" spans="1:9" x14ac:dyDescent="0.15">
      <c r="A361" t="s">
        <v>454</v>
      </c>
      <c r="B361" t="s">
        <v>1920</v>
      </c>
      <c r="C361" t="s">
        <v>1747</v>
      </c>
      <c r="D361">
        <v>340</v>
      </c>
      <c r="F361">
        <f>OUTPUTAvatarMatResID[[#This Row],[AvatarPartID]]*10000+OUTPUTAvatarMatResID[[#This Row],[SexID]]*1000+AvatarMatResID[[#This Row],[CountIndex]]</f>
        <v>11340</v>
      </c>
      <c r="G361">
        <f>VLOOKUP(AvatarMatResID[[#This Row],[AvatarPart]],AvatarPartID[],2,0)</f>
        <v>1</v>
      </c>
      <c r="H361">
        <f>VLOOKUP(AvatarMatResID[[#This Row],[Sex]],SexID[],2,0)</f>
        <v>1</v>
      </c>
      <c r="I361" t="str">
        <f>AvatarMatResID[[#This Row],[Material]]</f>
        <v>Female Brown L Dress 01 Brown</v>
      </c>
    </row>
    <row r="362" spans="1:9" x14ac:dyDescent="0.15">
      <c r="A362" t="s">
        <v>454</v>
      </c>
      <c r="B362" t="s">
        <v>1920</v>
      </c>
      <c r="C362" t="s">
        <v>1748</v>
      </c>
      <c r="D362">
        <v>341</v>
      </c>
      <c r="F362">
        <f>OUTPUTAvatarMatResID[[#This Row],[AvatarPartID]]*10000+OUTPUTAvatarMatResID[[#This Row],[SexID]]*1000+AvatarMatResID[[#This Row],[CountIndex]]</f>
        <v>11341</v>
      </c>
      <c r="G362">
        <f>VLOOKUP(AvatarMatResID[[#This Row],[AvatarPart]],AvatarPartID[],2,0)</f>
        <v>1</v>
      </c>
      <c r="H362">
        <f>VLOOKUP(AvatarMatResID[[#This Row],[Sex]],SexID[],2,0)</f>
        <v>1</v>
      </c>
      <c r="I362" t="str">
        <f>AvatarMatResID[[#This Row],[Material]]</f>
        <v>Female Brown L Dress 01 Green</v>
      </c>
    </row>
    <row r="363" spans="1:9" x14ac:dyDescent="0.15">
      <c r="A363" t="s">
        <v>454</v>
      </c>
      <c r="B363" t="s">
        <v>1920</v>
      </c>
      <c r="C363" t="s">
        <v>1749</v>
      </c>
      <c r="D363">
        <v>342</v>
      </c>
      <c r="F363">
        <f>OUTPUTAvatarMatResID[[#This Row],[AvatarPartID]]*10000+OUTPUTAvatarMatResID[[#This Row],[SexID]]*1000+AvatarMatResID[[#This Row],[CountIndex]]</f>
        <v>11342</v>
      </c>
      <c r="G363">
        <f>VLOOKUP(AvatarMatResID[[#This Row],[AvatarPart]],AvatarPartID[],2,0)</f>
        <v>1</v>
      </c>
      <c r="H363">
        <f>VLOOKUP(AvatarMatResID[[#This Row],[Sex]],SexID[],2,0)</f>
        <v>1</v>
      </c>
      <c r="I363" t="str">
        <f>AvatarMatResID[[#This Row],[Material]]</f>
        <v>Female Brown L Dress 01 Purple</v>
      </c>
    </row>
    <row r="364" spans="1:9" x14ac:dyDescent="0.15">
      <c r="A364" t="s">
        <v>454</v>
      </c>
      <c r="B364" t="s">
        <v>1920</v>
      </c>
      <c r="C364" t="s">
        <v>1750</v>
      </c>
      <c r="D364">
        <v>343</v>
      </c>
      <c r="F364">
        <f>OUTPUTAvatarMatResID[[#This Row],[AvatarPartID]]*10000+OUTPUTAvatarMatResID[[#This Row],[SexID]]*1000+AvatarMatResID[[#This Row],[CountIndex]]</f>
        <v>11343</v>
      </c>
      <c r="G364">
        <f>VLOOKUP(AvatarMatResID[[#This Row],[AvatarPart]],AvatarPartID[],2,0)</f>
        <v>1</v>
      </c>
      <c r="H364">
        <f>VLOOKUP(AvatarMatResID[[#This Row],[Sex]],SexID[],2,0)</f>
        <v>1</v>
      </c>
      <c r="I364" t="str">
        <f>AvatarMatResID[[#This Row],[Material]]</f>
        <v>Female Brown L Dress 01 Red</v>
      </c>
    </row>
    <row r="365" spans="1:9" x14ac:dyDescent="0.15">
      <c r="A365" t="s">
        <v>454</v>
      </c>
      <c r="B365" t="s">
        <v>1920</v>
      </c>
      <c r="C365" t="s">
        <v>1751</v>
      </c>
      <c r="D365">
        <v>344</v>
      </c>
      <c r="F365">
        <f>OUTPUTAvatarMatResID[[#This Row],[AvatarPartID]]*10000+OUTPUTAvatarMatResID[[#This Row],[SexID]]*1000+AvatarMatResID[[#This Row],[CountIndex]]</f>
        <v>11344</v>
      </c>
      <c r="G365">
        <f>VLOOKUP(AvatarMatResID[[#This Row],[AvatarPart]],AvatarPartID[],2,0)</f>
        <v>1</v>
      </c>
      <c r="H365">
        <f>VLOOKUP(AvatarMatResID[[#This Row],[Sex]],SexID[],2,0)</f>
        <v>1</v>
      </c>
      <c r="I365" t="str">
        <f>AvatarMatResID[[#This Row],[Material]]</f>
        <v>Female Brown L Dress 02 Blue</v>
      </c>
    </row>
    <row r="366" spans="1:9" x14ac:dyDescent="0.15">
      <c r="A366" t="s">
        <v>454</v>
      </c>
      <c r="B366" t="s">
        <v>1920</v>
      </c>
      <c r="C366" t="s">
        <v>1752</v>
      </c>
      <c r="D366">
        <v>345</v>
      </c>
      <c r="F366">
        <f>OUTPUTAvatarMatResID[[#This Row],[AvatarPartID]]*10000+OUTPUTAvatarMatResID[[#This Row],[SexID]]*1000+AvatarMatResID[[#This Row],[CountIndex]]</f>
        <v>11345</v>
      </c>
      <c r="G366">
        <f>VLOOKUP(AvatarMatResID[[#This Row],[AvatarPart]],AvatarPartID[],2,0)</f>
        <v>1</v>
      </c>
      <c r="H366">
        <f>VLOOKUP(AvatarMatResID[[#This Row],[Sex]],SexID[],2,0)</f>
        <v>1</v>
      </c>
      <c r="I366" t="str">
        <f>AvatarMatResID[[#This Row],[Material]]</f>
        <v>Female Brown L Dress 02 Brown</v>
      </c>
    </row>
    <row r="367" spans="1:9" x14ac:dyDescent="0.15">
      <c r="A367" t="s">
        <v>454</v>
      </c>
      <c r="B367" t="s">
        <v>1920</v>
      </c>
      <c r="C367" t="s">
        <v>1753</v>
      </c>
      <c r="D367">
        <v>346</v>
      </c>
      <c r="F367">
        <f>OUTPUTAvatarMatResID[[#This Row],[AvatarPartID]]*10000+OUTPUTAvatarMatResID[[#This Row],[SexID]]*1000+AvatarMatResID[[#This Row],[CountIndex]]</f>
        <v>11346</v>
      </c>
      <c r="G367">
        <f>VLOOKUP(AvatarMatResID[[#This Row],[AvatarPart]],AvatarPartID[],2,0)</f>
        <v>1</v>
      </c>
      <c r="H367">
        <f>VLOOKUP(AvatarMatResID[[#This Row],[Sex]],SexID[],2,0)</f>
        <v>1</v>
      </c>
      <c r="I367" t="str">
        <f>AvatarMatResID[[#This Row],[Material]]</f>
        <v>Female Brown L Dress 02 Green</v>
      </c>
    </row>
    <row r="368" spans="1:9" x14ac:dyDescent="0.15">
      <c r="A368" t="s">
        <v>454</v>
      </c>
      <c r="B368" t="s">
        <v>1920</v>
      </c>
      <c r="C368" t="s">
        <v>1754</v>
      </c>
      <c r="D368">
        <v>347</v>
      </c>
      <c r="F368">
        <f>OUTPUTAvatarMatResID[[#This Row],[AvatarPartID]]*10000+OUTPUTAvatarMatResID[[#This Row],[SexID]]*1000+AvatarMatResID[[#This Row],[CountIndex]]</f>
        <v>11347</v>
      </c>
      <c r="G368">
        <f>VLOOKUP(AvatarMatResID[[#This Row],[AvatarPart]],AvatarPartID[],2,0)</f>
        <v>1</v>
      </c>
      <c r="H368">
        <f>VLOOKUP(AvatarMatResID[[#This Row],[Sex]],SexID[],2,0)</f>
        <v>1</v>
      </c>
      <c r="I368" t="str">
        <f>AvatarMatResID[[#This Row],[Material]]</f>
        <v>Female Brown L Dress 02 Purple</v>
      </c>
    </row>
    <row r="369" spans="1:9" x14ac:dyDescent="0.15">
      <c r="A369" t="s">
        <v>454</v>
      </c>
      <c r="B369" t="s">
        <v>1920</v>
      </c>
      <c r="C369" t="s">
        <v>1755</v>
      </c>
      <c r="D369">
        <v>348</v>
      </c>
      <c r="F369">
        <f>OUTPUTAvatarMatResID[[#This Row],[AvatarPartID]]*10000+OUTPUTAvatarMatResID[[#This Row],[SexID]]*1000+AvatarMatResID[[#This Row],[CountIndex]]</f>
        <v>11348</v>
      </c>
      <c r="G369">
        <f>VLOOKUP(AvatarMatResID[[#This Row],[AvatarPart]],AvatarPartID[],2,0)</f>
        <v>1</v>
      </c>
      <c r="H369">
        <f>VLOOKUP(AvatarMatResID[[#This Row],[Sex]],SexID[],2,0)</f>
        <v>1</v>
      </c>
      <c r="I369" t="str">
        <f>AvatarMatResID[[#This Row],[Material]]</f>
        <v>Female Brown L Dress 02 Red</v>
      </c>
    </row>
    <row r="370" spans="1:9" x14ac:dyDescent="0.15">
      <c r="A370" t="s">
        <v>454</v>
      </c>
      <c r="B370" t="s">
        <v>1920</v>
      </c>
      <c r="C370" t="s">
        <v>1756</v>
      </c>
      <c r="D370">
        <v>349</v>
      </c>
      <c r="F370">
        <f>OUTPUTAvatarMatResID[[#This Row],[AvatarPartID]]*10000+OUTPUTAvatarMatResID[[#This Row],[SexID]]*1000+AvatarMatResID[[#This Row],[CountIndex]]</f>
        <v>11349</v>
      </c>
      <c r="G370">
        <f>VLOOKUP(AvatarMatResID[[#This Row],[AvatarPart]],AvatarPartID[],2,0)</f>
        <v>1</v>
      </c>
      <c r="H370">
        <f>VLOOKUP(AvatarMatResID[[#This Row],[Sex]],SexID[],2,0)</f>
        <v>1</v>
      </c>
      <c r="I370" t="str">
        <f>AvatarMatResID[[#This Row],[Material]]</f>
        <v>Female Brown L Dress 03 Blue</v>
      </c>
    </row>
    <row r="371" spans="1:9" x14ac:dyDescent="0.15">
      <c r="A371" t="s">
        <v>454</v>
      </c>
      <c r="B371" t="s">
        <v>1920</v>
      </c>
      <c r="C371" t="s">
        <v>1757</v>
      </c>
      <c r="D371">
        <v>350</v>
      </c>
      <c r="F371">
        <f>OUTPUTAvatarMatResID[[#This Row],[AvatarPartID]]*10000+OUTPUTAvatarMatResID[[#This Row],[SexID]]*1000+AvatarMatResID[[#This Row],[CountIndex]]</f>
        <v>11350</v>
      </c>
      <c r="G371">
        <f>VLOOKUP(AvatarMatResID[[#This Row],[AvatarPart]],AvatarPartID[],2,0)</f>
        <v>1</v>
      </c>
      <c r="H371">
        <f>VLOOKUP(AvatarMatResID[[#This Row],[Sex]],SexID[],2,0)</f>
        <v>1</v>
      </c>
      <c r="I371" t="str">
        <f>AvatarMatResID[[#This Row],[Material]]</f>
        <v>Female Brown L Dress 03 Brown</v>
      </c>
    </row>
    <row r="372" spans="1:9" x14ac:dyDescent="0.15">
      <c r="A372" t="s">
        <v>454</v>
      </c>
      <c r="B372" t="s">
        <v>1920</v>
      </c>
      <c r="C372" t="s">
        <v>1758</v>
      </c>
      <c r="D372">
        <v>351</v>
      </c>
      <c r="F372">
        <f>OUTPUTAvatarMatResID[[#This Row],[AvatarPartID]]*10000+OUTPUTAvatarMatResID[[#This Row],[SexID]]*1000+AvatarMatResID[[#This Row],[CountIndex]]</f>
        <v>11351</v>
      </c>
      <c r="G372">
        <f>VLOOKUP(AvatarMatResID[[#This Row],[AvatarPart]],AvatarPartID[],2,0)</f>
        <v>1</v>
      </c>
      <c r="H372">
        <f>VLOOKUP(AvatarMatResID[[#This Row],[Sex]],SexID[],2,0)</f>
        <v>1</v>
      </c>
      <c r="I372" t="str">
        <f>AvatarMatResID[[#This Row],[Material]]</f>
        <v>Female Brown L Dress 03 Green</v>
      </c>
    </row>
    <row r="373" spans="1:9" x14ac:dyDescent="0.15">
      <c r="A373" t="s">
        <v>454</v>
      </c>
      <c r="B373" t="s">
        <v>1920</v>
      </c>
      <c r="C373" t="s">
        <v>1759</v>
      </c>
      <c r="D373">
        <v>352</v>
      </c>
      <c r="F373">
        <f>OUTPUTAvatarMatResID[[#This Row],[AvatarPartID]]*10000+OUTPUTAvatarMatResID[[#This Row],[SexID]]*1000+AvatarMatResID[[#This Row],[CountIndex]]</f>
        <v>11352</v>
      </c>
      <c r="G373">
        <f>VLOOKUP(AvatarMatResID[[#This Row],[AvatarPart]],AvatarPartID[],2,0)</f>
        <v>1</v>
      </c>
      <c r="H373">
        <f>VLOOKUP(AvatarMatResID[[#This Row],[Sex]],SexID[],2,0)</f>
        <v>1</v>
      </c>
      <c r="I373" t="str">
        <f>AvatarMatResID[[#This Row],[Material]]</f>
        <v>Female Brown L Dress 03 Purple</v>
      </c>
    </row>
    <row r="374" spans="1:9" x14ac:dyDescent="0.15">
      <c r="A374" t="s">
        <v>454</v>
      </c>
      <c r="B374" t="s">
        <v>1920</v>
      </c>
      <c r="C374" t="s">
        <v>1760</v>
      </c>
      <c r="D374">
        <v>353</v>
      </c>
      <c r="F374">
        <f>OUTPUTAvatarMatResID[[#This Row],[AvatarPartID]]*10000+OUTPUTAvatarMatResID[[#This Row],[SexID]]*1000+AvatarMatResID[[#This Row],[CountIndex]]</f>
        <v>11353</v>
      </c>
      <c r="G374">
        <f>VLOOKUP(AvatarMatResID[[#This Row],[AvatarPart]],AvatarPartID[],2,0)</f>
        <v>1</v>
      </c>
      <c r="H374">
        <f>VLOOKUP(AvatarMatResID[[#This Row],[Sex]],SexID[],2,0)</f>
        <v>1</v>
      </c>
      <c r="I374" t="str">
        <f>AvatarMatResID[[#This Row],[Material]]</f>
        <v>Female Brown L Dress 03 Red</v>
      </c>
    </row>
    <row r="375" spans="1:9" x14ac:dyDescent="0.15">
      <c r="A375" t="s">
        <v>454</v>
      </c>
      <c r="B375" t="s">
        <v>1920</v>
      </c>
      <c r="C375" t="s">
        <v>1761</v>
      </c>
      <c r="D375">
        <v>354</v>
      </c>
      <c r="F375">
        <f>OUTPUTAvatarMatResID[[#This Row],[AvatarPartID]]*10000+OUTPUTAvatarMatResID[[#This Row],[SexID]]*1000+AvatarMatResID[[#This Row],[CountIndex]]</f>
        <v>11354</v>
      </c>
      <c r="G375">
        <f>VLOOKUP(AvatarMatResID[[#This Row],[AvatarPart]],AvatarPartID[],2,0)</f>
        <v>1</v>
      </c>
      <c r="H375">
        <f>VLOOKUP(AvatarMatResID[[#This Row],[Sex]],SexID[],2,0)</f>
        <v>1</v>
      </c>
      <c r="I375" t="str">
        <f>AvatarMatResID[[#This Row],[Material]]</f>
        <v>Female Brown L Dress 04 Blue</v>
      </c>
    </row>
    <row r="376" spans="1:9" x14ac:dyDescent="0.15">
      <c r="A376" t="s">
        <v>454</v>
      </c>
      <c r="B376" t="s">
        <v>1920</v>
      </c>
      <c r="C376" t="s">
        <v>1762</v>
      </c>
      <c r="D376">
        <v>355</v>
      </c>
      <c r="F376">
        <f>OUTPUTAvatarMatResID[[#This Row],[AvatarPartID]]*10000+OUTPUTAvatarMatResID[[#This Row],[SexID]]*1000+AvatarMatResID[[#This Row],[CountIndex]]</f>
        <v>11355</v>
      </c>
      <c r="G376">
        <f>VLOOKUP(AvatarMatResID[[#This Row],[AvatarPart]],AvatarPartID[],2,0)</f>
        <v>1</v>
      </c>
      <c r="H376">
        <f>VLOOKUP(AvatarMatResID[[#This Row],[Sex]],SexID[],2,0)</f>
        <v>1</v>
      </c>
      <c r="I376" t="str">
        <f>AvatarMatResID[[#This Row],[Material]]</f>
        <v>Female Brown L Dress 04 Brown</v>
      </c>
    </row>
    <row r="377" spans="1:9" x14ac:dyDescent="0.15">
      <c r="A377" t="s">
        <v>454</v>
      </c>
      <c r="B377" t="s">
        <v>1920</v>
      </c>
      <c r="C377" t="s">
        <v>1763</v>
      </c>
      <c r="D377">
        <v>356</v>
      </c>
      <c r="F377">
        <f>OUTPUTAvatarMatResID[[#This Row],[AvatarPartID]]*10000+OUTPUTAvatarMatResID[[#This Row],[SexID]]*1000+AvatarMatResID[[#This Row],[CountIndex]]</f>
        <v>11356</v>
      </c>
      <c r="G377">
        <f>VLOOKUP(AvatarMatResID[[#This Row],[AvatarPart]],AvatarPartID[],2,0)</f>
        <v>1</v>
      </c>
      <c r="H377">
        <f>VLOOKUP(AvatarMatResID[[#This Row],[Sex]],SexID[],2,0)</f>
        <v>1</v>
      </c>
      <c r="I377" t="str">
        <f>AvatarMatResID[[#This Row],[Material]]</f>
        <v>Female Brown L Dress 04 Green</v>
      </c>
    </row>
    <row r="378" spans="1:9" x14ac:dyDescent="0.15">
      <c r="A378" t="s">
        <v>454</v>
      </c>
      <c r="B378" t="s">
        <v>1920</v>
      </c>
      <c r="C378" t="s">
        <v>1764</v>
      </c>
      <c r="D378">
        <v>357</v>
      </c>
      <c r="F378">
        <f>OUTPUTAvatarMatResID[[#This Row],[AvatarPartID]]*10000+OUTPUTAvatarMatResID[[#This Row],[SexID]]*1000+AvatarMatResID[[#This Row],[CountIndex]]</f>
        <v>11357</v>
      </c>
      <c r="G378">
        <f>VLOOKUP(AvatarMatResID[[#This Row],[AvatarPart]],AvatarPartID[],2,0)</f>
        <v>1</v>
      </c>
      <c r="H378">
        <f>VLOOKUP(AvatarMatResID[[#This Row],[Sex]],SexID[],2,0)</f>
        <v>1</v>
      </c>
      <c r="I378" t="str">
        <f>AvatarMatResID[[#This Row],[Material]]</f>
        <v>Female Brown L Dress 04 Purple</v>
      </c>
    </row>
    <row r="379" spans="1:9" x14ac:dyDescent="0.15">
      <c r="A379" t="s">
        <v>454</v>
      </c>
      <c r="B379" t="s">
        <v>1920</v>
      </c>
      <c r="C379" t="s">
        <v>1765</v>
      </c>
      <c r="D379">
        <v>358</v>
      </c>
      <c r="F379">
        <f>OUTPUTAvatarMatResID[[#This Row],[AvatarPartID]]*10000+OUTPUTAvatarMatResID[[#This Row],[SexID]]*1000+AvatarMatResID[[#This Row],[CountIndex]]</f>
        <v>11358</v>
      </c>
      <c r="G379">
        <f>VLOOKUP(AvatarMatResID[[#This Row],[AvatarPart]],AvatarPartID[],2,0)</f>
        <v>1</v>
      </c>
      <c r="H379">
        <f>VLOOKUP(AvatarMatResID[[#This Row],[Sex]],SexID[],2,0)</f>
        <v>1</v>
      </c>
      <c r="I379" t="str">
        <f>AvatarMatResID[[#This Row],[Material]]</f>
        <v>Female Brown L Dress 04 Red</v>
      </c>
    </row>
    <row r="380" spans="1:9" x14ac:dyDescent="0.15">
      <c r="A380" t="s">
        <v>454</v>
      </c>
      <c r="B380" t="s">
        <v>1920</v>
      </c>
      <c r="C380" t="s">
        <v>775</v>
      </c>
      <c r="D380">
        <v>359</v>
      </c>
      <c r="F380">
        <f>OUTPUTAvatarMatResID[[#This Row],[AvatarPartID]]*10000+OUTPUTAvatarMatResID[[#This Row],[SexID]]*1000+AvatarMatResID[[#This Row],[CountIndex]]</f>
        <v>11359</v>
      </c>
      <c r="G380">
        <f>VLOOKUP(AvatarMatResID[[#This Row],[AvatarPart]],AvatarPartID[],2,0)</f>
        <v>1</v>
      </c>
      <c r="H380">
        <f>VLOOKUP(AvatarMatResID[[#This Row],[Sex]],SexID[],2,0)</f>
        <v>1</v>
      </c>
      <c r="I380" t="str">
        <f>AvatarMatResID[[#This Row],[Material]]</f>
        <v>Female Brown Naked</v>
      </c>
    </row>
    <row r="381" spans="1:9" x14ac:dyDescent="0.15">
      <c r="A381" t="s">
        <v>454</v>
      </c>
      <c r="B381" t="s">
        <v>1920</v>
      </c>
      <c r="C381" t="s">
        <v>776</v>
      </c>
      <c r="D381">
        <v>360</v>
      </c>
      <c r="F381">
        <f>OUTPUTAvatarMatResID[[#This Row],[AvatarPartID]]*10000+OUTPUTAvatarMatResID[[#This Row],[SexID]]*1000+AvatarMatResID[[#This Row],[CountIndex]]</f>
        <v>11360</v>
      </c>
      <c r="G381">
        <f>VLOOKUP(AvatarMatResID[[#This Row],[AvatarPart]],AvatarPartID[],2,0)</f>
        <v>1</v>
      </c>
      <c r="H381">
        <f>VLOOKUP(AvatarMatResID[[#This Row],[Sex]],SexID[],2,0)</f>
        <v>1</v>
      </c>
      <c r="I381" t="str">
        <f>AvatarMatResID[[#This Row],[Material]]</f>
        <v>Female Brown Sorceress 01 Black</v>
      </c>
    </row>
    <row r="382" spans="1:9" x14ac:dyDescent="0.15">
      <c r="A382" t="s">
        <v>454</v>
      </c>
      <c r="B382" t="s">
        <v>1920</v>
      </c>
      <c r="C382" t="s">
        <v>777</v>
      </c>
      <c r="D382">
        <v>361</v>
      </c>
      <c r="F382">
        <f>OUTPUTAvatarMatResID[[#This Row],[AvatarPartID]]*10000+OUTPUTAvatarMatResID[[#This Row],[SexID]]*1000+AvatarMatResID[[#This Row],[CountIndex]]</f>
        <v>11361</v>
      </c>
      <c r="G382">
        <f>VLOOKUP(AvatarMatResID[[#This Row],[AvatarPart]],AvatarPartID[],2,0)</f>
        <v>1</v>
      </c>
      <c r="H382">
        <f>VLOOKUP(AvatarMatResID[[#This Row],[Sex]],SexID[],2,0)</f>
        <v>1</v>
      </c>
      <c r="I382" t="str">
        <f>AvatarMatResID[[#This Row],[Material]]</f>
        <v>Female Brown Sorceress 01 Blue</v>
      </c>
    </row>
    <row r="383" spans="1:9" x14ac:dyDescent="0.15">
      <c r="A383" t="s">
        <v>454</v>
      </c>
      <c r="B383" t="s">
        <v>1920</v>
      </c>
      <c r="C383" t="s">
        <v>778</v>
      </c>
      <c r="D383">
        <v>362</v>
      </c>
      <c r="F383">
        <f>OUTPUTAvatarMatResID[[#This Row],[AvatarPartID]]*10000+OUTPUTAvatarMatResID[[#This Row],[SexID]]*1000+AvatarMatResID[[#This Row],[CountIndex]]</f>
        <v>11362</v>
      </c>
      <c r="G383">
        <f>VLOOKUP(AvatarMatResID[[#This Row],[AvatarPart]],AvatarPartID[],2,0)</f>
        <v>1</v>
      </c>
      <c r="H383">
        <f>VLOOKUP(AvatarMatResID[[#This Row],[Sex]],SexID[],2,0)</f>
        <v>1</v>
      </c>
      <c r="I383" t="str">
        <f>AvatarMatResID[[#This Row],[Material]]</f>
        <v>Female Brown Sorceress 01 Green</v>
      </c>
    </row>
    <row r="384" spans="1:9" x14ac:dyDescent="0.15">
      <c r="A384" t="s">
        <v>454</v>
      </c>
      <c r="B384" t="s">
        <v>1920</v>
      </c>
      <c r="C384" t="s">
        <v>779</v>
      </c>
      <c r="D384">
        <v>363</v>
      </c>
      <c r="F384">
        <f>OUTPUTAvatarMatResID[[#This Row],[AvatarPartID]]*10000+OUTPUTAvatarMatResID[[#This Row],[SexID]]*1000+AvatarMatResID[[#This Row],[CountIndex]]</f>
        <v>11363</v>
      </c>
      <c r="G384">
        <f>VLOOKUP(AvatarMatResID[[#This Row],[AvatarPart]],AvatarPartID[],2,0)</f>
        <v>1</v>
      </c>
      <c r="H384">
        <f>VLOOKUP(AvatarMatResID[[#This Row],[Sex]],SexID[],2,0)</f>
        <v>1</v>
      </c>
      <c r="I384" t="str">
        <f>AvatarMatResID[[#This Row],[Material]]</f>
        <v>Female Brown Sorceress 01 Pink</v>
      </c>
    </row>
    <row r="385" spans="1:9" x14ac:dyDescent="0.15">
      <c r="A385" t="s">
        <v>454</v>
      </c>
      <c r="B385" t="s">
        <v>1920</v>
      </c>
      <c r="C385" t="s">
        <v>780</v>
      </c>
      <c r="D385">
        <v>364</v>
      </c>
      <c r="F385">
        <f>OUTPUTAvatarMatResID[[#This Row],[AvatarPartID]]*10000+OUTPUTAvatarMatResID[[#This Row],[SexID]]*1000+AvatarMatResID[[#This Row],[CountIndex]]</f>
        <v>11364</v>
      </c>
      <c r="G385">
        <f>VLOOKUP(AvatarMatResID[[#This Row],[AvatarPart]],AvatarPartID[],2,0)</f>
        <v>1</v>
      </c>
      <c r="H385">
        <f>VLOOKUP(AvatarMatResID[[#This Row],[Sex]],SexID[],2,0)</f>
        <v>1</v>
      </c>
      <c r="I385" t="str">
        <f>AvatarMatResID[[#This Row],[Material]]</f>
        <v>Female Brown Sorceress 01 Purple</v>
      </c>
    </row>
    <row r="386" spans="1:9" x14ac:dyDescent="0.15">
      <c r="A386" t="s">
        <v>454</v>
      </c>
      <c r="B386" t="s">
        <v>1920</v>
      </c>
      <c r="C386" t="s">
        <v>781</v>
      </c>
      <c r="D386">
        <v>365</v>
      </c>
      <c r="F386">
        <f>OUTPUTAvatarMatResID[[#This Row],[AvatarPartID]]*10000+OUTPUTAvatarMatResID[[#This Row],[SexID]]*1000+AvatarMatResID[[#This Row],[CountIndex]]</f>
        <v>11365</v>
      </c>
      <c r="G386">
        <f>VLOOKUP(AvatarMatResID[[#This Row],[AvatarPart]],AvatarPartID[],2,0)</f>
        <v>1</v>
      </c>
      <c r="H386">
        <f>VLOOKUP(AvatarMatResID[[#This Row],[Sex]],SexID[],2,0)</f>
        <v>1</v>
      </c>
      <c r="I386" t="str">
        <f>AvatarMatResID[[#This Row],[Material]]</f>
        <v>Female Brown Sorceress 02 Blue</v>
      </c>
    </row>
    <row r="387" spans="1:9" x14ac:dyDescent="0.15">
      <c r="A387" t="s">
        <v>454</v>
      </c>
      <c r="B387" t="s">
        <v>1920</v>
      </c>
      <c r="C387" t="s">
        <v>782</v>
      </c>
      <c r="D387">
        <v>366</v>
      </c>
      <c r="F387">
        <f>OUTPUTAvatarMatResID[[#This Row],[AvatarPartID]]*10000+OUTPUTAvatarMatResID[[#This Row],[SexID]]*1000+AvatarMatResID[[#This Row],[CountIndex]]</f>
        <v>11366</v>
      </c>
      <c r="G387">
        <f>VLOOKUP(AvatarMatResID[[#This Row],[AvatarPart]],AvatarPartID[],2,0)</f>
        <v>1</v>
      </c>
      <c r="H387">
        <f>VLOOKUP(AvatarMatResID[[#This Row],[Sex]],SexID[],2,0)</f>
        <v>1</v>
      </c>
      <c r="I387" t="str">
        <f>AvatarMatResID[[#This Row],[Material]]</f>
        <v>Female Brown Sorceress 02 Green</v>
      </c>
    </row>
    <row r="388" spans="1:9" x14ac:dyDescent="0.15">
      <c r="A388" t="s">
        <v>454</v>
      </c>
      <c r="B388" t="s">
        <v>1920</v>
      </c>
      <c r="C388" t="s">
        <v>783</v>
      </c>
      <c r="D388">
        <v>367</v>
      </c>
      <c r="F388">
        <f>OUTPUTAvatarMatResID[[#This Row],[AvatarPartID]]*10000+OUTPUTAvatarMatResID[[#This Row],[SexID]]*1000+AvatarMatResID[[#This Row],[CountIndex]]</f>
        <v>11367</v>
      </c>
      <c r="G388">
        <f>VLOOKUP(AvatarMatResID[[#This Row],[AvatarPart]],AvatarPartID[],2,0)</f>
        <v>1</v>
      </c>
      <c r="H388">
        <f>VLOOKUP(AvatarMatResID[[#This Row],[Sex]],SexID[],2,0)</f>
        <v>1</v>
      </c>
      <c r="I388" t="str">
        <f>AvatarMatResID[[#This Row],[Material]]</f>
        <v>Female Brown Sorceress 02 Purple</v>
      </c>
    </row>
    <row r="389" spans="1:9" x14ac:dyDescent="0.15">
      <c r="A389" t="s">
        <v>454</v>
      </c>
      <c r="B389" t="s">
        <v>1920</v>
      </c>
      <c r="C389" t="s">
        <v>784</v>
      </c>
      <c r="D389">
        <v>368</v>
      </c>
      <c r="F389">
        <f>OUTPUTAvatarMatResID[[#This Row],[AvatarPartID]]*10000+OUTPUTAvatarMatResID[[#This Row],[SexID]]*1000+AvatarMatResID[[#This Row],[CountIndex]]</f>
        <v>11368</v>
      </c>
      <c r="G389">
        <f>VLOOKUP(AvatarMatResID[[#This Row],[AvatarPart]],AvatarPartID[],2,0)</f>
        <v>1</v>
      </c>
      <c r="H389">
        <f>VLOOKUP(AvatarMatResID[[#This Row],[Sex]],SexID[],2,0)</f>
        <v>1</v>
      </c>
      <c r="I389" t="str">
        <f>AvatarMatResID[[#This Row],[Material]]</f>
        <v>Female Brown Sorceress 02 Red</v>
      </c>
    </row>
    <row r="390" spans="1:9" x14ac:dyDescent="0.15">
      <c r="A390" t="s">
        <v>454</v>
      </c>
      <c r="B390" t="s">
        <v>1920</v>
      </c>
      <c r="C390" t="s">
        <v>785</v>
      </c>
      <c r="D390">
        <v>369</v>
      </c>
      <c r="F390">
        <f>OUTPUTAvatarMatResID[[#This Row],[AvatarPartID]]*10000+OUTPUTAvatarMatResID[[#This Row],[SexID]]*1000+AvatarMatResID[[#This Row],[CountIndex]]</f>
        <v>11369</v>
      </c>
      <c r="G390">
        <f>VLOOKUP(AvatarMatResID[[#This Row],[AvatarPart]],AvatarPartID[],2,0)</f>
        <v>1</v>
      </c>
      <c r="H390">
        <f>VLOOKUP(AvatarMatResID[[#This Row],[Sex]],SexID[],2,0)</f>
        <v>1</v>
      </c>
      <c r="I390" t="str">
        <f>AvatarMatResID[[#This Row],[Material]]</f>
        <v>Female Brown Sorceress 03 Black</v>
      </c>
    </row>
    <row r="391" spans="1:9" x14ac:dyDescent="0.15">
      <c r="A391" t="s">
        <v>454</v>
      </c>
      <c r="B391" t="s">
        <v>1920</v>
      </c>
      <c r="C391" t="s">
        <v>786</v>
      </c>
      <c r="D391">
        <v>370</v>
      </c>
      <c r="F391">
        <f>OUTPUTAvatarMatResID[[#This Row],[AvatarPartID]]*10000+OUTPUTAvatarMatResID[[#This Row],[SexID]]*1000+AvatarMatResID[[#This Row],[CountIndex]]</f>
        <v>11370</v>
      </c>
      <c r="G391">
        <f>VLOOKUP(AvatarMatResID[[#This Row],[AvatarPart]],AvatarPartID[],2,0)</f>
        <v>1</v>
      </c>
      <c r="H391">
        <f>VLOOKUP(AvatarMatResID[[#This Row],[Sex]],SexID[],2,0)</f>
        <v>1</v>
      </c>
      <c r="I391" t="str">
        <f>AvatarMatResID[[#This Row],[Material]]</f>
        <v>Female Brown Sorceress 03 Blue</v>
      </c>
    </row>
    <row r="392" spans="1:9" x14ac:dyDescent="0.15">
      <c r="A392" t="s">
        <v>454</v>
      </c>
      <c r="B392" t="s">
        <v>1920</v>
      </c>
      <c r="C392" t="s">
        <v>787</v>
      </c>
      <c r="D392">
        <v>371</v>
      </c>
      <c r="F392">
        <f>OUTPUTAvatarMatResID[[#This Row],[AvatarPartID]]*10000+OUTPUTAvatarMatResID[[#This Row],[SexID]]*1000+AvatarMatResID[[#This Row],[CountIndex]]</f>
        <v>11371</v>
      </c>
      <c r="G392">
        <f>VLOOKUP(AvatarMatResID[[#This Row],[AvatarPart]],AvatarPartID[],2,0)</f>
        <v>1</v>
      </c>
      <c r="H392">
        <f>VLOOKUP(AvatarMatResID[[#This Row],[Sex]],SexID[],2,0)</f>
        <v>1</v>
      </c>
      <c r="I392" t="str">
        <f>AvatarMatResID[[#This Row],[Material]]</f>
        <v>Female Brown Sorceress 03 Brown</v>
      </c>
    </row>
    <row r="393" spans="1:9" x14ac:dyDescent="0.15">
      <c r="A393" t="s">
        <v>454</v>
      </c>
      <c r="B393" t="s">
        <v>1920</v>
      </c>
      <c r="C393" t="s">
        <v>788</v>
      </c>
      <c r="D393">
        <v>372</v>
      </c>
      <c r="F393">
        <f>OUTPUTAvatarMatResID[[#This Row],[AvatarPartID]]*10000+OUTPUTAvatarMatResID[[#This Row],[SexID]]*1000+AvatarMatResID[[#This Row],[CountIndex]]</f>
        <v>11372</v>
      </c>
      <c r="G393">
        <f>VLOOKUP(AvatarMatResID[[#This Row],[AvatarPart]],AvatarPartID[],2,0)</f>
        <v>1</v>
      </c>
      <c r="H393">
        <f>VLOOKUP(AvatarMatResID[[#This Row],[Sex]],SexID[],2,0)</f>
        <v>1</v>
      </c>
      <c r="I393" t="str">
        <f>AvatarMatResID[[#This Row],[Material]]</f>
        <v>Female Brown Sorceress 03 Green</v>
      </c>
    </row>
    <row r="394" spans="1:9" x14ac:dyDescent="0.15">
      <c r="A394" t="s">
        <v>454</v>
      </c>
      <c r="B394" t="s">
        <v>1920</v>
      </c>
      <c r="C394" t="s">
        <v>789</v>
      </c>
      <c r="D394">
        <v>373</v>
      </c>
      <c r="F394">
        <f>OUTPUTAvatarMatResID[[#This Row],[AvatarPartID]]*10000+OUTPUTAvatarMatResID[[#This Row],[SexID]]*1000+AvatarMatResID[[#This Row],[CountIndex]]</f>
        <v>11373</v>
      </c>
      <c r="G394">
        <f>VLOOKUP(AvatarMatResID[[#This Row],[AvatarPart]],AvatarPartID[],2,0)</f>
        <v>1</v>
      </c>
      <c r="H394">
        <f>VLOOKUP(AvatarMatResID[[#This Row],[Sex]],SexID[],2,0)</f>
        <v>1</v>
      </c>
      <c r="I394" t="str">
        <f>AvatarMatResID[[#This Row],[Material]]</f>
        <v>Female Brown Sorceress 03 Purple</v>
      </c>
    </row>
    <row r="395" spans="1:9" x14ac:dyDescent="0.15">
      <c r="A395" t="s">
        <v>454</v>
      </c>
      <c r="B395" t="s">
        <v>1920</v>
      </c>
      <c r="C395" t="s">
        <v>790</v>
      </c>
      <c r="D395">
        <v>374</v>
      </c>
      <c r="F395">
        <f>OUTPUTAvatarMatResID[[#This Row],[AvatarPartID]]*10000+OUTPUTAvatarMatResID[[#This Row],[SexID]]*1000+AvatarMatResID[[#This Row],[CountIndex]]</f>
        <v>11374</v>
      </c>
      <c r="G395">
        <f>VLOOKUP(AvatarMatResID[[#This Row],[AvatarPart]],AvatarPartID[],2,0)</f>
        <v>1</v>
      </c>
      <c r="H395">
        <f>VLOOKUP(AvatarMatResID[[#This Row],[Sex]],SexID[],2,0)</f>
        <v>1</v>
      </c>
      <c r="I395" t="str">
        <f>AvatarMatResID[[#This Row],[Material]]</f>
        <v>Female Brown Sorceress 03 Red</v>
      </c>
    </row>
    <row r="396" spans="1:9" x14ac:dyDescent="0.15">
      <c r="A396" t="s">
        <v>454</v>
      </c>
      <c r="B396" t="s">
        <v>1920</v>
      </c>
      <c r="C396" t="s">
        <v>791</v>
      </c>
      <c r="D396">
        <v>375</v>
      </c>
      <c r="F396">
        <f>OUTPUTAvatarMatResID[[#This Row],[AvatarPartID]]*10000+OUTPUTAvatarMatResID[[#This Row],[SexID]]*1000+AvatarMatResID[[#This Row],[CountIndex]]</f>
        <v>11375</v>
      </c>
      <c r="G396">
        <f>VLOOKUP(AvatarMatResID[[#This Row],[AvatarPart]],AvatarPartID[],2,0)</f>
        <v>1</v>
      </c>
      <c r="H396">
        <f>VLOOKUP(AvatarMatResID[[#This Row],[Sex]],SexID[],2,0)</f>
        <v>1</v>
      </c>
      <c r="I396" t="str">
        <f>AvatarMatResID[[#This Row],[Material]]</f>
        <v>Female Brown Sorceress 03 White</v>
      </c>
    </row>
    <row r="397" spans="1:9" x14ac:dyDescent="0.15">
      <c r="A397" t="s">
        <v>454</v>
      </c>
      <c r="B397" t="s">
        <v>1920</v>
      </c>
      <c r="C397" t="s">
        <v>792</v>
      </c>
      <c r="D397">
        <v>376</v>
      </c>
      <c r="F397">
        <f>OUTPUTAvatarMatResID[[#This Row],[AvatarPartID]]*10000+OUTPUTAvatarMatResID[[#This Row],[SexID]]*1000+AvatarMatResID[[#This Row],[CountIndex]]</f>
        <v>11376</v>
      </c>
      <c r="G397">
        <f>VLOOKUP(AvatarMatResID[[#This Row],[AvatarPart]],AvatarPartID[],2,0)</f>
        <v>1</v>
      </c>
      <c r="H397">
        <f>VLOOKUP(AvatarMatResID[[#This Row],[Sex]],SexID[],2,0)</f>
        <v>1</v>
      </c>
      <c r="I397" t="str">
        <f>AvatarMatResID[[#This Row],[Material]]</f>
        <v>Female Brown Sorceress 04 Black</v>
      </c>
    </row>
    <row r="398" spans="1:9" x14ac:dyDescent="0.15">
      <c r="A398" t="s">
        <v>454</v>
      </c>
      <c r="B398" t="s">
        <v>1920</v>
      </c>
      <c r="C398" t="s">
        <v>793</v>
      </c>
      <c r="D398">
        <v>377</v>
      </c>
      <c r="F398">
        <f>OUTPUTAvatarMatResID[[#This Row],[AvatarPartID]]*10000+OUTPUTAvatarMatResID[[#This Row],[SexID]]*1000+AvatarMatResID[[#This Row],[CountIndex]]</f>
        <v>11377</v>
      </c>
      <c r="G398">
        <f>VLOOKUP(AvatarMatResID[[#This Row],[AvatarPart]],AvatarPartID[],2,0)</f>
        <v>1</v>
      </c>
      <c r="H398">
        <f>VLOOKUP(AvatarMatResID[[#This Row],[Sex]],SexID[],2,0)</f>
        <v>1</v>
      </c>
      <c r="I398" t="str">
        <f>AvatarMatResID[[#This Row],[Material]]</f>
        <v>Female Brown Sorceress 04 Blue</v>
      </c>
    </row>
    <row r="399" spans="1:9" x14ac:dyDescent="0.15">
      <c r="A399" t="s">
        <v>454</v>
      </c>
      <c r="B399" t="s">
        <v>1920</v>
      </c>
      <c r="C399" t="s">
        <v>794</v>
      </c>
      <c r="D399">
        <v>378</v>
      </c>
      <c r="F399">
        <f>OUTPUTAvatarMatResID[[#This Row],[AvatarPartID]]*10000+OUTPUTAvatarMatResID[[#This Row],[SexID]]*1000+AvatarMatResID[[#This Row],[CountIndex]]</f>
        <v>11378</v>
      </c>
      <c r="G399">
        <f>VLOOKUP(AvatarMatResID[[#This Row],[AvatarPart]],AvatarPartID[],2,0)</f>
        <v>1</v>
      </c>
      <c r="H399">
        <f>VLOOKUP(AvatarMatResID[[#This Row],[Sex]],SexID[],2,0)</f>
        <v>1</v>
      </c>
      <c r="I399" t="str">
        <f>AvatarMatResID[[#This Row],[Material]]</f>
        <v>Female Brown Sorceress 04 Brown</v>
      </c>
    </row>
    <row r="400" spans="1:9" x14ac:dyDescent="0.15">
      <c r="A400" t="s">
        <v>454</v>
      </c>
      <c r="B400" t="s">
        <v>1920</v>
      </c>
      <c r="C400" t="s">
        <v>795</v>
      </c>
      <c r="D400">
        <v>379</v>
      </c>
      <c r="F400">
        <f>OUTPUTAvatarMatResID[[#This Row],[AvatarPartID]]*10000+OUTPUTAvatarMatResID[[#This Row],[SexID]]*1000+AvatarMatResID[[#This Row],[CountIndex]]</f>
        <v>11379</v>
      </c>
      <c r="G400">
        <f>VLOOKUP(AvatarMatResID[[#This Row],[AvatarPart]],AvatarPartID[],2,0)</f>
        <v>1</v>
      </c>
      <c r="H400">
        <f>VLOOKUP(AvatarMatResID[[#This Row],[Sex]],SexID[],2,0)</f>
        <v>1</v>
      </c>
      <c r="I400" t="str">
        <f>AvatarMatResID[[#This Row],[Material]]</f>
        <v>Female Brown Sorceress 04 Green</v>
      </c>
    </row>
    <row r="401" spans="1:9" x14ac:dyDescent="0.15">
      <c r="A401" t="s">
        <v>454</v>
      </c>
      <c r="B401" t="s">
        <v>1920</v>
      </c>
      <c r="C401" t="s">
        <v>796</v>
      </c>
      <c r="D401">
        <v>380</v>
      </c>
      <c r="F401">
        <f>OUTPUTAvatarMatResID[[#This Row],[AvatarPartID]]*10000+OUTPUTAvatarMatResID[[#This Row],[SexID]]*1000+AvatarMatResID[[#This Row],[CountIndex]]</f>
        <v>11380</v>
      </c>
      <c r="G401">
        <f>VLOOKUP(AvatarMatResID[[#This Row],[AvatarPart]],AvatarPartID[],2,0)</f>
        <v>1</v>
      </c>
      <c r="H401">
        <f>VLOOKUP(AvatarMatResID[[#This Row],[Sex]],SexID[],2,0)</f>
        <v>1</v>
      </c>
      <c r="I401" t="str">
        <f>AvatarMatResID[[#This Row],[Material]]</f>
        <v>Female Brown Sorceress 04 Magenta</v>
      </c>
    </row>
    <row r="402" spans="1:9" x14ac:dyDescent="0.15">
      <c r="A402" t="s">
        <v>454</v>
      </c>
      <c r="B402" t="s">
        <v>1920</v>
      </c>
      <c r="C402" t="s">
        <v>797</v>
      </c>
      <c r="D402">
        <v>381</v>
      </c>
      <c r="F402">
        <f>OUTPUTAvatarMatResID[[#This Row],[AvatarPartID]]*10000+OUTPUTAvatarMatResID[[#This Row],[SexID]]*1000+AvatarMatResID[[#This Row],[CountIndex]]</f>
        <v>11381</v>
      </c>
      <c r="G402">
        <f>VLOOKUP(AvatarMatResID[[#This Row],[AvatarPart]],AvatarPartID[],2,0)</f>
        <v>1</v>
      </c>
      <c r="H402">
        <f>VLOOKUP(AvatarMatResID[[#This Row],[Sex]],SexID[],2,0)</f>
        <v>1</v>
      </c>
      <c r="I402" t="str">
        <f>AvatarMatResID[[#This Row],[Material]]</f>
        <v>Female Brown Sorceress 04 Purple</v>
      </c>
    </row>
    <row r="403" spans="1:9" x14ac:dyDescent="0.15">
      <c r="A403" t="s">
        <v>454</v>
      </c>
      <c r="B403" t="s">
        <v>1920</v>
      </c>
      <c r="C403" t="s">
        <v>798</v>
      </c>
      <c r="D403">
        <v>382</v>
      </c>
      <c r="F403">
        <f>OUTPUTAvatarMatResID[[#This Row],[AvatarPartID]]*10000+OUTPUTAvatarMatResID[[#This Row],[SexID]]*1000+AvatarMatResID[[#This Row],[CountIndex]]</f>
        <v>11382</v>
      </c>
      <c r="G403">
        <f>VLOOKUP(AvatarMatResID[[#This Row],[AvatarPart]],AvatarPartID[],2,0)</f>
        <v>1</v>
      </c>
      <c r="H403">
        <f>VLOOKUP(AvatarMatResID[[#This Row],[Sex]],SexID[],2,0)</f>
        <v>1</v>
      </c>
      <c r="I403" t="str">
        <f>AvatarMatResID[[#This Row],[Material]]</f>
        <v>Female Brown Sorceress 04 Red</v>
      </c>
    </row>
    <row r="404" spans="1:9" x14ac:dyDescent="0.15">
      <c r="A404" t="s">
        <v>454</v>
      </c>
      <c r="B404" t="s">
        <v>1920</v>
      </c>
      <c r="C404" t="s">
        <v>799</v>
      </c>
      <c r="D404">
        <v>383</v>
      </c>
      <c r="F404">
        <f>OUTPUTAvatarMatResID[[#This Row],[AvatarPartID]]*10000+OUTPUTAvatarMatResID[[#This Row],[SexID]]*1000+AvatarMatResID[[#This Row],[CountIndex]]</f>
        <v>11383</v>
      </c>
      <c r="G404">
        <f>VLOOKUP(AvatarMatResID[[#This Row],[AvatarPart]],AvatarPartID[],2,0)</f>
        <v>1</v>
      </c>
      <c r="H404">
        <f>VLOOKUP(AvatarMatResID[[#This Row],[Sex]],SexID[],2,0)</f>
        <v>1</v>
      </c>
      <c r="I404" t="str">
        <f>AvatarMatResID[[#This Row],[Material]]</f>
        <v>Female Brown Sorceress 04 White</v>
      </c>
    </row>
    <row r="405" spans="1:9" x14ac:dyDescent="0.15">
      <c r="A405" t="s">
        <v>454</v>
      </c>
      <c r="B405" t="s">
        <v>1920</v>
      </c>
      <c r="C405" t="s">
        <v>800</v>
      </c>
      <c r="D405">
        <v>384</v>
      </c>
      <c r="F405">
        <f>OUTPUTAvatarMatResID[[#This Row],[AvatarPartID]]*10000+OUTPUTAvatarMatResID[[#This Row],[SexID]]*1000+AvatarMatResID[[#This Row],[CountIndex]]</f>
        <v>11384</v>
      </c>
      <c r="G405">
        <f>VLOOKUP(AvatarMatResID[[#This Row],[AvatarPart]],AvatarPartID[],2,0)</f>
        <v>1</v>
      </c>
      <c r="H405">
        <f>VLOOKUP(AvatarMatResID[[#This Row],[Sex]],SexID[],2,0)</f>
        <v>1</v>
      </c>
      <c r="I405" t="str">
        <f>AvatarMatResID[[#This Row],[Material]]</f>
        <v>Female Brown Sorceress 05 Black</v>
      </c>
    </row>
    <row r="406" spans="1:9" x14ac:dyDescent="0.15">
      <c r="A406" t="s">
        <v>454</v>
      </c>
      <c r="B406" t="s">
        <v>1920</v>
      </c>
      <c r="C406" t="s">
        <v>801</v>
      </c>
      <c r="D406">
        <v>385</v>
      </c>
      <c r="F406">
        <f>OUTPUTAvatarMatResID[[#This Row],[AvatarPartID]]*10000+OUTPUTAvatarMatResID[[#This Row],[SexID]]*1000+AvatarMatResID[[#This Row],[CountIndex]]</f>
        <v>11385</v>
      </c>
      <c r="G406">
        <f>VLOOKUP(AvatarMatResID[[#This Row],[AvatarPart]],AvatarPartID[],2,0)</f>
        <v>1</v>
      </c>
      <c r="H406">
        <f>VLOOKUP(AvatarMatResID[[#This Row],[Sex]],SexID[],2,0)</f>
        <v>1</v>
      </c>
      <c r="I406" t="str">
        <f>AvatarMatResID[[#This Row],[Material]]</f>
        <v>Female Brown Sorceress 05 Blue</v>
      </c>
    </row>
    <row r="407" spans="1:9" x14ac:dyDescent="0.15">
      <c r="A407" t="s">
        <v>454</v>
      </c>
      <c r="B407" t="s">
        <v>1920</v>
      </c>
      <c r="C407" t="s">
        <v>802</v>
      </c>
      <c r="D407">
        <v>386</v>
      </c>
      <c r="F407">
        <f>OUTPUTAvatarMatResID[[#This Row],[AvatarPartID]]*10000+OUTPUTAvatarMatResID[[#This Row],[SexID]]*1000+AvatarMatResID[[#This Row],[CountIndex]]</f>
        <v>11386</v>
      </c>
      <c r="G407">
        <f>VLOOKUP(AvatarMatResID[[#This Row],[AvatarPart]],AvatarPartID[],2,0)</f>
        <v>1</v>
      </c>
      <c r="H407">
        <f>VLOOKUP(AvatarMatResID[[#This Row],[Sex]],SexID[],2,0)</f>
        <v>1</v>
      </c>
      <c r="I407" t="str">
        <f>AvatarMatResID[[#This Row],[Material]]</f>
        <v>Female Brown Sorceress 05 Brown</v>
      </c>
    </row>
    <row r="408" spans="1:9" x14ac:dyDescent="0.15">
      <c r="A408" t="s">
        <v>454</v>
      </c>
      <c r="B408" t="s">
        <v>1920</v>
      </c>
      <c r="C408" t="s">
        <v>803</v>
      </c>
      <c r="D408">
        <v>387</v>
      </c>
      <c r="F408">
        <f>OUTPUTAvatarMatResID[[#This Row],[AvatarPartID]]*10000+OUTPUTAvatarMatResID[[#This Row],[SexID]]*1000+AvatarMatResID[[#This Row],[CountIndex]]</f>
        <v>11387</v>
      </c>
      <c r="G408">
        <f>VLOOKUP(AvatarMatResID[[#This Row],[AvatarPart]],AvatarPartID[],2,0)</f>
        <v>1</v>
      </c>
      <c r="H408">
        <f>VLOOKUP(AvatarMatResID[[#This Row],[Sex]],SexID[],2,0)</f>
        <v>1</v>
      </c>
      <c r="I408" t="str">
        <f>AvatarMatResID[[#This Row],[Material]]</f>
        <v>Female Brown Sorceress 05 Green</v>
      </c>
    </row>
    <row r="409" spans="1:9" x14ac:dyDescent="0.15">
      <c r="A409" t="s">
        <v>454</v>
      </c>
      <c r="B409" t="s">
        <v>1920</v>
      </c>
      <c r="C409" t="s">
        <v>804</v>
      </c>
      <c r="D409">
        <v>388</v>
      </c>
      <c r="F409">
        <f>OUTPUTAvatarMatResID[[#This Row],[AvatarPartID]]*10000+OUTPUTAvatarMatResID[[#This Row],[SexID]]*1000+AvatarMatResID[[#This Row],[CountIndex]]</f>
        <v>11388</v>
      </c>
      <c r="G409">
        <f>VLOOKUP(AvatarMatResID[[#This Row],[AvatarPart]],AvatarPartID[],2,0)</f>
        <v>1</v>
      </c>
      <c r="H409">
        <f>VLOOKUP(AvatarMatResID[[#This Row],[Sex]],SexID[],2,0)</f>
        <v>1</v>
      </c>
      <c r="I409" t="str">
        <f>AvatarMatResID[[#This Row],[Material]]</f>
        <v>Female Brown Sorceress 05 Magenta</v>
      </c>
    </row>
    <row r="410" spans="1:9" x14ac:dyDescent="0.15">
      <c r="A410" t="s">
        <v>454</v>
      </c>
      <c r="B410" t="s">
        <v>1920</v>
      </c>
      <c r="C410" t="s">
        <v>805</v>
      </c>
      <c r="D410">
        <v>389</v>
      </c>
      <c r="F410">
        <f>OUTPUTAvatarMatResID[[#This Row],[AvatarPartID]]*10000+OUTPUTAvatarMatResID[[#This Row],[SexID]]*1000+AvatarMatResID[[#This Row],[CountIndex]]</f>
        <v>11389</v>
      </c>
      <c r="G410">
        <f>VLOOKUP(AvatarMatResID[[#This Row],[AvatarPart]],AvatarPartID[],2,0)</f>
        <v>1</v>
      </c>
      <c r="H410">
        <f>VLOOKUP(AvatarMatResID[[#This Row],[Sex]],SexID[],2,0)</f>
        <v>1</v>
      </c>
      <c r="I410" t="str">
        <f>AvatarMatResID[[#This Row],[Material]]</f>
        <v>Female Brown Sorceress 05 Purple</v>
      </c>
    </row>
    <row r="411" spans="1:9" x14ac:dyDescent="0.15">
      <c r="A411" t="s">
        <v>454</v>
      </c>
      <c r="B411" t="s">
        <v>1920</v>
      </c>
      <c r="C411" t="s">
        <v>806</v>
      </c>
      <c r="D411">
        <v>390</v>
      </c>
      <c r="F411">
        <f>OUTPUTAvatarMatResID[[#This Row],[AvatarPartID]]*10000+OUTPUTAvatarMatResID[[#This Row],[SexID]]*1000+AvatarMatResID[[#This Row],[CountIndex]]</f>
        <v>11390</v>
      </c>
      <c r="G411">
        <f>VLOOKUP(AvatarMatResID[[#This Row],[AvatarPart]],AvatarPartID[],2,0)</f>
        <v>1</v>
      </c>
      <c r="H411">
        <f>VLOOKUP(AvatarMatResID[[#This Row],[Sex]],SexID[],2,0)</f>
        <v>1</v>
      </c>
      <c r="I411" t="str">
        <f>AvatarMatResID[[#This Row],[Material]]</f>
        <v>Female Brown Sorceress 05 Red</v>
      </c>
    </row>
    <row r="412" spans="1:9" x14ac:dyDescent="0.15">
      <c r="A412" t="s">
        <v>454</v>
      </c>
      <c r="B412" t="s">
        <v>1920</v>
      </c>
      <c r="C412" t="s">
        <v>807</v>
      </c>
      <c r="D412">
        <v>391</v>
      </c>
      <c r="F412">
        <f>OUTPUTAvatarMatResID[[#This Row],[AvatarPartID]]*10000+OUTPUTAvatarMatResID[[#This Row],[SexID]]*1000+AvatarMatResID[[#This Row],[CountIndex]]</f>
        <v>11391</v>
      </c>
      <c r="G412">
        <f>VLOOKUP(AvatarMatResID[[#This Row],[AvatarPart]],AvatarPartID[],2,0)</f>
        <v>1</v>
      </c>
      <c r="H412">
        <f>VLOOKUP(AvatarMatResID[[#This Row],[Sex]],SexID[],2,0)</f>
        <v>1</v>
      </c>
      <c r="I412" t="str">
        <f>AvatarMatResID[[#This Row],[Material]]</f>
        <v>Female Brown Sorceress 05 White</v>
      </c>
    </row>
    <row r="413" spans="1:9" x14ac:dyDescent="0.15">
      <c r="A413" t="s">
        <v>454</v>
      </c>
      <c r="B413" t="s">
        <v>1920</v>
      </c>
      <c r="C413" t="s">
        <v>808</v>
      </c>
      <c r="D413">
        <v>392</v>
      </c>
      <c r="F413">
        <f>OUTPUTAvatarMatResID[[#This Row],[AvatarPartID]]*10000+OUTPUTAvatarMatResID[[#This Row],[SexID]]*1000+AvatarMatResID[[#This Row],[CountIndex]]</f>
        <v>11392</v>
      </c>
      <c r="G413">
        <f>VLOOKUP(AvatarMatResID[[#This Row],[AvatarPart]],AvatarPartID[],2,0)</f>
        <v>1</v>
      </c>
      <c r="H413">
        <f>VLOOKUP(AvatarMatResID[[#This Row],[Sex]],SexID[],2,0)</f>
        <v>1</v>
      </c>
      <c r="I413" t="str">
        <f>AvatarMatResID[[#This Row],[Material]]</f>
        <v>Female Brown Sorceress 06 Black</v>
      </c>
    </row>
    <row r="414" spans="1:9" x14ac:dyDescent="0.15">
      <c r="A414" t="s">
        <v>454</v>
      </c>
      <c r="B414" t="s">
        <v>1920</v>
      </c>
      <c r="C414" t="s">
        <v>809</v>
      </c>
      <c r="D414">
        <v>393</v>
      </c>
      <c r="F414">
        <f>OUTPUTAvatarMatResID[[#This Row],[AvatarPartID]]*10000+OUTPUTAvatarMatResID[[#This Row],[SexID]]*1000+AvatarMatResID[[#This Row],[CountIndex]]</f>
        <v>11393</v>
      </c>
      <c r="G414">
        <f>VLOOKUP(AvatarMatResID[[#This Row],[AvatarPart]],AvatarPartID[],2,0)</f>
        <v>1</v>
      </c>
      <c r="H414">
        <f>VLOOKUP(AvatarMatResID[[#This Row],[Sex]],SexID[],2,0)</f>
        <v>1</v>
      </c>
      <c r="I414" t="str">
        <f>AvatarMatResID[[#This Row],[Material]]</f>
        <v>Female Brown Sorceress 06 Blue</v>
      </c>
    </row>
    <row r="415" spans="1:9" x14ac:dyDescent="0.15">
      <c r="A415" t="s">
        <v>454</v>
      </c>
      <c r="B415" t="s">
        <v>1920</v>
      </c>
      <c r="C415" t="s">
        <v>810</v>
      </c>
      <c r="D415">
        <v>394</v>
      </c>
      <c r="F415">
        <f>OUTPUTAvatarMatResID[[#This Row],[AvatarPartID]]*10000+OUTPUTAvatarMatResID[[#This Row],[SexID]]*1000+AvatarMatResID[[#This Row],[CountIndex]]</f>
        <v>11394</v>
      </c>
      <c r="G415">
        <f>VLOOKUP(AvatarMatResID[[#This Row],[AvatarPart]],AvatarPartID[],2,0)</f>
        <v>1</v>
      </c>
      <c r="H415">
        <f>VLOOKUP(AvatarMatResID[[#This Row],[Sex]],SexID[],2,0)</f>
        <v>1</v>
      </c>
      <c r="I415" t="str">
        <f>AvatarMatResID[[#This Row],[Material]]</f>
        <v>Female Brown Sorceress 06 Brown</v>
      </c>
    </row>
    <row r="416" spans="1:9" x14ac:dyDescent="0.15">
      <c r="A416" t="s">
        <v>454</v>
      </c>
      <c r="B416" t="s">
        <v>1920</v>
      </c>
      <c r="C416" t="s">
        <v>811</v>
      </c>
      <c r="D416">
        <v>395</v>
      </c>
      <c r="F416">
        <f>OUTPUTAvatarMatResID[[#This Row],[AvatarPartID]]*10000+OUTPUTAvatarMatResID[[#This Row],[SexID]]*1000+AvatarMatResID[[#This Row],[CountIndex]]</f>
        <v>11395</v>
      </c>
      <c r="G416">
        <f>VLOOKUP(AvatarMatResID[[#This Row],[AvatarPart]],AvatarPartID[],2,0)</f>
        <v>1</v>
      </c>
      <c r="H416">
        <f>VLOOKUP(AvatarMatResID[[#This Row],[Sex]],SexID[],2,0)</f>
        <v>1</v>
      </c>
      <c r="I416" t="str">
        <f>AvatarMatResID[[#This Row],[Material]]</f>
        <v>Female Brown Sorceress 06 Green</v>
      </c>
    </row>
    <row r="417" spans="1:9" x14ac:dyDescent="0.15">
      <c r="A417" t="s">
        <v>454</v>
      </c>
      <c r="B417" t="s">
        <v>1920</v>
      </c>
      <c r="C417" t="s">
        <v>812</v>
      </c>
      <c r="D417">
        <v>396</v>
      </c>
      <c r="F417">
        <f>OUTPUTAvatarMatResID[[#This Row],[AvatarPartID]]*10000+OUTPUTAvatarMatResID[[#This Row],[SexID]]*1000+AvatarMatResID[[#This Row],[CountIndex]]</f>
        <v>11396</v>
      </c>
      <c r="G417">
        <f>VLOOKUP(AvatarMatResID[[#This Row],[AvatarPart]],AvatarPartID[],2,0)</f>
        <v>1</v>
      </c>
      <c r="H417">
        <f>VLOOKUP(AvatarMatResID[[#This Row],[Sex]],SexID[],2,0)</f>
        <v>1</v>
      </c>
      <c r="I417" t="str">
        <f>AvatarMatResID[[#This Row],[Material]]</f>
        <v>Female Brown Sorceress 06 Magenta</v>
      </c>
    </row>
    <row r="418" spans="1:9" x14ac:dyDescent="0.15">
      <c r="A418" t="s">
        <v>454</v>
      </c>
      <c r="B418" t="s">
        <v>1920</v>
      </c>
      <c r="C418" t="s">
        <v>813</v>
      </c>
      <c r="D418">
        <v>397</v>
      </c>
      <c r="F418">
        <f>OUTPUTAvatarMatResID[[#This Row],[AvatarPartID]]*10000+OUTPUTAvatarMatResID[[#This Row],[SexID]]*1000+AvatarMatResID[[#This Row],[CountIndex]]</f>
        <v>11397</v>
      </c>
      <c r="G418">
        <f>VLOOKUP(AvatarMatResID[[#This Row],[AvatarPart]],AvatarPartID[],2,0)</f>
        <v>1</v>
      </c>
      <c r="H418">
        <f>VLOOKUP(AvatarMatResID[[#This Row],[Sex]],SexID[],2,0)</f>
        <v>1</v>
      </c>
      <c r="I418" t="str">
        <f>AvatarMatResID[[#This Row],[Material]]</f>
        <v>Female Brown Sorceress 06 Purple</v>
      </c>
    </row>
    <row r="419" spans="1:9" x14ac:dyDescent="0.15">
      <c r="A419" t="s">
        <v>454</v>
      </c>
      <c r="B419" t="s">
        <v>1920</v>
      </c>
      <c r="C419" t="s">
        <v>814</v>
      </c>
      <c r="D419">
        <v>398</v>
      </c>
      <c r="F419">
        <f>OUTPUTAvatarMatResID[[#This Row],[AvatarPartID]]*10000+OUTPUTAvatarMatResID[[#This Row],[SexID]]*1000+AvatarMatResID[[#This Row],[CountIndex]]</f>
        <v>11398</v>
      </c>
      <c r="G419">
        <f>VLOOKUP(AvatarMatResID[[#This Row],[AvatarPart]],AvatarPartID[],2,0)</f>
        <v>1</v>
      </c>
      <c r="H419">
        <f>VLOOKUP(AvatarMatResID[[#This Row],[Sex]],SexID[],2,0)</f>
        <v>1</v>
      </c>
      <c r="I419" t="str">
        <f>AvatarMatResID[[#This Row],[Material]]</f>
        <v>Female Brown Sorceress 06 Red</v>
      </c>
    </row>
    <row r="420" spans="1:9" x14ac:dyDescent="0.15">
      <c r="A420" t="s">
        <v>454</v>
      </c>
      <c r="B420" t="s">
        <v>1920</v>
      </c>
      <c r="C420" t="s">
        <v>815</v>
      </c>
      <c r="D420">
        <v>399</v>
      </c>
      <c r="F420">
        <f>OUTPUTAvatarMatResID[[#This Row],[AvatarPartID]]*10000+OUTPUTAvatarMatResID[[#This Row],[SexID]]*1000+AvatarMatResID[[#This Row],[CountIndex]]</f>
        <v>11399</v>
      </c>
      <c r="G420">
        <f>VLOOKUP(AvatarMatResID[[#This Row],[AvatarPart]],AvatarPartID[],2,0)</f>
        <v>1</v>
      </c>
      <c r="H420">
        <f>VLOOKUP(AvatarMatResID[[#This Row],[Sex]],SexID[],2,0)</f>
        <v>1</v>
      </c>
      <c r="I420" t="str">
        <f>AvatarMatResID[[#This Row],[Material]]</f>
        <v>Female Brown Sorceress 06 White</v>
      </c>
    </row>
    <row r="421" spans="1:9" x14ac:dyDescent="0.15">
      <c r="A421" t="s">
        <v>454</v>
      </c>
      <c r="B421" t="s">
        <v>1920</v>
      </c>
      <c r="C421" t="s">
        <v>816</v>
      </c>
      <c r="D421">
        <v>400</v>
      </c>
      <c r="F421">
        <f>OUTPUTAvatarMatResID[[#This Row],[AvatarPartID]]*10000+OUTPUTAvatarMatResID[[#This Row],[SexID]]*1000+AvatarMatResID[[#This Row],[CountIndex]]</f>
        <v>11400</v>
      </c>
      <c r="G421">
        <f>VLOOKUP(AvatarMatResID[[#This Row],[AvatarPart]],AvatarPartID[],2,0)</f>
        <v>1</v>
      </c>
      <c r="H421">
        <f>VLOOKUP(AvatarMatResID[[#This Row],[Sex]],SexID[],2,0)</f>
        <v>1</v>
      </c>
      <c r="I421" t="str">
        <f>AvatarMatResID[[#This Row],[Material]]</f>
        <v>Female Fire 01 Orange</v>
      </c>
    </row>
    <row r="422" spans="1:9" x14ac:dyDescent="0.15">
      <c r="A422" t="s">
        <v>454</v>
      </c>
      <c r="B422" t="s">
        <v>1920</v>
      </c>
      <c r="C422" t="s">
        <v>817</v>
      </c>
      <c r="D422">
        <v>401</v>
      </c>
      <c r="F422">
        <f>OUTPUTAvatarMatResID[[#This Row],[AvatarPartID]]*10000+OUTPUTAvatarMatResID[[#This Row],[SexID]]*1000+AvatarMatResID[[#This Row],[CountIndex]]</f>
        <v>11401</v>
      </c>
      <c r="G422">
        <f>VLOOKUP(AvatarMatResID[[#This Row],[AvatarPart]],AvatarPartID[],2,0)</f>
        <v>1</v>
      </c>
      <c r="H422">
        <f>VLOOKUP(AvatarMatResID[[#This Row],[Sex]],SexID[],2,0)</f>
        <v>1</v>
      </c>
      <c r="I422" t="str">
        <f>AvatarMatResID[[#This Row],[Material]]</f>
        <v>Female Fire 01 Yellow</v>
      </c>
    </row>
    <row r="423" spans="1:9" x14ac:dyDescent="0.15">
      <c r="A423" t="s">
        <v>454</v>
      </c>
      <c r="B423" t="s">
        <v>1920</v>
      </c>
      <c r="C423" t="s">
        <v>818</v>
      </c>
      <c r="D423">
        <v>402</v>
      </c>
      <c r="F423">
        <f>OUTPUTAvatarMatResID[[#This Row],[AvatarPartID]]*10000+OUTPUTAvatarMatResID[[#This Row],[SexID]]*1000+AvatarMatResID[[#This Row],[CountIndex]]</f>
        <v>11402</v>
      </c>
      <c r="G423">
        <f>VLOOKUP(AvatarMatResID[[#This Row],[AvatarPart]],AvatarPartID[],2,0)</f>
        <v>1</v>
      </c>
      <c r="H423">
        <f>VLOOKUP(AvatarMatResID[[#This Row],[Sex]],SexID[],2,0)</f>
        <v>1</v>
      </c>
      <c r="I423" t="str">
        <f>AvatarMatResID[[#This Row],[Material]]</f>
        <v>Female Gorgon 01 Black</v>
      </c>
    </row>
    <row r="424" spans="1:9" x14ac:dyDescent="0.15">
      <c r="A424" t="s">
        <v>454</v>
      </c>
      <c r="B424" t="s">
        <v>1920</v>
      </c>
      <c r="C424" t="s">
        <v>819</v>
      </c>
      <c r="D424">
        <v>403</v>
      </c>
      <c r="F424">
        <f>OUTPUTAvatarMatResID[[#This Row],[AvatarPartID]]*10000+OUTPUTAvatarMatResID[[#This Row],[SexID]]*1000+AvatarMatResID[[#This Row],[CountIndex]]</f>
        <v>11403</v>
      </c>
      <c r="G424">
        <f>VLOOKUP(AvatarMatResID[[#This Row],[AvatarPart]],AvatarPartID[],2,0)</f>
        <v>1</v>
      </c>
      <c r="H424">
        <f>VLOOKUP(AvatarMatResID[[#This Row],[Sex]],SexID[],2,0)</f>
        <v>1</v>
      </c>
      <c r="I424" t="str">
        <f>AvatarMatResID[[#This Row],[Material]]</f>
        <v>Female Gorgon 01 Blue</v>
      </c>
    </row>
    <row r="425" spans="1:9" x14ac:dyDescent="0.15">
      <c r="A425" t="s">
        <v>454</v>
      </c>
      <c r="B425" t="s">
        <v>1920</v>
      </c>
      <c r="C425" t="s">
        <v>820</v>
      </c>
      <c r="D425">
        <v>404</v>
      </c>
      <c r="F425">
        <f>OUTPUTAvatarMatResID[[#This Row],[AvatarPartID]]*10000+OUTPUTAvatarMatResID[[#This Row],[SexID]]*1000+AvatarMatResID[[#This Row],[CountIndex]]</f>
        <v>11404</v>
      </c>
      <c r="G425">
        <f>VLOOKUP(AvatarMatResID[[#This Row],[AvatarPart]],AvatarPartID[],2,0)</f>
        <v>1</v>
      </c>
      <c r="H425">
        <f>VLOOKUP(AvatarMatResID[[#This Row],[Sex]],SexID[],2,0)</f>
        <v>1</v>
      </c>
      <c r="I425" t="str">
        <f>AvatarMatResID[[#This Row],[Material]]</f>
        <v>Female Gorgon 01 Brown</v>
      </c>
    </row>
    <row r="426" spans="1:9" x14ac:dyDescent="0.15">
      <c r="A426" t="s">
        <v>454</v>
      </c>
      <c r="B426" t="s">
        <v>1920</v>
      </c>
      <c r="C426" t="s">
        <v>821</v>
      </c>
      <c r="D426">
        <v>405</v>
      </c>
      <c r="F426">
        <f>OUTPUTAvatarMatResID[[#This Row],[AvatarPartID]]*10000+OUTPUTAvatarMatResID[[#This Row],[SexID]]*1000+AvatarMatResID[[#This Row],[CountIndex]]</f>
        <v>11405</v>
      </c>
      <c r="G426">
        <f>VLOOKUP(AvatarMatResID[[#This Row],[AvatarPart]],AvatarPartID[],2,0)</f>
        <v>1</v>
      </c>
      <c r="H426">
        <f>VLOOKUP(AvatarMatResID[[#This Row],[Sex]],SexID[],2,0)</f>
        <v>1</v>
      </c>
      <c r="I426" t="str">
        <f>AvatarMatResID[[#This Row],[Material]]</f>
        <v>Female Gorgon 01 Green</v>
      </c>
    </row>
    <row r="427" spans="1:9" x14ac:dyDescent="0.15">
      <c r="A427" t="s">
        <v>454</v>
      </c>
      <c r="B427" t="s">
        <v>1920</v>
      </c>
      <c r="C427" t="s">
        <v>822</v>
      </c>
      <c r="D427">
        <v>406</v>
      </c>
      <c r="F427">
        <f>OUTPUTAvatarMatResID[[#This Row],[AvatarPartID]]*10000+OUTPUTAvatarMatResID[[#This Row],[SexID]]*1000+AvatarMatResID[[#This Row],[CountIndex]]</f>
        <v>11406</v>
      </c>
      <c r="G427">
        <f>VLOOKUP(AvatarMatResID[[#This Row],[AvatarPart]],AvatarPartID[],2,0)</f>
        <v>1</v>
      </c>
      <c r="H427">
        <f>VLOOKUP(AvatarMatResID[[#This Row],[Sex]],SexID[],2,0)</f>
        <v>1</v>
      </c>
      <c r="I427" t="str">
        <f>AvatarMatResID[[#This Row],[Material]]</f>
        <v>Female Gorgon 01 Magenta</v>
      </c>
    </row>
    <row r="428" spans="1:9" x14ac:dyDescent="0.15">
      <c r="A428" t="s">
        <v>454</v>
      </c>
      <c r="B428" t="s">
        <v>1920</v>
      </c>
      <c r="C428" t="s">
        <v>823</v>
      </c>
      <c r="D428">
        <v>407</v>
      </c>
      <c r="F428">
        <f>OUTPUTAvatarMatResID[[#This Row],[AvatarPartID]]*10000+OUTPUTAvatarMatResID[[#This Row],[SexID]]*1000+AvatarMatResID[[#This Row],[CountIndex]]</f>
        <v>11407</v>
      </c>
      <c r="G428">
        <f>VLOOKUP(AvatarMatResID[[#This Row],[AvatarPart]],AvatarPartID[],2,0)</f>
        <v>1</v>
      </c>
      <c r="H428">
        <f>VLOOKUP(AvatarMatResID[[#This Row],[Sex]],SexID[],2,0)</f>
        <v>1</v>
      </c>
      <c r="I428" t="str">
        <f>AvatarMatResID[[#This Row],[Material]]</f>
        <v>Female Gorgon 01 Purple</v>
      </c>
    </row>
    <row r="429" spans="1:9" x14ac:dyDescent="0.15">
      <c r="A429" t="s">
        <v>454</v>
      </c>
      <c r="B429" t="s">
        <v>1920</v>
      </c>
      <c r="C429" t="s">
        <v>824</v>
      </c>
      <c r="D429">
        <v>408</v>
      </c>
      <c r="F429">
        <f>OUTPUTAvatarMatResID[[#This Row],[AvatarPartID]]*10000+OUTPUTAvatarMatResID[[#This Row],[SexID]]*1000+AvatarMatResID[[#This Row],[CountIndex]]</f>
        <v>11408</v>
      </c>
      <c r="G429">
        <f>VLOOKUP(AvatarMatResID[[#This Row],[AvatarPart]],AvatarPartID[],2,0)</f>
        <v>1</v>
      </c>
      <c r="H429">
        <f>VLOOKUP(AvatarMatResID[[#This Row],[Sex]],SexID[],2,0)</f>
        <v>1</v>
      </c>
      <c r="I429" t="str">
        <f>AvatarMatResID[[#This Row],[Material]]</f>
        <v>Female Gorgon 01 Red</v>
      </c>
    </row>
    <row r="430" spans="1:9" x14ac:dyDescent="0.15">
      <c r="A430" t="s">
        <v>454</v>
      </c>
      <c r="B430" t="s">
        <v>1920</v>
      </c>
      <c r="C430" t="s">
        <v>825</v>
      </c>
      <c r="D430">
        <v>409</v>
      </c>
      <c r="F430">
        <f>OUTPUTAvatarMatResID[[#This Row],[AvatarPartID]]*10000+OUTPUTAvatarMatResID[[#This Row],[SexID]]*1000+AvatarMatResID[[#This Row],[CountIndex]]</f>
        <v>11409</v>
      </c>
      <c r="G430">
        <f>VLOOKUP(AvatarMatResID[[#This Row],[AvatarPart]],AvatarPartID[],2,0)</f>
        <v>1</v>
      </c>
      <c r="H430">
        <f>VLOOKUP(AvatarMatResID[[#This Row],[Sex]],SexID[],2,0)</f>
        <v>1</v>
      </c>
      <c r="I430" t="str">
        <f>AvatarMatResID[[#This Row],[Material]]</f>
        <v>Female Gorgon 02 Black</v>
      </c>
    </row>
    <row r="431" spans="1:9" x14ac:dyDescent="0.15">
      <c r="A431" t="s">
        <v>454</v>
      </c>
      <c r="B431" t="s">
        <v>1920</v>
      </c>
      <c r="C431" t="s">
        <v>826</v>
      </c>
      <c r="D431">
        <v>410</v>
      </c>
      <c r="F431">
        <f>OUTPUTAvatarMatResID[[#This Row],[AvatarPartID]]*10000+OUTPUTAvatarMatResID[[#This Row],[SexID]]*1000+AvatarMatResID[[#This Row],[CountIndex]]</f>
        <v>11410</v>
      </c>
      <c r="G431">
        <f>VLOOKUP(AvatarMatResID[[#This Row],[AvatarPart]],AvatarPartID[],2,0)</f>
        <v>1</v>
      </c>
      <c r="H431">
        <f>VLOOKUP(AvatarMatResID[[#This Row],[Sex]],SexID[],2,0)</f>
        <v>1</v>
      </c>
      <c r="I431" t="str">
        <f>AvatarMatResID[[#This Row],[Material]]</f>
        <v>Female Gorgon 02 Blue</v>
      </c>
    </row>
    <row r="432" spans="1:9" x14ac:dyDescent="0.15">
      <c r="A432" t="s">
        <v>454</v>
      </c>
      <c r="B432" t="s">
        <v>1920</v>
      </c>
      <c r="C432" t="s">
        <v>827</v>
      </c>
      <c r="D432">
        <v>411</v>
      </c>
      <c r="F432">
        <f>OUTPUTAvatarMatResID[[#This Row],[AvatarPartID]]*10000+OUTPUTAvatarMatResID[[#This Row],[SexID]]*1000+AvatarMatResID[[#This Row],[CountIndex]]</f>
        <v>11411</v>
      </c>
      <c r="G432">
        <f>VLOOKUP(AvatarMatResID[[#This Row],[AvatarPart]],AvatarPartID[],2,0)</f>
        <v>1</v>
      </c>
      <c r="H432">
        <f>VLOOKUP(AvatarMatResID[[#This Row],[Sex]],SexID[],2,0)</f>
        <v>1</v>
      </c>
      <c r="I432" t="str">
        <f>AvatarMatResID[[#This Row],[Material]]</f>
        <v>Female Gorgon 02 Green</v>
      </c>
    </row>
    <row r="433" spans="1:9" x14ac:dyDescent="0.15">
      <c r="A433" t="s">
        <v>454</v>
      </c>
      <c r="B433" t="s">
        <v>1920</v>
      </c>
      <c r="C433" t="s">
        <v>828</v>
      </c>
      <c r="D433">
        <v>412</v>
      </c>
      <c r="F433">
        <f>OUTPUTAvatarMatResID[[#This Row],[AvatarPartID]]*10000+OUTPUTAvatarMatResID[[#This Row],[SexID]]*1000+AvatarMatResID[[#This Row],[CountIndex]]</f>
        <v>11412</v>
      </c>
      <c r="G433">
        <f>VLOOKUP(AvatarMatResID[[#This Row],[AvatarPart]],AvatarPartID[],2,0)</f>
        <v>1</v>
      </c>
      <c r="H433">
        <f>VLOOKUP(AvatarMatResID[[#This Row],[Sex]],SexID[],2,0)</f>
        <v>1</v>
      </c>
      <c r="I433" t="str">
        <f>AvatarMatResID[[#This Row],[Material]]</f>
        <v>Female Gorgon 02 Magenta</v>
      </c>
    </row>
    <row r="434" spans="1:9" x14ac:dyDescent="0.15">
      <c r="A434" t="s">
        <v>454</v>
      </c>
      <c r="B434" t="s">
        <v>1920</v>
      </c>
      <c r="C434" t="s">
        <v>829</v>
      </c>
      <c r="D434">
        <v>413</v>
      </c>
      <c r="F434">
        <f>OUTPUTAvatarMatResID[[#This Row],[AvatarPartID]]*10000+OUTPUTAvatarMatResID[[#This Row],[SexID]]*1000+AvatarMatResID[[#This Row],[CountIndex]]</f>
        <v>11413</v>
      </c>
      <c r="G434">
        <f>VLOOKUP(AvatarMatResID[[#This Row],[AvatarPart]],AvatarPartID[],2,0)</f>
        <v>1</v>
      </c>
      <c r="H434">
        <f>VLOOKUP(AvatarMatResID[[#This Row],[Sex]],SexID[],2,0)</f>
        <v>1</v>
      </c>
      <c r="I434" t="str">
        <f>AvatarMatResID[[#This Row],[Material]]</f>
        <v>Female Gorgon 02 Purple</v>
      </c>
    </row>
    <row r="435" spans="1:9" x14ac:dyDescent="0.15">
      <c r="A435" t="s">
        <v>454</v>
      </c>
      <c r="B435" t="s">
        <v>1920</v>
      </c>
      <c r="C435" t="s">
        <v>830</v>
      </c>
      <c r="D435">
        <v>414</v>
      </c>
      <c r="F435">
        <f>OUTPUTAvatarMatResID[[#This Row],[AvatarPartID]]*10000+OUTPUTAvatarMatResID[[#This Row],[SexID]]*1000+AvatarMatResID[[#This Row],[CountIndex]]</f>
        <v>11414</v>
      </c>
      <c r="G435">
        <f>VLOOKUP(AvatarMatResID[[#This Row],[AvatarPart]],AvatarPartID[],2,0)</f>
        <v>1</v>
      </c>
      <c r="H435">
        <f>VLOOKUP(AvatarMatResID[[#This Row],[Sex]],SexID[],2,0)</f>
        <v>1</v>
      </c>
      <c r="I435" t="str">
        <f>AvatarMatResID[[#This Row],[Material]]</f>
        <v>Female Gorgon 02 Red</v>
      </c>
    </row>
    <row r="436" spans="1:9" x14ac:dyDescent="0.15">
      <c r="A436" t="s">
        <v>454</v>
      </c>
      <c r="B436" t="s">
        <v>1920</v>
      </c>
      <c r="C436" t="s">
        <v>831</v>
      </c>
      <c r="D436">
        <v>415</v>
      </c>
      <c r="F436">
        <f>OUTPUTAvatarMatResID[[#This Row],[AvatarPartID]]*10000+OUTPUTAvatarMatResID[[#This Row],[SexID]]*1000+AvatarMatResID[[#This Row],[CountIndex]]</f>
        <v>11415</v>
      </c>
      <c r="G436">
        <f>VLOOKUP(AvatarMatResID[[#This Row],[AvatarPart]],AvatarPartID[],2,0)</f>
        <v>1</v>
      </c>
      <c r="H436">
        <f>VLOOKUP(AvatarMatResID[[#This Row],[Sex]],SexID[],2,0)</f>
        <v>1</v>
      </c>
      <c r="I436" t="str">
        <f>AvatarMatResID[[#This Row],[Material]]</f>
        <v>Female Gorgon 02 White</v>
      </c>
    </row>
    <row r="437" spans="1:9" x14ac:dyDescent="0.15">
      <c r="A437" t="s">
        <v>454</v>
      </c>
      <c r="B437" t="s">
        <v>1920</v>
      </c>
      <c r="C437" t="s">
        <v>832</v>
      </c>
      <c r="D437">
        <v>416</v>
      </c>
      <c r="F437">
        <f>OUTPUTAvatarMatResID[[#This Row],[AvatarPartID]]*10000+OUTPUTAvatarMatResID[[#This Row],[SexID]]*1000+AvatarMatResID[[#This Row],[CountIndex]]</f>
        <v>11416</v>
      </c>
      <c r="G437">
        <f>VLOOKUP(AvatarMatResID[[#This Row],[AvatarPart]],AvatarPartID[],2,0)</f>
        <v>1</v>
      </c>
      <c r="H437">
        <f>VLOOKUP(AvatarMatResID[[#This Row],[Sex]],SexID[],2,0)</f>
        <v>1</v>
      </c>
      <c r="I437" t="str">
        <f>AvatarMatResID[[#This Row],[Material]]</f>
        <v>Female Gorgon 02 Yellow</v>
      </c>
    </row>
    <row r="438" spans="1:9" x14ac:dyDescent="0.15">
      <c r="A438" t="s">
        <v>454</v>
      </c>
      <c r="B438" t="s">
        <v>1920</v>
      </c>
      <c r="C438" t="s">
        <v>833</v>
      </c>
      <c r="D438">
        <v>417</v>
      </c>
      <c r="F438">
        <f>OUTPUTAvatarMatResID[[#This Row],[AvatarPartID]]*10000+OUTPUTAvatarMatResID[[#This Row],[SexID]]*1000+AvatarMatResID[[#This Row],[CountIndex]]</f>
        <v>11417</v>
      </c>
      <c r="G438">
        <f>VLOOKUP(AvatarMatResID[[#This Row],[AvatarPart]],AvatarPartID[],2,0)</f>
        <v>1</v>
      </c>
      <c r="H438">
        <f>VLOOKUP(AvatarMatResID[[#This Row],[Sex]],SexID[],2,0)</f>
        <v>1</v>
      </c>
      <c r="I438" t="str">
        <f>AvatarMatResID[[#This Row],[Material]]</f>
        <v>Female Gorgon 03 Black</v>
      </c>
    </row>
    <row r="439" spans="1:9" x14ac:dyDescent="0.15">
      <c r="A439" t="s">
        <v>454</v>
      </c>
      <c r="B439" t="s">
        <v>1920</v>
      </c>
      <c r="C439" t="s">
        <v>834</v>
      </c>
      <c r="D439">
        <v>418</v>
      </c>
      <c r="F439">
        <f>OUTPUTAvatarMatResID[[#This Row],[AvatarPartID]]*10000+OUTPUTAvatarMatResID[[#This Row],[SexID]]*1000+AvatarMatResID[[#This Row],[CountIndex]]</f>
        <v>11418</v>
      </c>
      <c r="G439">
        <f>VLOOKUP(AvatarMatResID[[#This Row],[AvatarPart]],AvatarPartID[],2,0)</f>
        <v>1</v>
      </c>
      <c r="H439">
        <f>VLOOKUP(AvatarMatResID[[#This Row],[Sex]],SexID[],2,0)</f>
        <v>1</v>
      </c>
      <c r="I439" t="str">
        <f>AvatarMatResID[[#This Row],[Material]]</f>
        <v>Female Gorgon 03 Blue</v>
      </c>
    </row>
    <row r="440" spans="1:9" x14ac:dyDescent="0.15">
      <c r="A440" t="s">
        <v>454</v>
      </c>
      <c r="B440" t="s">
        <v>1920</v>
      </c>
      <c r="C440" t="s">
        <v>835</v>
      </c>
      <c r="D440">
        <v>419</v>
      </c>
      <c r="F440">
        <f>OUTPUTAvatarMatResID[[#This Row],[AvatarPartID]]*10000+OUTPUTAvatarMatResID[[#This Row],[SexID]]*1000+AvatarMatResID[[#This Row],[CountIndex]]</f>
        <v>11419</v>
      </c>
      <c r="G440">
        <f>VLOOKUP(AvatarMatResID[[#This Row],[AvatarPart]],AvatarPartID[],2,0)</f>
        <v>1</v>
      </c>
      <c r="H440">
        <f>VLOOKUP(AvatarMatResID[[#This Row],[Sex]],SexID[],2,0)</f>
        <v>1</v>
      </c>
      <c r="I440" t="str">
        <f>AvatarMatResID[[#This Row],[Material]]</f>
        <v>Female Gorgon 03 Green</v>
      </c>
    </row>
    <row r="441" spans="1:9" x14ac:dyDescent="0.15">
      <c r="A441" t="s">
        <v>454</v>
      </c>
      <c r="B441" t="s">
        <v>1920</v>
      </c>
      <c r="C441" t="s">
        <v>836</v>
      </c>
      <c r="D441">
        <v>420</v>
      </c>
      <c r="F441">
        <f>OUTPUTAvatarMatResID[[#This Row],[AvatarPartID]]*10000+OUTPUTAvatarMatResID[[#This Row],[SexID]]*1000+AvatarMatResID[[#This Row],[CountIndex]]</f>
        <v>11420</v>
      </c>
      <c r="G441">
        <f>VLOOKUP(AvatarMatResID[[#This Row],[AvatarPart]],AvatarPartID[],2,0)</f>
        <v>1</v>
      </c>
      <c r="H441">
        <f>VLOOKUP(AvatarMatResID[[#This Row],[Sex]],SexID[],2,0)</f>
        <v>1</v>
      </c>
      <c r="I441" t="str">
        <f>AvatarMatResID[[#This Row],[Material]]</f>
        <v>Female Gorgon 03 Magenta</v>
      </c>
    </row>
    <row r="442" spans="1:9" x14ac:dyDescent="0.15">
      <c r="A442" t="s">
        <v>454</v>
      </c>
      <c r="B442" t="s">
        <v>1920</v>
      </c>
      <c r="C442" t="s">
        <v>837</v>
      </c>
      <c r="D442">
        <v>421</v>
      </c>
      <c r="F442">
        <f>OUTPUTAvatarMatResID[[#This Row],[AvatarPartID]]*10000+OUTPUTAvatarMatResID[[#This Row],[SexID]]*1000+AvatarMatResID[[#This Row],[CountIndex]]</f>
        <v>11421</v>
      </c>
      <c r="G442">
        <f>VLOOKUP(AvatarMatResID[[#This Row],[AvatarPart]],AvatarPartID[],2,0)</f>
        <v>1</v>
      </c>
      <c r="H442">
        <f>VLOOKUP(AvatarMatResID[[#This Row],[Sex]],SexID[],2,0)</f>
        <v>1</v>
      </c>
      <c r="I442" t="str">
        <f>AvatarMatResID[[#This Row],[Material]]</f>
        <v>Female Gorgon 03 Purple</v>
      </c>
    </row>
    <row r="443" spans="1:9" x14ac:dyDescent="0.15">
      <c r="A443" t="s">
        <v>454</v>
      </c>
      <c r="B443" t="s">
        <v>1920</v>
      </c>
      <c r="C443" t="s">
        <v>838</v>
      </c>
      <c r="D443">
        <v>422</v>
      </c>
      <c r="F443">
        <f>OUTPUTAvatarMatResID[[#This Row],[AvatarPartID]]*10000+OUTPUTAvatarMatResID[[#This Row],[SexID]]*1000+AvatarMatResID[[#This Row],[CountIndex]]</f>
        <v>11422</v>
      </c>
      <c r="G443">
        <f>VLOOKUP(AvatarMatResID[[#This Row],[AvatarPart]],AvatarPartID[],2,0)</f>
        <v>1</v>
      </c>
      <c r="H443">
        <f>VLOOKUP(AvatarMatResID[[#This Row],[Sex]],SexID[],2,0)</f>
        <v>1</v>
      </c>
      <c r="I443" t="str">
        <f>AvatarMatResID[[#This Row],[Material]]</f>
        <v>Female Gorgon 03 Red</v>
      </c>
    </row>
    <row r="444" spans="1:9" x14ac:dyDescent="0.15">
      <c r="A444" t="s">
        <v>454</v>
      </c>
      <c r="B444" t="s">
        <v>1920</v>
      </c>
      <c r="C444" t="s">
        <v>839</v>
      </c>
      <c r="D444">
        <v>423</v>
      </c>
      <c r="F444">
        <f>OUTPUTAvatarMatResID[[#This Row],[AvatarPartID]]*10000+OUTPUTAvatarMatResID[[#This Row],[SexID]]*1000+AvatarMatResID[[#This Row],[CountIndex]]</f>
        <v>11423</v>
      </c>
      <c r="G444">
        <f>VLOOKUP(AvatarMatResID[[#This Row],[AvatarPart]],AvatarPartID[],2,0)</f>
        <v>1</v>
      </c>
      <c r="H444">
        <f>VLOOKUP(AvatarMatResID[[#This Row],[Sex]],SexID[],2,0)</f>
        <v>1</v>
      </c>
      <c r="I444" t="str">
        <f>AvatarMatResID[[#This Row],[Material]]</f>
        <v>Female Gorgon 03 Yellow</v>
      </c>
    </row>
    <row r="445" spans="1:9" x14ac:dyDescent="0.15">
      <c r="A445" t="s">
        <v>454</v>
      </c>
      <c r="B445" t="s">
        <v>1920</v>
      </c>
      <c r="C445" t="s">
        <v>840</v>
      </c>
      <c r="D445">
        <v>424</v>
      </c>
      <c r="F445">
        <f>OUTPUTAvatarMatResID[[#This Row],[AvatarPartID]]*10000+OUTPUTAvatarMatResID[[#This Row],[SexID]]*1000+AvatarMatResID[[#This Row],[CountIndex]]</f>
        <v>11424</v>
      </c>
      <c r="G445">
        <f>VLOOKUP(AvatarMatResID[[#This Row],[AvatarPart]],AvatarPartID[],2,0)</f>
        <v>1</v>
      </c>
      <c r="H445">
        <f>VLOOKUP(AvatarMatResID[[#This Row],[Sex]],SexID[],2,0)</f>
        <v>1</v>
      </c>
      <c r="I445" t="str">
        <f>AvatarMatResID[[#This Row],[Material]]</f>
        <v>Female Gorgon Underwear</v>
      </c>
    </row>
    <row r="446" spans="1:9" x14ac:dyDescent="0.15">
      <c r="A446" t="s">
        <v>454</v>
      </c>
      <c r="B446" t="s">
        <v>1920</v>
      </c>
      <c r="C446" t="s">
        <v>841</v>
      </c>
      <c r="D446">
        <v>425</v>
      </c>
      <c r="F446">
        <f>OUTPUTAvatarMatResID[[#This Row],[AvatarPartID]]*10000+OUTPUTAvatarMatResID[[#This Row],[SexID]]*1000+AvatarMatResID[[#This Row],[CountIndex]]</f>
        <v>11425</v>
      </c>
      <c r="G446">
        <f>VLOOKUP(AvatarMatResID[[#This Row],[AvatarPart]],AvatarPartID[],2,0)</f>
        <v>1</v>
      </c>
      <c r="H446">
        <f>VLOOKUP(AvatarMatResID[[#This Row],[Sex]],SexID[],2,0)</f>
        <v>1</v>
      </c>
      <c r="I446" t="str">
        <f>AvatarMatResID[[#This Row],[Material]]</f>
        <v>Female Spideress 01 Blue</v>
      </c>
    </row>
    <row r="447" spans="1:9" x14ac:dyDescent="0.15">
      <c r="A447" t="s">
        <v>454</v>
      </c>
      <c r="B447" t="s">
        <v>1920</v>
      </c>
      <c r="C447" t="s">
        <v>842</v>
      </c>
      <c r="D447">
        <v>426</v>
      </c>
      <c r="F447">
        <f>OUTPUTAvatarMatResID[[#This Row],[AvatarPartID]]*10000+OUTPUTAvatarMatResID[[#This Row],[SexID]]*1000+AvatarMatResID[[#This Row],[CountIndex]]</f>
        <v>11426</v>
      </c>
      <c r="G447">
        <f>VLOOKUP(AvatarMatResID[[#This Row],[AvatarPart]],AvatarPartID[],2,0)</f>
        <v>1</v>
      </c>
      <c r="H447">
        <f>VLOOKUP(AvatarMatResID[[#This Row],[Sex]],SexID[],2,0)</f>
        <v>1</v>
      </c>
      <c r="I447" t="str">
        <f>AvatarMatResID[[#This Row],[Material]]</f>
        <v>Female Spideress 01 Green</v>
      </c>
    </row>
    <row r="448" spans="1:9" x14ac:dyDescent="0.15">
      <c r="A448" t="s">
        <v>454</v>
      </c>
      <c r="B448" t="s">
        <v>1920</v>
      </c>
      <c r="C448" t="s">
        <v>843</v>
      </c>
      <c r="D448">
        <v>427</v>
      </c>
      <c r="F448">
        <f>OUTPUTAvatarMatResID[[#This Row],[AvatarPartID]]*10000+OUTPUTAvatarMatResID[[#This Row],[SexID]]*1000+AvatarMatResID[[#This Row],[CountIndex]]</f>
        <v>11427</v>
      </c>
      <c r="G448">
        <f>VLOOKUP(AvatarMatResID[[#This Row],[AvatarPart]],AvatarPartID[],2,0)</f>
        <v>1</v>
      </c>
      <c r="H448">
        <f>VLOOKUP(AvatarMatResID[[#This Row],[Sex]],SexID[],2,0)</f>
        <v>1</v>
      </c>
      <c r="I448" t="str">
        <f>AvatarMatResID[[#This Row],[Material]]</f>
        <v>Female Spideress 01 Magenta</v>
      </c>
    </row>
    <row r="449" spans="1:9" x14ac:dyDescent="0.15">
      <c r="A449" t="s">
        <v>454</v>
      </c>
      <c r="B449" t="s">
        <v>1920</v>
      </c>
      <c r="C449" t="s">
        <v>844</v>
      </c>
      <c r="D449">
        <v>428</v>
      </c>
      <c r="F449">
        <f>OUTPUTAvatarMatResID[[#This Row],[AvatarPartID]]*10000+OUTPUTAvatarMatResID[[#This Row],[SexID]]*1000+AvatarMatResID[[#This Row],[CountIndex]]</f>
        <v>11428</v>
      </c>
      <c r="G449">
        <f>VLOOKUP(AvatarMatResID[[#This Row],[AvatarPart]],AvatarPartID[],2,0)</f>
        <v>1</v>
      </c>
      <c r="H449">
        <f>VLOOKUP(AvatarMatResID[[#This Row],[Sex]],SexID[],2,0)</f>
        <v>1</v>
      </c>
      <c r="I449" t="str">
        <f>AvatarMatResID[[#This Row],[Material]]</f>
        <v>Female Spideress 01 Purple</v>
      </c>
    </row>
    <row r="450" spans="1:9" x14ac:dyDescent="0.15">
      <c r="A450" t="s">
        <v>454</v>
      </c>
      <c r="B450" t="s">
        <v>1920</v>
      </c>
      <c r="C450" t="s">
        <v>845</v>
      </c>
      <c r="D450">
        <v>429</v>
      </c>
      <c r="F450">
        <f>OUTPUTAvatarMatResID[[#This Row],[AvatarPartID]]*10000+OUTPUTAvatarMatResID[[#This Row],[SexID]]*1000+AvatarMatResID[[#This Row],[CountIndex]]</f>
        <v>11429</v>
      </c>
      <c r="G450">
        <f>VLOOKUP(AvatarMatResID[[#This Row],[AvatarPart]],AvatarPartID[],2,0)</f>
        <v>1</v>
      </c>
      <c r="H450">
        <f>VLOOKUP(AvatarMatResID[[#This Row],[Sex]],SexID[],2,0)</f>
        <v>1</v>
      </c>
      <c r="I450" t="str">
        <f>AvatarMatResID[[#This Row],[Material]]</f>
        <v>Female Spideress 01 Red</v>
      </c>
    </row>
    <row r="451" spans="1:9" x14ac:dyDescent="0.15">
      <c r="A451" t="s">
        <v>454</v>
      </c>
      <c r="B451" t="s">
        <v>1920</v>
      </c>
      <c r="C451" t="s">
        <v>846</v>
      </c>
      <c r="D451">
        <v>430</v>
      </c>
      <c r="F451">
        <f>OUTPUTAvatarMatResID[[#This Row],[AvatarPartID]]*10000+OUTPUTAvatarMatResID[[#This Row],[SexID]]*1000+AvatarMatResID[[#This Row],[CountIndex]]</f>
        <v>11430</v>
      </c>
      <c r="G451">
        <f>VLOOKUP(AvatarMatResID[[#This Row],[AvatarPart]],AvatarPartID[],2,0)</f>
        <v>1</v>
      </c>
      <c r="H451">
        <f>VLOOKUP(AvatarMatResID[[#This Row],[Sex]],SexID[],2,0)</f>
        <v>1</v>
      </c>
      <c r="I451" t="str">
        <f>AvatarMatResID[[#This Row],[Material]]</f>
        <v>Female Spideress 01 White</v>
      </c>
    </row>
    <row r="452" spans="1:9" x14ac:dyDescent="0.15">
      <c r="A452" t="s">
        <v>454</v>
      </c>
      <c r="B452" t="s">
        <v>1920</v>
      </c>
      <c r="C452" t="s">
        <v>847</v>
      </c>
      <c r="D452">
        <v>431</v>
      </c>
      <c r="F452">
        <f>OUTPUTAvatarMatResID[[#This Row],[AvatarPartID]]*10000+OUTPUTAvatarMatResID[[#This Row],[SexID]]*1000+AvatarMatResID[[#This Row],[CountIndex]]</f>
        <v>11431</v>
      </c>
      <c r="G452">
        <f>VLOOKUP(AvatarMatResID[[#This Row],[AvatarPart]],AvatarPartID[],2,0)</f>
        <v>1</v>
      </c>
      <c r="H452">
        <f>VLOOKUP(AvatarMatResID[[#This Row],[Sex]],SexID[],2,0)</f>
        <v>1</v>
      </c>
      <c r="I452" t="str">
        <f>AvatarMatResID[[#This Row],[Material]]</f>
        <v>Female Spideress 01 Yellow</v>
      </c>
    </row>
    <row r="453" spans="1:9" x14ac:dyDescent="0.15">
      <c r="A453" t="s">
        <v>454</v>
      </c>
      <c r="B453" t="s">
        <v>1920</v>
      </c>
      <c r="C453" t="s">
        <v>848</v>
      </c>
      <c r="D453">
        <v>432</v>
      </c>
      <c r="F453">
        <f>OUTPUTAvatarMatResID[[#This Row],[AvatarPartID]]*10000+OUTPUTAvatarMatResID[[#This Row],[SexID]]*1000+AvatarMatResID[[#This Row],[CountIndex]]</f>
        <v>11432</v>
      </c>
      <c r="G453">
        <f>VLOOKUP(AvatarMatResID[[#This Row],[AvatarPart]],AvatarPartID[],2,0)</f>
        <v>1</v>
      </c>
      <c r="H453">
        <f>VLOOKUP(AvatarMatResID[[#This Row],[Sex]],SexID[],2,0)</f>
        <v>1</v>
      </c>
      <c r="I453" t="str">
        <f>AvatarMatResID[[#This Row],[Material]]</f>
        <v>Female Spideress 02 Black</v>
      </c>
    </row>
    <row r="454" spans="1:9" x14ac:dyDescent="0.15">
      <c r="A454" t="s">
        <v>454</v>
      </c>
      <c r="B454" t="s">
        <v>1920</v>
      </c>
      <c r="C454" t="s">
        <v>849</v>
      </c>
      <c r="D454">
        <v>433</v>
      </c>
      <c r="F454">
        <f>OUTPUTAvatarMatResID[[#This Row],[AvatarPartID]]*10000+OUTPUTAvatarMatResID[[#This Row],[SexID]]*1000+AvatarMatResID[[#This Row],[CountIndex]]</f>
        <v>11433</v>
      </c>
      <c r="G454">
        <f>VLOOKUP(AvatarMatResID[[#This Row],[AvatarPart]],AvatarPartID[],2,0)</f>
        <v>1</v>
      </c>
      <c r="H454">
        <f>VLOOKUP(AvatarMatResID[[#This Row],[Sex]],SexID[],2,0)</f>
        <v>1</v>
      </c>
      <c r="I454" t="str">
        <f>AvatarMatResID[[#This Row],[Material]]</f>
        <v>Female Spideress 02 Blue</v>
      </c>
    </row>
    <row r="455" spans="1:9" x14ac:dyDescent="0.15">
      <c r="A455" t="s">
        <v>454</v>
      </c>
      <c r="B455" t="s">
        <v>1920</v>
      </c>
      <c r="C455" t="s">
        <v>850</v>
      </c>
      <c r="D455">
        <v>434</v>
      </c>
      <c r="F455">
        <f>OUTPUTAvatarMatResID[[#This Row],[AvatarPartID]]*10000+OUTPUTAvatarMatResID[[#This Row],[SexID]]*1000+AvatarMatResID[[#This Row],[CountIndex]]</f>
        <v>11434</v>
      </c>
      <c r="G455">
        <f>VLOOKUP(AvatarMatResID[[#This Row],[AvatarPart]],AvatarPartID[],2,0)</f>
        <v>1</v>
      </c>
      <c r="H455">
        <f>VLOOKUP(AvatarMatResID[[#This Row],[Sex]],SexID[],2,0)</f>
        <v>1</v>
      </c>
      <c r="I455" t="str">
        <f>AvatarMatResID[[#This Row],[Material]]</f>
        <v>Female Spideress 02 Green</v>
      </c>
    </row>
    <row r="456" spans="1:9" x14ac:dyDescent="0.15">
      <c r="A456" t="s">
        <v>454</v>
      </c>
      <c r="B456" t="s">
        <v>1920</v>
      </c>
      <c r="C456" t="s">
        <v>851</v>
      </c>
      <c r="D456">
        <v>435</v>
      </c>
      <c r="F456">
        <f>OUTPUTAvatarMatResID[[#This Row],[AvatarPartID]]*10000+OUTPUTAvatarMatResID[[#This Row],[SexID]]*1000+AvatarMatResID[[#This Row],[CountIndex]]</f>
        <v>11435</v>
      </c>
      <c r="G456">
        <f>VLOOKUP(AvatarMatResID[[#This Row],[AvatarPart]],AvatarPartID[],2,0)</f>
        <v>1</v>
      </c>
      <c r="H456">
        <f>VLOOKUP(AvatarMatResID[[#This Row],[Sex]],SexID[],2,0)</f>
        <v>1</v>
      </c>
      <c r="I456" t="str">
        <f>AvatarMatResID[[#This Row],[Material]]</f>
        <v>Female Spideress 02 Magenta</v>
      </c>
    </row>
    <row r="457" spans="1:9" x14ac:dyDescent="0.15">
      <c r="A457" t="s">
        <v>454</v>
      </c>
      <c r="B457" t="s">
        <v>1920</v>
      </c>
      <c r="C457" t="s">
        <v>852</v>
      </c>
      <c r="D457">
        <v>436</v>
      </c>
      <c r="F457">
        <f>OUTPUTAvatarMatResID[[#This Row],[AvatarPartID]]*10000+OUTPUTAvatarMatResID[[#This Row],[SexID]]*1000+AvatarMatResID[[#This Row],[CountIndex]]</f>
        <v>11436</v>
      </c>
      <c r="G457">
        <f>VLOOKUP(AvatarMatResID[[#This Row],[AvatarPart]],AvatarPartID[],2,0)</f>
        <v>1</v>
      </c>
      <c r="H457">
        <f>VLOOKUP(AvatarMatResID[[#This Row],[Sex]],SexID[],2,0)</f>
        <v>1</v>
      </c>
      <c r="I457" t="str">
        <f>AvatarMatResID[[#This Row],[Material]]</f>
        <v>Female Spideress 02 Purple</v>
      </c>
    </row>
    <row r="458" spans="1:9" x14ac:dyDescent="0.15">
      <c r="A458" t="s">
        <v>454</v>
      </c>
      <c r="B458" t="s">
        <v>1920</v>
      </c>
      <c r="C458" t="s">
        <v>853</v>
      </c>
      <c r="D458">
        <v>437</v>
      </c>
      <c r="F458">
        <f>OUTPUTAvatarMatResID[[#This Row],[AvatarPartID]]*10000+OUTPUTAvatarMatResID[[#This Row],[SexID]]*1000+AvatarMatResID[[#This Row],[CountIndex]]</f>
        <v>11437</v>
      </c>
      <c r="G458">
        <f>VLOOKUP(AvatarMatResID[[#This Row],[AvatarPart]],AvatarPartID[],2,0)</f>
        <v>1</v>
      </c>
      <c r="H458">
        <f>VLOOKUP(AvatarMatResID[[#This Row],[Sex]],SexID[],2,0)</f>
        <v>1</v>
      </c>
      <c r="I458" t="str">
        <f>AvatarMatResID[[#This Row],[Material]]</f>
        <v>Female Spideress 02 Yellow</v>
      </c>
    </row>
    <row r="459" spans="1:9" x14ac:dyDescent="0.15">
      <c r="A459" t="s">
        <v>454</v>
      </c>
      <c r="B459" t="s">
        <v>1920</v>
      </c>
      <c r="C459" t="s">
        <v>854</v>
      </c>
      <c r="D459">
        <v>438</v>
      </c>
      <c r="F459">
        <f>OUTPUTAvatarMatResID[[#This Row],[AvatarPartID]]*10000+OUTPUTAvatarMatResID[[#This Row],[SexID]]*1000+AvatarMatResID[[#This Row],[CountIndex]]</f>
        <v>11438</v>
      </c>
      <c r="G459">
        <f>VLOOKUP(AvatarMatResID[[#This Row],[AvatarPart]],AvatarPartID[],2,0)</f>
        <v>1</v>
      </c>
      <c r="H459">
        <f>VLOOKUP(AvatarMatResID[[#This Row],[Sex]],SexID[],2,0)</f>
        <v>1</v>
      </c>
      <c r="I459" t="str">
        <f>AvatarMatResID[[#This Row],[Material]]</f>
        <v>Female Spideress 03 Black</v>
      </c>
    </row>
    <row r="460" spans="1:9" x14ac:dyDescent="0.15">
      <c r="A460" t="s">
        <v>454</v>
      </c>
      <c r="B460" t="s">
        <v>1920</v>
      </c>
      <c r="C460" t="s">
        <v>855</v>
      </c>
      <c r="D460">
        <v>439</v>
      </c>
      <c r="F460">
        <f>OUTPUTAvatarMatResID[[#This Row],[AvatarPartID]]*10000+OUTPUTAvatarMatResID[[#This Row],[SexID]]*1000+AvatarMatResID[[#This Row],[CountIndex]]</f>
        <v>11439</v>
      </c>
      <c r="G460">
        <f>VLOOKUP(AvatarMatResID[[#This Row],[AvatarPart]],AvatarPartID[],2,0)</f>
        <v>1</v>
      </c>
      <c r="H460">
        <f>VLOOKUP(AvatarMatResID[[#This Row],[Sex]],SexID[],2,0)</f>
        <v>1</v>
      </c>
      <c r="I460" t="str">
        <f>AvatarMatResID[[#This Row],[Material]]</f>
        <v>Female Spideress 03 Blue</v>
      </c>
    </row>
    <row r="461" spans="1:9" x14ac:dyDescent="0.15">
      <c r="A461" t="s">
        <v>454</v>
      </c>
      <c r="B461" t="s">
        <v>1920</v>
      </c>
      <c r="C461" t="s">
        <v>856</v>
      </c>
      <c r="D461">
        <v>440</v>
      </c>
      <c r="F461">
        <f>OUTPUTAvatarMatResID[[#This Row],[AvatarPartID]]*10000+OUTPUTAvatarMatResID[[#This Row],[SexID]]*1000+AvatarMatResID[[#This Row],[CountIndex]]</f>
        <v>11440</v>
      </c>
      <c r="G461">
        <f>VLOOKUP(AvatarMatResID[[#This Row],[AvatarPart]],AvatarPartID[],2,0)</f>
        <v>1</v>
      </c>
      <c r="H461">
        <f>VLOOKUP(AvatarMatResID[[#This Row],[Sex]],SexID[],2,0)</f>
        <v>1</v>
      </c>
      <c r="I461" t="str">
        <f>AvatarMatResID[[#This Row],[Material]]</f>
        <v>Female Spideress 03 Green</v>
      </c>
    </row>
    <row r="462" spans="1:9" x14ac:dyDescent="0.15">
      <c r="A462" t="s">
        <v>454</v>
      </c>
      <c r="B462" t="s">
        <v>1920</v>
      </c>
      <c r="C462" t="s">
        <v>857</v>
      </c>
      <c r="D462">
        <v>441</v>
      </c>
      <c r="F462">
        <f>OUTPUTAvatarMatResID[[#This Row],[AvatarPartID]]*10000+OUTPUTAvatarMatResID[[#This Row],[SexID]]*1000+AvatarMatResID[[#This Row],[CountIndex]]</f>
        <v>11441</v>
      </c>
      <c r="G462">
        <f>VLOOKUP(AvatarMatResID[[#This Row],[AvatarPart]],AvatarPartID[],2,0)</f>
        <v>1</v>
      </c>
      <c r="H462">
        <f>VLOOKUP(AvatarMatResID[[#This Row],[Sex]],SexID[],2,0)</f>
        <v>1</v>
      </c>
      <c r="I462" t="str">
        <f>AvatarMatResID[[#This Row],[Material]]</f>
        <v>Female Spideress 03 Magenta</v>
      </c>
    </row>
    <row r="463" spans="1:9" x14ac:dyDescent="0.15">
      <c r="A463" t="s">
        <v>454</v>
      </c>
      <c r="B463" t="s">
        <v>1920</v>
      </c>
      <c r="C463" t="s">
        <v>858</v>
      </c>
      <c r="D463">
        <v>442</v>
      </c>
      <c r="F463">
        <f>OUTPUTAvatarMatResID[[#This Row],[AvatarPartID]]*10000+OUTPUTAvatarMatResID[[#This Row],[SexID]]*1000+AvatarMatResID[[#This Row],[CountIndex]]</f>
        <v>11442</v>
      </c>
      <c r="G463">
        <f>VLOOKUP(AvatarMatResID[[#This Row],[AvatarPart]],AvatarPartID[],2,0)</f>
        <v>1</v>
      </c>
      <c r="H463">
        <f>VLOOKUP(AvatarMatResID[[#This Row],[Sex]],SexID[],2,0)</f>
        <v>1</v>
      </c>
      <c r="I463" t="str">
        <f>AvatarMatResID[[#This Row],[Material]]</f>
        <v>Female Spideress 03 Purple</v>
      </c>
    </row>
    <row r="464" spans="1:9" x14ac:dyDescent="0.15">
      <c r="A464" t="s">
        <v>454</v>
      </c>
      <c r="B464" t="s">
        <v>1920</v>
      </c>
      <c r="C464" t="s">
        <v>859</v>
      </c>
      <c r="D464">
        <v>443</v>
      </c>
      <c r="F464">
        <f>OUTPUTAvatarMatResID[[#This Row],[AvatarPartID]]*10000+OUTPUTAvatarMatResID[[#This Row],[SexID]]*1000+AvatarMatResID[[#This Row],[CountIndex]]</f>
        <v>11443</v>
      </c>
      <c r="G464">
        <f>VLOOKUP(AvatarMatResID[[#This Row],[AvatarPart]],AvatarPartID[],2,0)</f>
        <v>1</v>
      </c>
      <c r="H464">
        <f>VLOOKUP(AvatarMatResID[[#This Row],[Sex]],SexID[],2,0)</f>
        <v>1</v>
      </c>
      <c r="I464" t="str">
        <f>AvatarMatResID[[#This Row],[Material]]</f>
        <v>Female Spideress 03 Red</v>
      </c>
    </row>
    <row r="465" spans="1:9" x14ac:dyDescent="0.15">
      <c r="A465" t="s">
        <v>454</v>
      </c>
      <c r="B465" t="s">
        <v>1920</v>
      </c>
      <c r="C465" t="s">
        <v>860</v>
      </c>
      <c r="D465">
        <v>444</v>
      </c>
      <c r="F465">
        <f>OUTPUTAvatarMatResID[[#This Row],[AvatarPartID]]*10000+OUTPUTAvatarMatResID[[#This Row],[SexID]]*1000+AvatarMatResID[[#This Row],[CountIndex]]</f>
        <v>11444</v>
      </c>
      <c r="G465">
        <f>VLOOKUP(AvatarMatResID[[#This Row],[AvatarPart]],AvatarPartID[],2,0)</f>
        <v>1</v>
      </c>
      <c r="H465">
        <f>VLOOKUP(AvatarMatResID[[#This Row],[Sex]],SexID[],2,0)</f>
        <v>1</v>
      </c>
      <c r="I465" t="str">
        <f>AvatarMatResID[[#This Row],[Material]]</f>
        <v>Female Spideress 03 Yellow</v>
      </c>
    </row>
    <row r="466" spans="1:9" x14ac:dyDescent="0.15">
      <c r="A466" t="s">
        <v>454</v>
      </c>
      <c r="B466" t="s">
        <v>1920</v>
      </c>
      <c r="C466" t="s">
        <v>861</v>
      </c>
      <c r="D466">
        <v>445</v>
      </c>
      <c r="F466">
        <f>OUTPUTAvatarMatResID[[#This Row],[AvatarPartID]]*10000+OUTPUTAvatarMatResID[[#This Row],[SexID]]*1000+AvatarMatResID[[#This Row],[CountIndex]]</f>
        <v>11445</v>
      </c>
      <c r="G466">
        <f>VLOOKUP(AvatarMatResID[[#This Row],[AvatarPart]],AvatarPartID[],2,0)</f>
        <v>1</v>
      </c>
      <c r="H466">
        <f>VLOOKUP(AvatarMatResID[[#This Row],[Sex]],SexID[],2,0)</f>
        <v>1</v>
      </c>
      <c r="I466" t="str">
        <f>AvatarMatResID[[#This Row],[Material]]</f>
        <v>Female Spideress Underwear</v>
      </c>
    </row>
    <row r="467" spans="1:9" x14ac:dyDescent="0.15">
      <c r="A467" t="s">
        <v>454</v>
      </c>
      <c r="B467" t="s">
        <v>1920</v>
      </c>
      <c r="C467" t="s">
        <v>862</v>
      </c>
      <c r="D467">
        <v>446</v>
      </c>
      <c r="F467">
        <f>OUTPUTAvatarMatResID[[#This Row],[AvatarPartID]]*10000+OUTPUTAvatarMatResID[[#This Row],[SexID]]*1000+AvatarMatResID[[#This Row],[CountIndex]]</f>
        <v>11446</v>
      </c>
      <c r="G467">
        <f>VLOOKUP(AvatarMatResID[[#This Row],[AvatarPart]],AvatarPartID[],2,0)</f>
        <v>1</v>
      </c>
      <c r="H467">
        <f>VLOOKUP(AvatarMatResID[[#This Row],[Sex]],SexID[],2,0)</f>
        <v>1</v>
      </c>
      <c r="I467" t="str">
        <f>AvatarMatResID[[#This Row],[Material]]</f>
        <v>Female White Archer 01 Black</v>
      </c>
    </row>
    <row r="468" spans="1:9" x14ac:dyDescent="0.15">
      <c r="A468" t="s">
        <v>454</v>
      </c>
      <c r="B468" t="s">
        <v>1920</v>
      </c>
      <c r="C468" t="s">
        <v>863</v>
      </c>
      <c r="D468">
        <v>447</v>
      </c>
      <c r="F468">
        <f>OUTPUTAvatarMatResID[[#This Row],[AvatarPartID]]*10000+OUTPUTAvatarMatResID[[#This Row],[SexID]]*1000+AvatarMatResID[[#This Row],[CountIndex]]</f>
        <v>11447</v>
      </c>
      <c r="G468">
        <f>VLOOKUP(AvatarMatResID[[#This Row],[AvatarPart]],AvatarPartID[],2,0)</f>
        <v>1</v>
      </c>
      <c r="H468">
        <f>VLOOKUP(AvatarMatResID[[#This Row],[Sex]],SexID[],2,0)</f>
        <v>1</v>
      </c>
      <c r="I468" t="str">
        <f>AvatarMatResID[[#This Row],[Material]]</f>
        <v>Female White Archer 01 Blue</v>
      </c>
    </row>
    <row r="469" spans="1:9" x14ac:dyDescent="0.15">
      <c r="A469" t="s">
        <v>454</v>
      </c>
      <c r="B469" t="s">
        <v>1920</v>
      </c>
      <c r="C469" t="s">
        <v>864</v>
      </c>
      <c r="D469">
        <v>448</v>
      </c>
      <c r="F469">
        <f>OUTPUTAvatarMatResID[[#This Row],[AvatarPartID]]*10000+OUTPUTAvatarMatResID[[#This Row],[SexID]]*1000+AvatarMatResID[[#This Row],[CountIndex]]</f>
        <v>11448</v>
      </c>
      <c r="G469">
        <f>VLOOKUP(AvatarMatResID[[#This Row],[AvatarPart]],AvatarPartID[],2,0)</f>
        <v>1</v>
      </c>
      <c r="H469">
        <f>VLOOKUP(AvatarMatResID[[#This Row],[Sex]],SexID[],2,0)</f>
        <v>1</v>
      </c>
      <c r="I469" t="str">
        <f>AvatarMatResID[[#This Row],[Material]]</f>
        <v>Female White Archer 01 Green</v>
      </c>
    </row>
    <row r="470" spans="1:9" x14ac:dyDescent="0.15">
      <c r="A470" t="s">
        <v>454</v>
      </c>
      <c r="B470" t="s">
        <v>1920</v>
      </c>
      <c r="C470" t="s">
        <v>865</v>
      </c>
      <c r="D470">
        <v>449</v>
      </c>
      <c r="F470">
        <f>OUTPUTAvatarMatResID[[#This Row],[AvatarPartID]]*10000+OUTPUTAvatarMatResID[[#This Row],[SexID]]*1000+AvatarMatResID[[#This Row],[CountIndex]]</f>
        <v>11449</v>
      </c>
      <c r="G470">
        <f>VLOOKUP(AvatarMatResID[[#This Row],[AvatarPart]],AvatarPartID[],2,0)</f>
        <v>1</v>
      </c>
      <c r="H470">
        <f>VLOOKUP(AvatarMatResID[[#This Row],[Sex]],SexID[],2,0)</f>
        <v>1</v>
      </c>
      <c r="I470" t="str">
        <f>AvatarMatResID[[#This Row],[Material]]</f>
        <v>Female White Archer 01 Magenta</v>
      </c>
    </row>
    <row r="471" spans="1:9" x14ac:dyDescent="0.15">
      <c r="A471" t="s">
        <v>454</v>
      </c>
      <c r="B471" t="s">
        <v>1920</v>
      </c>
      <c r="C471" t="s">
        <v>866</v>
      </c>
      <c r="D471">
        <v>450</v>
      </c>
      <c r="F471">
        <f>OUTPUTAvatarMatResID[[#This Row],[AvatarPartID]]*10000+OUTPUTAvatarMatResID[[#This Row],[SexID]]*1000+AvatarMatResID[[#This Row],[CountIndex]]</f>
        <v>11450</v>
      </c>
      <c r="G471">
        <f>VLOOKUP(AvatarMatResID[[#This Row],[AvatarPart]],AvatarPartID[],2,0)</f>
        <v>1</v>
      </c>
      <c r="H471">
        <f>VLOOKUP(AvatarMatResID[[#This Row],[Sex]],SexID[],2,0)</f>
        <v>1</v>
      </c>
      <c r="I471" t="str">
        <f>AvatarMatResID[[#This Row],[Material]]</f>
        <v>Female White Archer 01 Purple</v>
      </c>
    </row>
    <row r="472" spans="1:9" x14ac:dyDescent="0.15">
      <c r="A472" t="s">
        <v>454</v>
      </c>
      <c r="B472" t="s">
        <v>1920</v>
      </c>
      <c r="C472" t="s">
        <v>867</v>
      </c>
      <c r="D472">
        <v>451</v>
      </c>
      <c r="F472">
        <f>OUTPUTAvatarMatResID[[#This Row],[AvatarPartID]]*10000+OUTPUTAvatarMatResID[[#This Row],[SexID]]*1000+AvatarMatResID[[#This Row],[CountIndex]]</f>
        <v>11451</v>
      </c>
      <c r="G472">
        <f>VLOOKUP(AvatarMatResID[[#This Row],[AvatarPart]],AvatarPartID[],2,0)</f>
        <v>1</v>
      </c>
      <c r="H472">
        <f>VLOOKUP(AvatarMatResID[[#This Row],[Sex]],SexID[],2,0)</f>
        <v>1</v>
      </c>
      <c r="I472" t="str">
        <f>AvatarMatResID[[#This Row],[Material]]</f>
        <v>Female White Archer 01 White</v>
      </c>
    </row>
    <row r="473" spans="1:9" x14ac:dyDescent="0.15">
      <c r="A473" t="s">
        <v>454</v>
      </c>
      <c r="B473" t="s">
        <v>1920</v>
      </c>
      <c r="C473" t="s">
        <v>868</v>
      </c>
      <c r="D473">
        <v>452</v>
      </c>
      <c r="F473">
        <f>OUTPUTAvatarMatResID[[#This Row],[AvatarPartID]]*10000+OUTPUTAvatarMatResID[[#This Row],[SexID]]*1000+AvatarMatResID[[#This Row],[CountIndex]]</f>
        <v>11452</v>
      </c>
      <c r="G473">
        <f>VLOOKUP(AvatarMatResID[[#This Row],[AvatarPart]],AvatarPartID[],2,0)</f>
        <v>1</v>
      </c>
      <c r="H473">
        <f>VLOOKUP(AvatarMatResID[[#This Row],[Sex]],SexID[],2,0)</f>
        <v>1</v>
      </c>
      <c r="I473" t="str">
        <f>AvatarMatResID[[#This Row],[Material]]</f>
        <v>Female White Archer 02 Black</v>
      </c>
    </row>
    <row r="474" spans="1:9" x14ac:dyDescent="0.15">
      <c r="A474" t="s">
        <v>454</v>
      </c>
      <c r="B474" t="s">
        <v>1920</v>
      </c>
      <c r="C474" t="s">
        <v>869</v>
      </c>
      <c r="D474">
        <v>453</v>
      </c>
      <c r="F474">
        <f>OUTPUTAvatarMatResID[[#This Row],[AvatarPartID]]*10000+OUTPUTAvatarMatResID[[#This Row],[SexID]]*1000+AvatarMatResID[[#This Row],[CountIndex]]</f>
        <v>11453</v>
      </c>
      <c r="G474">
        <f>VLOOKUP(AvatarMatResID[[#This Row],[AvatarPart]],AvatarPartID[],2,0)</f>
        <v>1</v>
      </c>
      <c r="H474">
        <f>VLOOKUP(AvatarMatResID[[#This Row],[Sex]],SexID[],2,0)</f>
        <v>1</v>
      </c>
      <c r="I474" t="str">
        <f>AvatarMatResID[[#This Row],[Material]]</f>
        <v>Female White Archer 02 Blue</v>
      </c>
    </row>
    <row r="475" spans="1:9" x14ac:dyDescent="0.15">
      <c r="A475" t="s">
        <v>454</v>
      </c>
      <c r="B475" t="s">
        <v>1920</v>
      </c>
      <c r="C475" t="s">
        <v>870</v>
      </c>
      <c r="D475">
        <v>454</v>
      </c>
      <c r="F475">
        <f>OUTPUTAvatarMatResID[[#This Row],[AvatarPartID]]*10000+OUTPUTAvatarMatResID[[#This Row],[SexID]]*1000+AvatarMatResID[[#This Row],[CountIndex]]</f>
        <v>11454</v>
      </c>
      <c r="G475">
        <f>VLOOKUP(AvatarMatResID[[#This Row],[AvatarPart]],AvatarPartID[],2,0)</f>
        <v>1</v>
      </c>
      <c r="H475">
        <f>VLOOKUP(AvatarMatResID[[#This Row],[Sex]],SexID[],2,0)</f>
        <v>1</v>
      </c>
      <c r="I475" t="str">
        <f>AvatarMatResID[[#This Row],[Material]]</f>
        <v>Female White Archer 02 Green</v>
      </c>
    </row>
    <row r="476" spans="1:9" x14ac:dyDescent="0.15">
      <c r="A476" t="s">
        <v>454</v>
      </c>
      <c r="B476" t="s">
        <v>1920</v>
      </c>
      <c r="C476" t="s">
        <v>871</v>
      </c>
      <c r="D476">
        <v>455</v>
      </c>
      <c r="F476">
        <f>OUTPUTAvatarMatResID[[#This Row],[AvatarPartID]]*10000+OUTPUTAvatarMatResID[[#This Row],[SexID]]*1000+AvatarMatResID[[#This Row],[CountIndex]]</f>
        <v>11455</v>
      </c>
      <c r="G476">
        <f>VLOOKUP(AvatarMatResID[[#This Row],[AvatarPart]],AvatarPartID[],2,0)</f>
        <v>1</v>
      </c>
      <c r="H476">
        <f>VLOOKUP(AvatarMatResID[[#This Row],[Sex]],SexID[],2,0)</f>
        <v>1</v>
      </c>
      <c r="I476" t="str">
        <f>AvatarMatResID[[#This Row],[Material]]</f>
        <v>Female White Archer 02 Lime</v>
      </c>
    </row>
    <row r="477" spans="1:9" x14ac:dyDescent="0.15">
      <c r="A477" t="s">
        <v>454</v>
      </c>
      <c r="B477" t="s">
        <v>1920</v>
      </c>
      <c r="C477" t="s">
        <v>872</v>
      </c>
      <c r="D477">
        <v>456</v>
      </c>
      <c r="F477">
        <f>OUTPUTAvatarMatResID[[#This Row],[AvatarPartID]]*10000+OUTPUTAvatarMatResID[[#This Row],[SexID]]*1000+AvatarMatResID[[#This Row],[CountIndex]]</f>
        <v>11456</v>
      </c>
      <c r="G477">
        <f>VLOOKUP(AvatarMatResID[[#This Row],[AvatarPart]],AvatarPartID[],2,0)</f>
        <v>1</v>
      </c>
      <c r="H477">
        <f>VLOOKUP(AvatarMatResID[[#This Row],[Sex]],SexID[],2,0)</f>
        <v>1</v>
      </c>
      <c r="I477" t="str">
        <f>AvatarMatResID[[#This Row],[Material]]</f>
        <v>Female White Archer 02 Magenta</v>
      </c>
    </row>
    <row r="478" spans="1:9" x14ac:dyDescent="0.15">
      <c r="A478" t="s">
        <v>454</v>
      </c>
      <c r="B478" t="s">
        <v>1920</v>
      </c>
      <c r="C478" t="s">
        <v>873</v>
      </c>
      <c r="D478">
        <v>457</v>
      </c>
      <c r="F478">
        <f>OUTPUTAvatarMatResID[[#This Row],[AvatarPartID]]*10000+OUTPUTAvatarMatResID[[#This Row],[SexID]]*1000+AvatarMatResID[[#This Row],[CountIndex]]</f>
        <v>11457</v>
      </c>
      <c r="G478">
        <f>VLOOKUP(AvatarMatResID[[#This Row],[AvatarPart]],AvatarPartID[],2,0)</f>
        <v>1</v>
      </c>
      <c r="H478">
        <f>VLOOKUP(AvatarMatResID[[#This Row],[Sex]],SexID[],2,0)</f>
        <v>1</v>
      </c>
      <c r="I478" t="str">
        <f>AvatarMatResID[[#This Row],[Material]]</f>
        <v>Female White Archer 02 Purple</v>
      </c>
    </row>
    <row r="479" spans="1:9" x14ac:dyDescent="0.15">
      <c r="A479" t="s">
        <v>454</v>
      </c>
      <c r="B479" t="s">
        <v>1920</v>
      </c>
      <c r="C479" t="s">
        <v>874</v>
      </c>
      <c r="D479">
        <v>458</v>
      </c>
      <c r="F479">
        <f>OUTPUTAvatarMatResID[[#This Row],[AvatarPartID]]*10000+OUTPUTAvatarMatResID[[#This Row],[SexID]]*1000+AvatarMatResID[[#This Row],[CountIndex]]</f>
        <v>11458</v>
      </c>
      <c r="G479">
        <f>VLOOKUP(AvatarMatResID[[#This Row],[AvatarPart]],AvatarPartID[],2,0)</f>
        <v>1</v>
      </c>
      <c r="H479">
        <f>VLOOKUP(AvatarMatResID[[#This Row],[Sex]],SexID[],2,0)</f>
        <v>1</v>
      </c>
      <c r="I479" t="str">
        <f>AvatarMatResID[[#This Row],[Material]]</f>
        <v>Female White Archer 02 White</v>
      </c>
    </row>
    <row r="480" spans="1:9" x14ac:dyDescent="0.15">
      <c r="A480" t="s">
        <v>454</v>
      </c>
      <c r="B480" t="s">
        <v>1920</v>
      </c>
      <c r="C480" t="s">
        <v>875</v>
      </c>
      <c r="D480">
        <v>459</v>
      </c>
      <c r="F480">
        <f>OUTPUTAvatarMatResID[[#This Row],[AvatarPartID]]*10000+OUTPUTAvatarMatResID[[#This Row],[SexID]]*1000+AvatarMatResID[[#This Row],[CountIndex]]</f>
        <v>11459</v>
      </c>
      <c r="G480">
        <f>VLOOKUP(AvatarMatResID[[#This Row],[AvatarPart]],AvatarPartID[],2,0)</f>
        <v>1</v>
      </c>
      <c r="H480">
        <f>VLOOKUP(AvatarMatResID[[#This Row],[Sex]],SexID[],2,0)</f>
        <v>1</v>
      </c>
      <c r="I480" t="str">
        <f>AvatarMatResID[[#This Row],[Material]]</f>
        <v>Female White Archer 03 Black</v>
      </c>
    </row>
    <row r="481" spans="1:9" x14ac:dyDescent="0.15">
      <c r="A481" t="s">
        <v>454</v>
      </c>
      <c r="B481" t="s">
        <v>1920</v>
      </c>
      <c r="C481" t="s">
        <v>876</v>
      </c>
      <c r="D481">
        <v>460</v>
      </c>
      <c r="F481">
        <f>OUTPUTAvatarMatResID[[#This Row],[AvatarPartID]]*10000+OUTPUTAvatarMatResID[[#This Row],[SexID]]*1000+AvatarMatResID[[#This Row],[CountIndex]]</f>
        <v>11460</v>
      </c>
      <c r="G481">
        <f>VLOOKUP(AvatarMatResID[[#This Row],[AvatarPart]],AvatarPartID[],2,0)</f>
        <v>1</v>
      </c>
      <c r="H481">
        <f>VLOOKUP(AvatarMatResID[[#This Row],[Sex]],SexID[],2,0)</f>
        <v>1</v>
      </c>
      <c r="I481" t="str">
        <f>AvatarMatResID[[#This Row],[Material]]</f>
        <v>Female White Archer 03 Blue</v>
      </c>
    </row>
    <row r="482" spans="1:9" x14ac:dyDescent="0.15">
      <c r="A482" t="s">
        <v>454</v>
      </c>
      <c r="B482" t="s">
        <v>1920</v>
      </c>
      <c r="C482" t="s">
        <v>877</v>
      </c>
      <c r="D482">
        <v>461</v>
      </c>
      <c r="F482">
        <f>OUTPUTAvatarMatResID[[#This Row],[AvatarPartID]]*10000+OUTPUTAvatarMatResID[[#This Row],[SexID]]*1000+AvatarMatResID[[#This Row],[CountIndex]]</f>
        <v>11461</v>
      </c>
      <c r="G482">
        <f>VLOOKUP(AvatarMatResID[[#This Row],[AvatarPart]],AvatarPartID[],2,0)</f>
        <v>1</v>
      </c>
      <c r="H482">
        <f>VLOOKUP(AvatarMatResID[[#This Row],[Sex]],SexID[],2,0)</f>
        <v>1</v>
      </c>
      <c r="I482" t="str">
        <f>AvatarMatResID[[#This Row],[Material]]</f>
        <v>Female White Archer 03 Green</v>
      </c>
    </row>
    <row r="483" spans="1:9" x14ac:dyDescent="0.15">
      <c r="A483" t="s">
        <v>454</v>
      </c>
      <c r="B483" t="s">
        <v>1920</v>
      </c>
      <c r="C483" t="s">
        <v>878</v>
      </c>
      <c r="D483">
        <v>462</v>
      </c>
      <c r="F483">
        <f>OUTPUTAvatarMatResID[[#This Row],[AvatarPartID]]*10000+OUTPUTAvatarMatResID[[#This Row],[SexID]]*1000+AvatarMatResID[[#This Row],[CountIndex]]</f>
        <v>11462</v>
      </c>
      <c r="G483">
        <f>VLOOKUP(AvatarMatResID[[#This Row],[AvatarPart]],AvatarPartID[],2,0)</f>
        <v>1</v>
      </c>
      <c r="H483">
        <f>VLOOKUP(AvatarMatResID[[#This Row],[Sex]],SexID[],2,0)</f>
        <v>1</v>
      </c>
      <c r="I483" t="str">
        <f>AvatarMatResID[[#This Row],[Material]]</f>
        <v>Female White Archer 03 Maroon</v>
      </c>
    </row>
    <row r="484" spans="1:9" x14ac:dyDescent="0.15">
      <c r="A484" t="s">
        <v>454</v>
      </c>
      <c r="B484" t="s">
        <v>1920</v>
      </c>
      <c r="C484" t="s">
        <v>879</v>
      </c>
      <c r="D484">
        <v>463</v>
      </c>
      <c r="F484">
        <f>OUTPUTAvatarMatResID[[#This Row],[AvatarPartID]]*10000+OUTPUTAvatarMatResID[[#This Row],[SexID]]*1000+AvatarMatResID[[#This Row],[CountIndex]]</f>
        <v>11463</v>
      </c>
      <c r="G484">
        <f>VLOOKUP(AvatarMatResID[[#This Row],[AvatarPart]],AvatarPartID[],2,0)</f>
        <v>1</v>
      </c>
      <c r="H484">
        <f>VLOOKUP(AvatarMatResID[[#This Row],[Sex]],SexID[],2,0)</f>
        <v>1</v>
      </c>
      <c r="I484" t="str">
        <f>AvatarMatResID[[#This Row],[Material]]</f>
        <v>Female White Archer 03 Olive</v>
      </c>
    </row>
    <row r="485" spans="1:9" x14ac:dyDescent="0.15">
      <c r="A485" t="s">
        <v>454</v>
      </c>
      <c r="B485" t="s">
        <v>1920</v>
      </c>
      <c r="C485" t="s">
        <v>880</v>
      </c>
      <c r="D485">
        <v>464</v>
      </c>
      <c r="F485">
        <f>OUTPUTAvatarMatResID[[#This Row],[AvatarPartID]]*10000+OUTPUTAvatarMatResID[[#This Row],[SexID]]*1000+AvatarMatResID[[#This Row],[CountIndex]]</f>
        <v>11464</v>
      </c>
      <c r="G485">
        <f>VLOOKUP(AvatarMatResID[[#This Row],[AvatarPart]],AvatarPartID[],2,0)</f>
        <v>1</v>
      </c>
      <c r="H485">
        <f>VLOOKUP(AvatarMatResID[[#This Row],[Sex]],SexID[],2,0)</f>
        <v>1</v>
      </c>
      <c r="I485" t="str">
        <f>AvatarMatResID[[#This Row],[Material]]</f>
        <v>Female White Archer 03 Purple</v>
      </c>
    </row>
    <row r="486" spans="1:9" x14ac:dyDescent="0.15">
      <c r="A486" t="s">
        <v>454</v>
      </c>
      <c r="B486" t="s">
        <v>1920</v>
      </c>
      <c r="C486" t="s">
        <v>881</v>
      </c>
      <c r="D486">
        <v>465</v>
      </c>
      <c r="F486">
        <f>OUTPUTAvatarMatResID[[#This Row],[AvatarPartID]]*10000+OUTPUTAvatarMatResID[[#This Row],[SexID]]*1000+AvatarMatResID[[#This Row],[CountIndex]]</f>
        <v>11465</v>
      </c>
      <c r="G486">
        <f>VLOOKUP(AvatarMatResID[[#This Row],[AvatarPart]],AvatarPartID[],2,0)</f>
        <v>1</v>
      </c>
      <c r="H486">
        <f>VLOOKUP(AvatarMatResID[[#This Row],[Sex]],SexID[],2,0)</f>
        <v>1</v>
      </c>
      <c r="I486" t="str">
        <f>AvatarMatResID[[#This Row],[Material]]</f>
        <v>Female White Archer 03 White</v>
      </c>
    </row>
    <row r="487" spans="1:9" x14ac:dyDescent="0.15">
      <c r="A487" t="s">
        <v>454</v>
      </c>
      <c r="B487" t="s">
        <v>1920</v>
      </c>
      <c r="C487" t="s">
        <v>882</v>
      </c>
      <c r="D487">
        <v>466</v>
      </c>
      <c r="F487">
        <f>OUTPUTAvatarMatResID[[#This Row],[AvatarPartID]]*10000+OUTPUTAvatarMatResID[[#This Row],[SexID]]*1000+AvatarMatResID[[#This Row],[CountIndex]]</f>
        <v>11466</v>
      </c>
      <c r="G487">
        <f>VLOOKUP(AvatarMatResID[[#This Row],[AvatarPart]],AvatarPartID[],2,0)</f>
        <v>1</v>
      </c>
      <c r="H487">
        <f>VLOOKUP(AvatarMatResID[[#This Row],[Sex]],SexID[],2,0)</f>
        <v>1</v>
      </c>
      <c r="I487" t="str">
        <f>AvatarMatResID[[#This Row],[Material]]</f>
        <v>Female White Archer 04 Black</v>
      </c>
    </row>
    <row r="488" spans="1:9" x14ac:dyDescent="0.15">
      <c r="A488" t="s">
        <v>454</v>
      </c>
      <c r="B488" t="s">
        <v>1920</v>
      </c>
      <c r="C488" t="s">
        <v>883</v>
      </c>
      <c r="D488">
        <v>467</v>
      </c>
      <c r="F488">
        <f>OUTPUTAvatarMatResID[[#This Row],[AvatarPartID]]*10000+OUTPUTAvatarMatResID[[#This Row],[SexID]]*1000+AvatarMatResID[[#This Row],[CountIndex]]</f>
        <v>11467</v>
      </c>
      <c r="G488">
        <f>VLOOKUP(AvatarMatResID[[#This Row],[AvatarPart]],AvatarPartID[],2,0)</f>
        <v>1</v>
      </c>
      <c r="H488">
        <f>VLOOKUP(AvatarMatResID[[#This Row],[Sex]],SexID[],2,0)</f>
        <v>1</v>
      </c>
      <c r="I488" t="str">
        <f>AvatarMatResID[[#This Row],[Material]]</f>
        <v>Female White Archer 04 Blue</v>
      </c>
    </row>
    <row r="489" spans="1:9" x14ac:dyDescent="0.15">
      <c r="A489" t="s">
        <v>454</v>
      </c>
      <c r="B489" t="s">
        <v>1920</v>
      </c>
      <c r="C489" t="s">
        <v>884</v>
      </c>
      <c r="D489">
        <v>468</v>
      </c>
      <c r="F489">
        <f>OUTPUTAvatarMatResID[[#This Row],[AvatarPartID]]*10000+OUTPUTAvatarMatResID[[#This Row],[SexID]]*1000+AvatarMatResID[[#This Row],[CountIndex]]</f>
        <v>11468</v>
      </c>
      <c r="G489">
        <f>VLOOKUP(AvatarMatResID[[#This Row],[AvatarPart]],AvatarPartID[],2,0)</f>
        <v>1</v>
      </c>
      <c r="H489">
        <f>VLOOKUP(AvatarMatResID[[#This Row],[Sex]],SexID[],2,0)</f>
        <v>1</v>
      </c>
      <c r="I489" t="str">
        <f>AvatarMatResID[[#This Row],[Material]]</f>
        <v>Female White Archer 04 Green</v>
      </c>
    </row>
    <row r="490" spans="1:9" x14ac:dyDescent="0.15">
      <c r="A490" t="s">
        <v>454</v>
      </c>
      <c r="B490" t="s">
        <v>1920</v>
      </c>
      <c r="C490" t="s">
        <v>885</v>
      </c>
      <c r="D490">
        <v>469</v>
      </c>
      <c r="F490">
        <f>OUTPUTAvatarMatResID[[#This Row],[AvatarPartID]]*10000+OUTPUTAvatarMatResID[[#This Row],[SexID]]*1000+AvatarMatResID[[#This Row],[CountIndex]]</f>
        <v>11469</v>
      </c>
      <c r="G490">
        <f>VLOOKUP(AvatarMatResID[[#This Row],[AvatarPart]],AvatarPartID[],2,0)</f>
        <v>1</v>
      </c>
      <c r="H490">
        <f>VLOOKUP(AvatarMatResID[[#This Row],[Sex]],SexID[],2,0)</f>
        <v>1</v>
      </c>
      <c r="I490" t="str">
        <f>AvatarMatResID[[#This Row],[Material]]</f>
        <v>Female White Archer 04 Magenta</v>
      </c>
    </row>
    <row r="491" spans="1:9" x14ac:dyDescent="0.15">
      <c r="A491" t="s">
        <v>454</v>
      </c>
      <c r="B491" t="s">
        <v>1920</v>
      </c>
      <c r="C491" t="s">
        <v>886</v>
      </c>
      <c r="D491">
        <v>470</v>
      </c>
      <c r="F491">
        <f>OUTPUTAvatarMatResID[[#This Row],[AvatarPartID]]*10000+OUTPUTAvatarMatResID[[#This Row],[SexID]]*1000+AvatarMatResID[[#This Row],[CountIndex]]</f>
        <v>11470</v>
      </c>
      <c r="G491">
        <f>VLOOKUP(AvatarMatResID[[#This Row],[AvatarPart]],AvatarPartID[],2,0)</f>
        <v>1</v>
      </c>
      <c r="H491">
        <f>VLOOKUP(AvatarMatResID[[#This Row],[Sex]],SexID[],2,0)</f>
        <v>1</v>
      </c>
      <c r="I491" t="str">
        <f>AvatarMatResID[[#This Row],[Material]]</f>
        <v>Female White Archer 04 Purple</v>
      </c>
    </row>
    <row r="492" spans="1:9" x14ac:dyDescent="0.15">
      <c r="A492" t="s">
        <v>454</v>
      </c>
      <c r="B492" t="s">
        <v>1920</v>
      </c>
      <c r="C492" t="s">
        <v>887</v>
      </c>
      <c r="D492">
        <v>471</v>
      </c>
      <c r="F492">
        <f>OUTPUTAvatarMatResID[[#This Row],[AvatarPartID]]*10000+OUTPUTAvatarMatResID[[#This Row],[SexID]]*1000+AvatarMatResID[[#This Row],[CountIndex]]</f>
        <v>11471</v>
      </c>
      <c r="G492">
        <f>VLOOKUP(AvatarMatResID[[#This Row],[AvatarPart]],AvatarPartID[],2,0)</f>
        <v>1</v>
      </c>
      <c r="H492">
        <f>VLOOKUP(AvatarMatResID[[#This Row],[Sex]],SexID[],2,0)</f>
        <v>1</v>
      </c>
      <c r="I492" t="str">
        <f>AvatarMatResID[[#This Row],[Material]]</f>
        <v>Female White Archer 04 Red</v>
      </c>
    </row>
    <row r="493" spans="1:9" x14ac:dyDescent="0.15">
      <c r="A493" t="s">
        <v>454</v>
      </c>
      <c r="B493" t="s">
        <v>1920</v>
      </c>
      <c r="C493" t="s">
        <v>888</v>
      </c>
      <c r="D493">
        <v>472</v>
      </c>
      <c r="F493">
        <f>OUTPUTAvatarMatResID[[#This Row],[AvatarPartID]]*10000+OUTPUTAvatarMatResID[[#This Row],[SexID]]*1000+AvatarMatResID[[#This Row],[CountIndex]]</f>
        <v>11472</v>
      </c>
      <c r="G493">
        <f>VLOOKUP(AvatarMatResID[[#This Row],[AvatarPart]],AvatarPartID[],2,0)</f>
        <v>1</v>
      </c>
      <c r="H493">
        <f>VLOOKUP(AvatarMatResID[[#This Row],[Sex]],SexID[],2,0)</f>
        <v>1</v>
      </c>
      <c r="I493" t="str">
        <f>AvatarMatResID[[#This Row],[Material]]</f>
        <v>Female White Archer 04 White</v>
      </c>
    </row>
    <row r="494" spans="1:9" x14ac:dyDescent="0.15">
      <c r="A494" t="s">
        <v>454</v>
      </c>
      <c r="B494" t="s">
        <v>1920</v>
      </c>
      <c r="C494" t="s">
        <v>889</v>
      </c>
      <c r="D494">
        <v>473</v>
      </c>
      <c r="F494">
        <f>OUTPUTAvatarMatResID[[#This Row],[AvatarPartID]]*10000+OUTPUTAvatarMatResID[[#This Row],[SexID]]*1000+AvatarMatResID[[#This Row],[CountIndex]]</f>
        <v>11473</v>
      </c>
      <c r="G494">
        <f>VLOOKUP(AvatarMatResID[[#This Row],[AvatarPart]],AvatarPartID[],2,0)</f>
        <v>1</v>
      </c>
      <c r="H494">
        <f>VLOOKUP(AvatarMatResID[[#This Row],[Sex]],SexID[],2,0)</f>
        <v>1</v>
      </c>
      <c r="I494" t="str">
        <f>AvatarMatResID[[#This Row],[Material]]</f>
        <v>Female White Archer 04 Yellow</v>
      </c>
    </row>
    <row r="495" spans="1:9" x14ac:dyDescent="0.15">
      <c r="A495" t="s">
        <v>454</v>
      </c>
      <c r="B495" t="s">
        <v>1920</v>
      </c>
      <c r="C495" t="s">
        <v>890</v>
      </c>
      <c r="D495">
        <v>474</v>
      </c>
      <c r="F495">
        <f>OUTPUTAvatarMatResID[[#This Row],[AvatarPartID]]*10000+OUTPUTAvatarMatResID[[#This Row],[SexID]]*1000+AvatarMatResID[[#This Row],[CountIndex]]</f>
        <v>11474</v>
      </c>
      <c r="G495">
        <f>VLOOKUP(AvatarMatResID[[#This Row],[AvatarPart]],AvatarPartID[],2,0)</f>
        <v>1</v>
      </c>
      <c r="H495">
        <f>VLOOKUP(AvatarMatResID[[#This Row],[Sex]],SexID[],2,0)</f>
        <v>1</v>
      </c>
      <c r="I495" t="str">
        <f>AvatarMatResID[[#This Row],[Material]]</f>
        <v>Female White Archer 05 Black</v>
      </c>
    </row>
    <row r="496" spans="1:9" x14ac:dyDescent="0.15">
      <c r="A496" t="s">
        <v>454</v>
      </c>
      <c r="B496" t="s">
        <v>1920</v>
      </c>
      <c r="C496" t="s">
        <v>891</v>
      </c>
      <c r="D496">
        <v>475</v>
      </c>
      <c r="F496">
        <f>OUTPUTAvatarMatResID[[#This Row],[AvatarPartID]]*10000+OUTPUTAvatarMatResID[[#This Row],[SexID]]*1000+AvatarMatResID[[#This Row],[CountIndex]]</f>
        <v>11475</v>
      </c>
      <c r="G496">
        <f>VLOOKUP(AvatarMatResID[[#This Row],[AvatarPart]],AvatarPartID[],2,0)</f>
        <v>1</v>
      </c>
      <c r="H496">
        <f>VLOOKUP(AvatarMatResID[[#This Row],[Sex]],SexID[],2,0)</f>
        <v>1</v>
      </c>
      <c r="I496" t="str">
        <f>AvatarMatResID[[#This Row],[Material]]</f>
        <v>Female White Archer 05 Blue</v>
      </c>
    </row>
    <row r="497" spans="1:9" x14ac:dyDescent="0.15">
      <c r="A497" t="s">
        <v>454</v>
      </c>
      <c r="B497" t="s">
        <v>1920</v>
      </c>
      <c r="C497" t="s">
        <v>892</v>
      </c>
      <c r="D497">
        <v>476</v>
      </c>
      <c r="F497">
        <f>OUTPUTAvatarMatResID[[#This Row],[AvatarPartID]]*10000+OUTPUTAvatarMatResID[[#This Row],[SexID]]*1000+AvatarMatResID[[#This Row],[CountIndex]]</f>
        <v>11476</v>
      </c>
      <c r="G497">
        <f>VLOOKUP(AvatarMatResID[[#This Row],[AvatarPart]],AvatarPartID[],2,0)</f>
        <v>1</v>
      </c>
      <c r="H497">
        <f>VLOOKUP(AvatarMatResID[[#This Row],[Sex]],SexID[],2,0)</f>
        <v>1</v>
      </c>
      <c r="I497" t="str">
        <f>AvatarMatResID[[#This Row],[Material]]</f>
        <v>Female White Archer 05 Green</v>
      </c>
    </row>
    <row r="498" spans="1:9" x14ac:dyDescent="0.15">
      <c r="A498" t="s">
        <v>454</v>
      </c>
      <c r="B498" t="s">
        <v>1920</v>
      </c>
      <c r="C498" t="s">
        <v>893</v>
      </c>
      <c r="D498">
        <v>477</v>
      </c>
      <c r="F498">
        <f>OUTPUTAvatarMatResID[[#This Row],[AvatarPartID]]*10000+OUTPUTAvatarMatResID[[#This Row],[SexID]]*1000+AvatarMatResID[[#This Row],[CountIndex]]</f>
        <v>11477</v>
      </c>
      <c r="G498">
        <f>VLOOKUP(AvatarMatResID[[#This Row],[AvatarPart]],AvatarPartID[],2,0)</f>
        <v>1</v>
      </c>
      <c r="H498">
        <f>VLOOKUP(AvatarMatResID[[#This Row],[Sex]],SexID[],2,0)</f>
        <v>1</v>
      </c>
      <c r="I498" t="str">
        <f>AvatarMatResID[[#This Row],[Material]]</f>
        <v>Female White Archer 05 Magenta</v>
      </c>
    </row>
    <row r="499" spans="1:9" x14ac:dyDescent="0.15">
      <c r="A499" t="s">
        <v>454</v>
      </c>
      <c r="B499" t="s">
        <v>1920</v>
      </c>
      <c r="C499" t="s">
        <v>894</v>
      </c>
      <c r="D499">
        <v>478</v>
      </c>
      <c r="F499">
        <f>OUTPUTAvatarMatResID[[#This Row],[AvatarPartID]]*10000+OUTPUTAvatarMatResID[[#This Row],[SexID]]*1000+AvatarMatResID[[#This Row],[CountIndex]]</f>
        <v>11478</v>
      </c>
      <c r="G499">
        <f>VLOOKUP(AvatarMatResID[[#This Row],[AvatarPart]],AvatarPartID[],2,0)</f>
        <v>1</v>
      </c>
      <c r="H499">
        <f>VLOOKUP(AvatarMatResID[[#This Row],[Sex]],SexID[],2,0)</f>
        <v>1</v>
      </c>
      <c r="I499" t="str">
        <f>AvatarMatResID[[#This Row],[Material]]</f>
        <v>Female White Archer 05 Purple</v>
      </c>
    </row>
    <row r="500" spans="1:9" x14ac:dyDescent="0.15">
      <c r="A500" t="s">
        <v>454</v>
      </c>
      <c r="B500" t="s">
        <v>1920</v>
      </c>
      <c r="C500" t="s">
        <v>895</v>
      </c>
      <c r="D500">
        <v>479</v>
      </c>
      <c r="F500">
        <f>OUTPUTAvatarMatResID[[#This Row],[AvatarPartID]]*10000+OUTPUTAvatarMatResID[[#This Row],[SexID]]*1000+AvatarMatResID[[#This Row],[CountIndex]]</f>
        <v>11479</v>
      </c>
      <c r="G500">
        <f>VLOOKUP(AvatarMatResID[[#This Row],[AvatarPart]],AvatarPartID[],2,0)</f>
        <v>1</v>
      </c>
      <c r="H500">
        <f>VLOOKUP(AvatarMatResID[[#This Row],[Sex]],SexID[],2,0)</f>
        <v>1</v>
      </c>
      <c r="I500" t="str">
        <f>AvatarMatResID[[#This Row],[Material]]</f>
        <v>Female White Archer 05 Red</v>
      </c>
    </row>
    <row r="501" spans="1:9" x14ac:dyDescent="0.15">
      <c r="A501" t="s">
        <v>454</v>
      </c>
      <c r="B501" t="s">
        <v>1920</v>
      </c>
      <c r="C501" t="s">
        <v>896</v>
      </c>
      <c r="D501">
        <v>480</v>
      </c>
      <c r="F501">
        <f>OUTPUTAvatarMatResID[[#This Row],[AvatarPartID]]*10000+OUTPUTAvatarMatResID[[#This Row],[SexID]]*1000+AvatarMatResID[[#This Row],[CountIndex]]</f>
        <v>11480</v>
      </c>
      <c r="G501">
        <f>VLOOKUP(AvatarMatResID[[#This Row],[AvatarPart]],AvatarPartID[],2,0)</f>
        <v>1</v>
      </c>
      <c r="H501">
        <f>VLOOKUP(AvatarMatResID[[#This Row],[Sex]],SexID[],2,0)</f>
        <v>1</v>
      </c>
      <c r="I501" t="str">
        <f>AvatarMatResID[[#This Row],[Material]]</f>
        <v>Female White Archer 05 White</v>
      </c>
    </row>
    <row r="502" spans="1:9" x14ac:dyDescent="0.15">
      <c r="A502" t="s">
        <v>454</v>
      </c>
      <c r="B502" t="s">
        <v>1920</v>
      </c>
      <c r="C502" t="s">
        <v>897</v>
      </c>
      <c r="D502">
        <v>481</v>
      </c>
      <c r="F502">
        <f>OUTPUTAvatarMatResID[[#This Row],[AvatarPartID]]*10000+OUTPUTAvatarMatResID[[#This Row],[SexID]]*1000+AvatarMatResID[[#This Row],[CountIndex]]</f>
        <v>11481</v>
      </c>
      <c r="G502">
        <f>VLOOKUP(AvatarMatResID[[#This Row],[AvatarPart]],AvatarPartID[],2,0)</f>
        <v>1</v>
      </c>
      <c r="H502">
        <f>VLOOKUP(AvatarMatResID[[#This Row],[Sex]],SexID[],2,0)</f>
        <v>1</v>
      </c>
      <c r="I502" t="str">
        <f>AvatarMatResID[[#This Row],[Material]]</f>
        <v>Female White Archer 05 Yellow</v>
      </c>
    </row>
    <row r="503" spans="1:9" x14ac:dyDescent="0.15">
      <c r="A503" t="s">
        <v>454</v>
      </c>
      <c r="B503" t="s">
        <v>1920</v>
      </c>
      <c r="C503" t="s">
        <v>898</v>
      </c>
      <c r="D503">
        <v>482</v>
      </c>
      <c r="F503">
        <f>OUTPUTAvatarMatResID[[#This Row],[AvatarPartID]]*10000+OUTPUTAvatarMatResID[[#This Row],[SexID]]*1000+AvatarMatResID[[#This Row],[CountIndex]]</f>
        <v>11482</v>
      </c>
      <c r="G503">
        <f>VLOOKUP(AvatarMatResID[[#This Row],[AvatarPart]],AvatarPartID[],2,0)</f>
        <v>1</v>
      </c>
      <c r="H503">
        <f>VLOOKUP(AvatarMatResID[[#This Row],[Sex]],SexID[],2,0)</f>
        <v>1</v>
      </c>
      <c r="I503" t="str">
        <f>AvatarMatResID[[#This Row],[Material]]</f>
        <v>Female White Barbarian 01 Blue</v>
      </c>
    </row>
    <row r="504" spans="1:9" x14ac:dyDescent="0.15">
      <c r="A504" t="s">
        <v>454</v>
      </c>
      <c r="B504" t="s">
        <v>1920</v>
      </c>
      <c r="C504" t="s">
        <v>899</v>
      </c>
      <c r="D504">
        <v>483</v>
      </c>
      <c r="F504">
        <f>OUTPUTAvatarMatResID[[#This Row],[AvatarPartID]]*10000+OUTPUTAvatarMatResID[[#This Row],[SexID]]*1000+AvatarMatResID[[#This Row],[CountIndex]]</f>
        <v>11483</v>
      </c>
      <c r="G504">
        <f>VLOOKUP(AvatarMatResID[[#This Row],[AvatarPart]],AvatarPartID[],2,0)</f>
        <v>1</v>
      </c>
      <c r="H504">
        <f>VLOOKUP(AvatarMatResID[[#This Row],[Sex]],SexID[],2,0)</f>
        <v>1</v>
      </c>
      <c r="I504" t="str">
        <f>AvatarMatResID[[#This Row],[Material]]</f>
        <v>Female White Barbarian 01 Green</v>
      </c>
    </row>
    <row r="505" spans="1:9" x14ac:dyDescent="0.15">
      <c r="A505" t="s">
        <v>454</v>
      </c>
      <c r="B505" t="s">
        <v>1920</v>
      </c>
      <c r="C505" t="s">
        <v>900</v>
      </c>
      <c r="D505">
        <v>484</v>
      </c>
      <c r="F505">
        <f>OUTPUTAvatarMatResID[[#This Row],[AvatarPartID]]*10000+OUTPUTAvatarMatResID[[#This Row],[SexID]]*1000+AvatarMatResID[[#This Row],[CountIndex]]</f>
        <v>11484</v>
      </c>
      <c r="G505">
        <f>VLOOKUP(AvatarMatResID[[#This Row],[AvatarPart]],AvatarPartID[],2,0)</f>
        <v>1</v>
      </c>
      <c r="H505">
        <f>VLOOKUP(AvatarMatResID[[#This Row],[Sex]],SexID[],2,0)</f>
        <v>1</v>
      </c>
      <c r="I505" t="str">
        <f>AvatarMatResID[[#This Row],[Material]]</f>
        <v>Female White Barbarian 01 Pink</v>
      </c>
    </row>
    <row r="506" spans="1:9" x14ac:dyDescent="0.15">
      <c r="A506" t="s">
        <v>454</v>
      </c>
      <c r="B506" t="s">
        <v>1920</v>
      </c>
      <c r="C506" t="s">
        <v>901</v>
      </c>
      <c r="D506">
        <v>485</v>
      </c>
      <c r="F506">
        <f>OUTPUTAvatarMatResID[[#This Row],[AvatarPartID]]*10000+OUTPUTAvatarMatResID[[#This Row],[SexID]]*1000+AvatarMatResID[[#This Row],[CountIndex]]</f>
        <v>11485</v>
      </c>
      <c r="G506">
        <f>VLOOKUP(AvatarMatResID[[#This Row],[AvatarPart]],AvatarPartID[],2,0)</f>
        <v>1</v>
      </c>
      <c r="H506">
        <f>VLOOKUP(AvatarMatResID[[#This Row],[Sex]],SexID[],2,0)</f>
        <v>1</v>
      </c>
      <c r="I506" t="str">
        <f>AvatarMatResID[[#This Row],[Material]]</f>
        <v>Female White Barbarian 01 Purple</v>
      </c>
    </row>
    <row r="507" spans="1:9" x14ac:dyDescent="0.15">
      <c r="A507" t="s">
        <v>454</v>
      </c>
      <c r="B507" t="s">
        <v>1920</v>
      </c>
      <c r="C507" t="s">
        <v>902</v>
      </c>
      <c r="D507">
        <v>486</v>
      </c>
      <c r="F507">
        <f>OUTPUTAvatarMatResID[[#This Row],[AvatarPartID]]*10000+OUTPUTAvatarMatResID[[#This Row],[SexID]]*1000+AvatarMatResID[[#This Row],[CountIndex]]</f>
        <v>11486</v>
      </c>
      <c r="G507">
        <f>VLOOKUP(AvatarMatResID[[#This Row],[AvatarPart]],AvatarPartID[],2,0)</f>
        <v>1</v>
      </c>
      <c r="H507">
        <f>VLOOKUP(AvatarMatResID[[#This Row],[Sex]],SexID[],2,0)</f>
        <v>1</v>
      </c>
      <c r="I507" t="str">
        <f>AvatarMatResID[[#This Row],[Material]]</f>
        <v>Female White Barbarian 01 Yellow</v>
      </c>
    </row>
    <row r="508" spans="1:9" x14ac:dyDescent="0.15">
      <c r="A508" t="s">
        <v>454</v>
      </c>
      <c r="B508" t="s">
        <v>1920</v>
      </c>
      <c r="C508" t="s">
        <v>903</v>
      </c>
      <c r="D508">
        <v>487</v>
      </c>
      <c r="F508">
        <f>OUTPUTAvatarMatResID[[#This Row],[AvatarPartID]]*10000+OUTPUTAvatarMatResID[[#This Row],[SexID]]*1000+AvatarMatResID[[#This Row],[CountIndex]]</f>
        <v>11487</v>
      </c>
      <c r="G508">
        <f>VLOOKUP(AvatarMatResID[[#This Row],[AvatarPart]],AvatarPartID[],2,0)</f>
        <v>1</v>
      </c>
      <c r="H508">
        <f>VLOOKUP(AvatarMatResID[[#This Row],[Sex]],SexID[],2,0)</f>
        <v>1</v>
      </c>
      <c r="I508" t="str">
        <f>AvatarMatResID[[#This Row],[Material]]</f>
        <v>Female White Barbarian 02 Black</v>
      </c>
    </row>
    <row r="509" spans="1:9" x14ac:dyDescent="0.15">
      <c r="A509" t="s">
        <v>454</v>
      </c>
      <c r="B509" t="s">
        <v>1920</v>
      </c>
      <c r="C509" t="s">
        <v>904</v>
      </c>
      <c r="D509">
        <v>488</v>
      </c>
      <c r="F509">
        <f>OUTPUTAvatarMatResID[[#This Row],[AvatarPartID]]*10000+OUTPUTAvatarMatResID[[#This Row],[SexID]]*1000+AvatarMatResID[[#This Row],[CountIndex]]</f>
        <v>11488</v>
      </c>
      <c r="G509">
        <f>VLOOKUP(AvatarMatResID[[#This Row],[AvatarPart]],AvatarPartID[],2,0)</f>
        <v>1</v>
      </c>
      <c r="H509">
        <f>VLOOKUP(AvatarMatResID[[#This Row],[Sex]],SexID[],2,0)</f>
        <v>1</v>
      </c>
      <c r="I509" t="str">
        <f>AvatarMatResID[[#This Row],[Material]]</f>
        <v>Female White Barbarian 02 Blue</v>
      </c>
    </row>
    <row r="510" spans="1:9" x14ac:dyDescent="0.15">
      <c r="A510" t="s">
        <v>454</v>
      </c>
      <c r="B510" t="s">
        <v>1920</v>
      </c>
      <c r="C510" t="s">
        <v>905</v>
      </c>
      <c r="D510">
        <v>489</v>
      </c>
      <c r="F510">
        <f>OUTPUTAvatarMatResID[[#This Row],[AvatarPartID]]*10000+OUTPUTAvatarMatResID[[#This Row],[SexID]]*1000+AvatarMatResID[[#This Row],[CountIndex]]</f>
        <v>11489</v>
      </c>
      <c r="G510">
        <f>VLOOKUP(AvatarMatResID[[#This Row],[AvatarPart]],AvatarPartID[],2,0)</f>
        <v>1</v>
      </c>
      <c r="H510">
        <f>VLOOKUP(AvatarMatResID[[#This Row],[Sex]],SexID[],2,0)</f>
        <v>1</v>
      </c>
      <c r="I510" t="str">
        <f>AvatarMatResID[[#This Row],[Material]]</f>
        <v>Female White Barbarian 02 Green</v>
      </c>
    </row>
    <row r="511" spans="1:9" x14ac:dyDescent="0.15">
      <c r="A511" t="s">
        <v>454</v>
      </c>
      <c r="B511" t="s">
        <v>1920</v>
      </c>
      <c r="C511" t="s">
        <v>906</v>
      </c>
      <c r="D511">
        <v>490</v>
      </c>
      <c r="F511">
        <f>OUTPUTAvatarMatResID[[#This Row],[AvatarPartID]]*10000+OUTPUTAvatarMatResID[[#This Row],[SexID]]*1000+AvatarMatResID[[#This Row],[CountIndex]]</f>
        <v>11490</v>
      </c>
      <c r="G511">
        <f>VLOOKUP(AvatarMatResID[[#This Row],[AvatarPart]],AvatarPartID[],2,0)</f>
        <v>1</v>
      </c>
      <c r="H511">
        <f>VLOOKUP(AvatarMatResID[[#This Row],[Sex]],SexID[],2,0)</f>
        <v>1</v>
      </c>
      <c r="I511" t="str">
        <f>AvatarMatResID[[#This Row],[Material]]</f>
        <v>Female White Barbarian 02 Purple</v>
      </c>
    </row>
    <row r="512" spans="1:9" x14ac:dyDescent="0.15">
      <c r="A512" t="s">
        <v>454</v>
      </c>
      <c r="B512" t="s">
        <v>1920</v>
      </c>
      <c r="C512" t="s">
        <v>907</v>
      </c>
      <c r="D512">
        <v>491</v>
      </c>
      <c r="F512">
        <f>OUTPUTAvatarMatResID[[#This Row],[AvatarPartID]]*10000+OUTPUTAvatarMatResID[[#This Row],[SexID]]*1000+AvatarMatResID[[#This Row],[CountIndex]]</f>
        <v>11491</v>
      </c>
      <c r="G512">
        <f>VLOOKUP(AvatarMatResID[[#This Row],[AvatarPart]],AvatarPartID[],2,0)</f>
        <v>1</v>
      </c>
      <c r="H512">
        <f>VLOOKUP(AvatarMatResID[[#This Row],[Sex]],SexID[],2,0)</f>
        <v>1</v>
      </c>
      <c r="I512" t="str">
        <f>AvatarMatResID[[#This Row],[Material]]</f>
        <v>Female White Barbarian 02 Red</v>
      </c>
    </row>
    <row r="513" spans="1:9" x14ac:dyDescent="0.15">
      <c r="A513" t="s">
        <v>454</v>
      </c>
      <c r="B513" t="s">
        <v>1920</v>
      </c>
      <c r="C513" t="s">
        <v>908</v>
      </c>
      <c r="D513">
        <v>492</v>
      </c>
      <c r="F513">
        <f>OUTPUTAvatarMatResID[[#This Row],[AvatarPartID]]*10000+OUTPUTAvatarMatResID[[#This Row],[SexID]]*1000+AvatarMatResID[[#This Row],[CountIndex]]</f>
        <v>11492</v>
      </c>
      <c r="G513">
        <f>VLOOKUP(AvatarMatResID[[#This Row],[AvatarPart]],AvatarPartID[],2,0)</f>
        <v>1</v>
      </c>
      <c r="H513">
        <f>VLOOKUP(AvatarMatResID[[#This Row],[Sex]],SexID[],2,0)</f>
        <v>1</v>
      </c>
      <c r="I513" t="str">
        <f>AvatarMatResID[[#This Row],[Material]]</f>
        <v>Female White Barbarian 02 White</v>
      </c>
    </row>
    <row r="514" spans="1:9" x14ac:dyDescent="0.15">
      <c r="A514" t="s">
        <v>454</v>
      </c>
      <c r="B514" t="s">
        <v>1920</v>
      </c>
      <c r="C514" t="s">
        <v>909</v>
      </c>
      <c r="D514">
        <v>493</v>
      </c>
      <c r="F514">
        <f>OUTPUTAvatarMatResID[[#This Row],[AvatarPartID]]*10000+OUTPUTAvatarMatResID[[#This Row],[SexID]]*1000+AvatarMatResID[[#This Row],[CountIndex]]</f>
        <v>11493</v>
      </c>
      <c r="G514">
        <f>VLOOKUP(AvatarMatResID[[#This Row],[AvatarPart]],AvatarPartID[],2,0)</f>
        <v>1</v>
      </c>
      <c r="H514">
        <f>VLOOKUP(AvatarMatResID[[#This Row],[Sex]],SexID[],2,0)</f>
        <v>1</v>
      </c>
      <c r="I514" t="str">
        <f>AvatarMatResID[[#This Row],[Material]]</f>
        <v>Female White Barbarian 03 Blue</v>
      </c>
    </row>
    <row r="515" spans="1:9" x14ac:dyDescent="0.15">
      <c r="A515" t="s">
        <v>454</v>
      </c>
      <c r="B515" t="s">
        <v>1920</v>
      </c>
      <c r="C515" t="s">
        <v>910</v>
      </c>
      <c r="D515">
        <v>494</v>
      </c>
      <c r="F515">
        <f>OUTPUTAvatarMatResID[[#This Row],[AvatarPartID]]*10000+OUTPUTAvatarMatResID[[#This Row],[SexID]]*1000+AvatarMatResID[[#This Row],[CountIndex]]</f>
        <v>11494</v>
      </c>
      <c r="G515">
        <f>VLOOKUP(AvatarMatResID[[#This Row],[AvatarPart]],AvatarPartID[],2,0)</f>
        <v>1</v>
      </c>
      <c r="H515">
        <f>VLOOKUP(AvatarMatResID[[#This Row],[Sex]],SexID[],2,0)</f>
        <v>1</v>
      </c>
      <c r="I515" t="str">
        <f>AvatarMatResID[[#This Row],[Material]]</f>
        <v>Female White Barbarian 03 Brown</v>
      </c>
    </row>
    <row r="516" spans="1:9" x14ac:dyDescent="0.15">
      <c r="A516" t="s">
        <v>454</v>
      </c>
      <c r="B516" t="s">
        <v>1920</v>
      </c>
      <c r="C516" t="s">
        <v>911</v>
      </c>
      <c r="D516">
        <v>495</v>
      </c>
      <c r="F516">
        <f>OUTPUTAvatarMatResID[[#This Row],[AvatarPartID]]*10000+OUTPUTAvatarMatResID[[#This Row],[SexID]]*1000+AvatarMatResID[[#This Row],[CountIndex]]</f>
        <v>11495</v>
      </c>
      <c r="G516">
        <f>VLOOKUP(AvatarMatResID[[#This Row],[AvatarPart]],AvatarPartID[],2,0)</f>
        <v>1</v>
      </c>
      <c r="H516">
        <f>VLOOKUP(AvatarMatResID[[#This Row],[Sex]],SexID[],2,0)</f>
        <v>1</v>
      </c>
      <c r="I516" t="str">
        <f>AvatarMatResID[[#This Row],[Material]]</f>
        <v>Female White Barbarian 03 Green</v>
      </c>
    </row>
    <row r="517" spans="1:9" x14ac:dyDescent="0.15">
      <c r="A517" t="s">
        <v>454</v>
      </c>
      <c r="B517" t="s">
        <v>1920</v>
      </c>
      <c r="C517" t="s">
        <v>912</v>
      </c>
      <c r="D517">
        <v>496</v>
      </c>
      <c r="F517">
        <f>OUTPUTAvatarMatResID[[#This Row],[AvatarPartID]]*10000+OUTPUTAvatarMatResID[[#This Row],[SexID]]*1000+AvatarMatResID[[#This Row],[CountIndex]]</f>
        <v>11496</v>
      </c>
      <c r="G517">
        <f>VLOOKUP(AvatarMatResID[[#This Row],[AvatarPart]],AvatarPartID[],2,0)</f>
        <v>1</v>
      </c>
      <c r="H517">
        <f>VLOOKUP(AvatarMatResID[[#This Row],[Sex]],SexID[],2,0)</f>
        <v>1</v>
      </c>
      <c r="I517" t="str">
        <f>AvatarMatResID[[#This Row],[Material]]</f>
        <v>Female White Barbarian 03 Magenta</v>
      </c>
    </row>
    <row r="518" spans="1:9" x14ac:dyDescent="0.15">
      <c r="A518" t="s">
        <v>454</v>
      </c>
      <c r="B518" t="s">
        <v>1920</v>
      </c>
      <c r="C518" t="s">
        <v>913</v>
      </c>
      <c r="D518">
        <v>497</v>
      </c>
      <c r="F518">
        <f>OUTPUTAvatarMatResID[[#This Row],[AvatarPartID]]*10000+OUTPUTAvatarMatResID[[#This Row],[SexID]]*1000+AvatarMatResID[[#This Row],[CountIndex]]</f>
        <v>11497</v>
      </c>
      <c r="G518">
        <f>VLOOKUP(AvatarMatResID[[#This Row],[AvatarPart]],AvatarPartID[],2,0)</f>
        <v>1</v>
      </c>
      <c r="H518">
        <f>VLOOKUP(AvatarMatResID[[#This Row],[Sex]],SexID[],2,0)</f>
        <v>1</v>
      </c>
      <c r="I518" t="str">
        <f>AvatarMatResID[[#This Row],[Material]]</f>
        <v>Female White Barbarian 03 Purple</v>
      </c>
    </row>
    <row r="519" spans="1:9" x14ac:dyDescent="0.15">
      <c r="A519" t="s">
        <v>454</v>
      </c>
      <c r="B519" t="s">
        <v>1920</v>
      </c>
      <c r="C519" t="s">
        <v>914</v>
      </c>
      <c r="D519">
        <v>498</v>
      </c>
      <c r="F519">
        <f>OUTPUTAvatarMatResID[[#This Row],[AvatarPartID]]*10000+OUTPUTAvatarMatResID[[#This Row],[SexID]]*1000+AvatarMatResID[[#This Row],[CountIndex]]</f>
        <v>11498</v>
      </c>
      <c r="G519">
        <f>VLOOKUP(AvatarMatResID[[#This Row],[AvatarPart]],AvatarPartID[],2,0)</f>
        <v>1</v>
      </c>
      <c r="H519">
        <f>VLOOKUP(AvatarMatResID[[#This Row],[Sex]],SexID[],2,0)</f>
        <v>1</v>
      </c>
      <c r="I519" t="str">
        <f>AvatarMatResID[[#This Row],[Material]]</f>
        <v>Female White Barbarian 03 Red</v>
      </c>
    </row>
    <row r="520" spans="1:9" x14ac:dyDescent="0.15">
      <c r="A520" t="s">
        <v>454</v>
      </c>
      <c r="B520" t="s">
        <v>1920</v>
      </c>
      <c r="C520" t="s">
        <v>915</v>
      </c>
      <c r="D520">
        <v>499</v>
      </c>
      <c r="F520">
        <f>OUTPUTAvatarMatResID[[#This Row],[AvatarPartID]]*10000+OUTPUTAvatarMatResID[[#This Row],[SexID]]*1000+AvatarMatResID[[#This Row],[CountIndex]]</f>
        <v>11499</v>
      </c>
      <c r="G520">
        <f>VLOOKUP(AvatarMatResID[[#This Row],[AvatarPart]],AvatarPartID[],2,0)</f>
        <v>1</v>
      </c>
      <c r="H520">
        <f>VLOOKUP(AvatarMatResID[[#This Row],[Sex]],SexID[],2,0)</f>
        <v>1</v>
      </c>
      <c r="I520" t="str">
        <f>AvatarMatResID[[#This Row],[Material]]</f>
        <v>Female White Barbarian 03 White</v>
      </c>
    </row>
    <row r="521" spans="1:9" x14ac:dyDescent="0.15">
      <c r="A521" t="s">
        <v>454</v>
      </c>
      <c r="B521" t="s">
        <v>1920</v>
      </c>
      <c r="C521" t="s">
        <v>916</v>
      </c>
      <c r="D521">
        <v>500</v>
      </c>
      <c r="F521">
        <f>OUTPUTAvatarMatResID[[#This Row],[AvatarPartID]]*10000+OUTPUTAvatarMatResID[[#This Row],[SexID]]*1000+AvatarMatResID[[#This Row],[CountIndex]]</f>
        <v>11500</v>
      </c>
      <c r="G521">
        <f>VLOOKUP(AvatarMatResID[[#This Row],[AvatarPart]],AvatarPartID[],2,0)</f>
        <v>1</v>
      </c>
      <c r="H521">
        <f>VLOOKUP(AvatarMatResID[[#This Row],[Sex]],SexID[],2,0)</f>
        <v>1</v>
      </c>
      <c r="I521" t="str">
        <f>AvatarMatResID[[#This Row],[Material]]</f>
        <v>Female White Barbarian 04 Black</v>
      </c>
    </row>
    <row r="522" spans="1:9" x14ac:dyDescent="0.15">
      <c r="A522" t="s">
        <v>454</v>
      </c>
      <c r="B522" t="s">
        <v>1920</v>
      </c>
      <c r="C522" t="s">
        <v>917</v>
      </c>
      <c r="D522">
        <v>501</v>
      </c>
      <c r="F522">
        <f>OUTPUTAvatarMatResID[[#This Row],[AvatarPartID]]*10000+OUTPUTAvatarMatResID[[#This Row],[SexID]]*1000+AvatarMatResID[[#This Row],[CountIndex]]</f>
        <v>11501</v>
      </c>
      <c r="G522">
        <f>VLOOKUP(AvatarMatResID[[#This Row],[AvatarPart]],AvatarPartID[],2,0)</f>
        <v>1</v>
      </c>
      <c r="H522">
        <f>VLOOKUP(AvatarMatResID[[#This Row],[Sex]],SexID[],2,0)</f>
        <v>1</v>
      </c>
      <c r="I522" t="str">
        <f>AvatarMatResID[[#This Row],[Material]]</f>
        <v>Female White Barbarian 04 Blue</v>
      </c>
    </row>
    <row r="523" spans="1:9" x14ac:dyDescent="0.15">
      <c r="A523" t="s">
        <v>454</v>
      </c>
      <c r="B523" t="s">
        <v>1920</v>
      </c>
      <c r="C523" t="s">
        <v>918</v>
      </c>
      <c r="D523">
        <v>502</v>
      </c>
      <c r="F523">
        <f>OUTPUTAvatarMatResID[[#This Row],[AvatarPartID]]*10000+OUTPUTAvatarMatResID[[#This Row],[SexID]]*1000+AvatarMatResID[[#This Row],[CountIndex]]</f>
        <v>11502</v>
      </c>
      <c r="G523">
        <f>VLOOKUP(AvatarMatResID[[#This Row],[AvatarPart]],AvatarPartID[],2,0)</f>
        <v>1</v>
      </c>
      <c r="H523">
        <f>VLOOKUP(AvatarMatResID[[#This Row],[Sex]],SexID[],2,0)</f>
        <v>1</v>
      </c>
      <c r="I523" t="str">
        <f>AvatarMatResID[[#This Row],[Material]]</f>
        <v>Female White Barbarian 04 Green</v>
      </c>
    </row>
    <row r="524" spans="1:9" x14ac:dyDescent="0.15">
      <c r="A524" t="s">
        <v>454</v>
      </c>
      <c r="B524" t="s">
        <v>1920</v>
      </c>
      <c r="C524" t="s">
        <v>919</v>
      </c>
      <c r="D524">
        <v>503</v>
      </c>
      <c r="F524">
        <f>OUTPUTAvatarMatResID[[#This Row],[AvatarPartID]]*10000+OUTPUTAvatarMatResID[[#This Row],[SexID]]*1000+AvatarMatResID[[#This Row],[CountIndex]]</f>
        <v>11503</v>
      </c>
      <c r="G524">
        <f>VLOOKUP(AvatarMatResID[[#This Row],[AvatarPart]],AvatarPartID[],2,0)</f>
        <v>1</v>
      </c>
      <c r="H524">
        <f>VLOOKUP(AvatarMatResID[[#This Row],[Sex]],SexID[],2,0)</f>
        <v>1</v>
      </c>
      <c r="I524" t="str">
        <f>AvatarMatResID[[#This Row],[Material]]</f>
        <v>Female White Barbarian 04 Magenta</v>
      </c>
    </row>
    <row r="525" spans="1:9" x14ac:dyDescent="0.15">
      <c r="A525" t="s">
        <v>454</v>
      </c>
      <c r="B525" t="s">
        <v>1920</v>
      </c>
      <c r="C525" t="s">
        <v>920</v>
      </c>
      <c r="D525">
        <v>504</v>
      </c>
      <c r="F525">
        <f>OUTPUTAvatarMatResID[[#This Row],[AvatarPartID]]*10000+OUTPUTAvatarMatResID[[#This Row],[SexID]]*1000+AvatarMatResID[[#This Row],[CountIndex]]</f>
        <v>11504</v>
      </c>
      <c r="G525">
        <f>VLOOKUP(AvatarMatResID[[#This Row],[AvatarPart]],AvatarPartID[],2,0)</f>
        <v>1</v>
      </c>
      <c r="H525">
        <f>VLOOKUP(AvatarMatResID[[#This Row],[Sex]],SexID[],2,0)</f>
        <v>1</v>
      </c>
      <c r="I525" t="str">
        <f>AvatarMatResID[[#This Row],[Material]]</f>
        <v>Female White Barbarian 04 Purple</v>
      </c>
    </row>
    <row r="526" spans="1:9" x14ac:dyDescent="0.15">
      <c r="A526" t="s">
        <v>454</v>
      </c>
      <c r="B526" t="s">
        <v>1920</v>
      </c>
      <c r="C526" t="s">
        <v>921</v>
      </c>
      <c r="D526">
        <v>505</v>
      </c>
      <c r="F526">
        <f>OUTPUTAvatarMatResID[[#This Row],[AvatarPartID]]*10000+OUTPUTAvatarMatResID[[#This Row],[SexID]]*1000+AvatarMatResID[[#This Row],[CountIndex]]</f>
        <v>11505</v>
      </c>
      <c r="G526">
        <f>VLOOKUP(AvatarMatResID[[#This Row],[AvatarPart]],AvatarPartID[],2,0)</f>
        <v>1</v>
      </c>
      <c r="H526">
        <f>VLOOKUP(AvatarMatResID[[#This Row],[Sex]],SexID[],2,0)</f>
        <v>1</v>
      </c>
      <c r="I526" t="str">
        <f>AvatarMatResID[[#This Row],[Material]]</f>
        <v>Female White Barbarian 04 Red</v>
      </c>
    </row>
    <row r="527" spans="1:9" x14ac:dyDescent="0.15">
      <c r="A527" t="s">
        <v>454</v>
      </c>
      <c r="B527" t="s">
        <v>1920</v>
      </c>
      <c r="C527" t="s">
        <v>922</v>
      </c>
      <c r="D527">
        <v>506</v>
      </c>
      <c r="F527">
        <f>OUTPUTAvatarMatResID[[#This Row],[AvatarPartID]]*10000+OUTPUTAvatarMatResID[[#This Row],[SexID]]*1000+AvatarMatResID[[#This Row],[CountIndex]]</f>
        <v>11506</v>
      </c>
      <c r="G527">
        <f>VLOOKUP(AvatarMatResID[[#This Row],[AvatarPart]],AvatarPartID[],2,0)</f>
        <v>1</v>
      </c>
      <c r="H527">
        <f>VLOOKUP(AvatarMatResID[[#This Row],[Sex]],SexID[],2,0)</f>
        <v>1</v>
      </c>
      <c r="I527" t="str">
        <f>AvatarMatResID[[#This Row],[Material]]</f>
        <v>Female White Barbarian 04 White</v>
      </c>
    </row>
    <row r="528" spans="1:9" x14ac:dyDescent="0.15">
      <c r="A528" t="s">
        <v>454</v>
      </c>
      <c r="B528" t="s">
        <v>1920</v>
      </c>
      <c r="C528" t="s">
        <v>923</v>
      </c>
      <c r="D528">
        <v>507</v>
      </c>
      <c r="F528">
        <f>OUTPUTAvatarMatResID[[#This Row],[AvatarPartID]]*10000+OUTPUTAvatarMatResID[[#This Row],[SexID]]*1000+AvatarMatResID[[#This Row],[CountIndex]]</f>
        <v>11507</v>
      </c>
      <c r="G528">
        <f>VLOOKUP(AvatarMatResID[[#This Row],[AvatarPart]],AvatarPartID[],2,0)</f>
        <v>1</v>
      </c>
      <c r="H528">
        <f>VLOOKUP(AvatarMatResID[[#This Row],[Sex]],SexID[],2,0)</f>
        <v>1</v>
      </c>
      <c r="I528" t="str">
        <f>AvatarMatResID[[#This Row],[Material]]</f>
        <v>Female White Barbarian 04 Yellow</v>
      </c>
    </row>
    <row r="529" spans="1:9" x14ac:dyDescent="0.15">
      <c r="A529" t="s">
        <v>454</v>
      </c>
      <c r="B529" t="s">
        <v>1920</v>
      </c>
      <c r="C529" t="s">
        <v>924</v>
      </c>
      <c r="D529">
        <v>508</v>
      </c>
      <c r="F529">
        <f>OUTPUTAvatarMatResID[[#This Row],[AvatarPartID]]*10000+OUTPUTAvatarMatResID[[#This Row],[SexID]]*1000+AvatarMatResID[[#This Row],[CountIndex]]</f>
        <v>11508</v>
      </c>
      <c r="G529">
        <f>VLOOKUP(AvatarMatResID[[#This Row],[AvatarPart]],AvatarPartID[],2,0)</f>
        <v>1</v>
      </c>
      <c r="H529">
        <f>VLOOKUP(AvatarMatResID[[#This Row],[Sex]],SexID[],2,0)</f>
        <v>1</v>
      </c>
      <c r="I529" t="str">
        <f>AvatarMatResID[[#This Row],[Material]]</f>
        <v>Female White Barbarian 05 Black</v>
      </c>
    </row>
    <row r="530" spans="1:9" x14ac:dyDescent="0.15">
      <c r="A530" t="s">
        <v>454</v>
      </c>
      <c r="B530" t="s">
        <v>1920</v>
      </c>
      <c r="C530" t="s">
        <v>925</v>
      </c>
      <c r="D530">
        <v>509</v>
      </c>
      <c r="F530">
        <f>OUTPUTAvatarMatResID[[#This Row],[AvatarPartID]]*10000+OUTPUTAvatarMatResID[[#This Row],[SexID]]*1000+AvatarMatResID[[#This Row],[CountIndex]]</f>
        <v>11509</v>
      </c>
      <c r="G530">
        <f>VLOOKUP(AvatarMatResID[[#This Row],[AvatarPart]],AvatarPartID[],2,0)</f>
        <v>1</v>
      </c>
      <c r="H530">
        <f>VLOOKUP(AvatarMatResID[[#This Row],[Sex]],SexID[],2,0)</f>
        <v>1</v>
      </c>
      <c r="I530" t="str">
        <f>AvatarMatResID[[#This Row],[Material]]</f>
        <v>Female White Barbarian 05 Blue</v>
      </c>
    </row>
    <row r="531" spans="1:9" x14ac:dyDescent="0.15">
      <c r="A531" t="s">
        <v>454</v>
      </c>
      <c r="B531" t="s">
        <v>1920</v>
      </c>
      <c r="C531" t="s">
        <v>926</v>
      </c>
      <c r="D531">
        <v>510</v>
      </c>
      <c r="F531">
        <f>OUTPUTAvatarMatResID[[#This Row],[AvatarPartID]]*10000+OUTPUTAvatarMatResID[[#This Row],[SexID]]*1000+AvatarMatResID[[#This Row],[CountIndex]]</f>
        <v>11510</v>
      </c>
      <c r="G531">
        <f>VLOOKUP(AvatarMatResID[[#This Row],[AvatarPart]],AvatarPartID[],2,0)</f>
        <v>1</v>
      </c>
      <c r="H531">
        <f>VLOOKUP(AvatarMatResID[[#This Row],[Sex]],SexID[],2,0)</f>
        <v>1</v>
      </c>
      <c r="I531" t="str">
        <f>AvatarMatResID[[#This Row],[Material]]</f>
        <v>Female White Barbarian 05 Green</v>
      </c>
    </row>
    <row r="532" spans="1:9" x14ac:dyDescent="0.15">
      <c r="A532" t="s">
        <v>454</v>
      </c>
      <c r="B532" t="s">
        <v>1920</v>
      </c>
      <c r="C532" t="s">
        <v>927</v>
      </c>
      <c r="D532">
        <v>511</v>
      </c>
      <c r="F532">
        <f>OUTPUTAvatarMatResID[[#This Row],[AvatarPartID]]*10000+OUTPUTAvatarMatResID[[#This Row],[SexID]]*1000+AvatarMatResID[[#This Row],[CountIndex]]</f>
        <v>11511</v>
      </c>
      <c r="G532">
        <f>VLOOKUP(AvatarMatResID[[#This Row],[AvatarPart]],AvatarPartID[],2,0)</f>
        <v>1</v>
      </c>
      <c r="H532">
        <f>VLOOKUP(AvatarMatResID[[#This Row],[Sex]],SexID[],2,0)</f>
        <v>1</v>
      </c>
      <c r="I532" t="str">
        <f>AvatarMatResID[[#This Row],[Material]]</f>
        <v>Female White Barbarian 05 Magenta</v>
      </c>
    </row>
    <row r="533" spans="1:9" x14ac:dyDescent="0.15">
      <c r="A533" t="s">
        <v>454</v>
      </c>
      <c r="B533" t="s">
        <v>1920</v>
      </c>
      <c r="C533" t="s">
        <v>928</v>
      </c>
      <c r="D533">
        <v>512</v>
      </c>
      <c r="F533">
        <f>OUTPUTAvatarMatResID[[#This Row],[AvatarPartID]]*10000+OUTPUTAvatarMatResID[[#This Row],[SexID]]*1000+AvatarMatResID[[#This Row],[CountIndex]]</f>
        <v>11512</v>
      </c>
      <c r="G533">
        <f>VLOOKUP(AvatarMatResID[[#This Row],[AvatarPart]],AvatarPartID[],2,0)</f>
        <v>1</v>
      </c>
      <c r="H533">
        <f>VLOOKUP(AvatarMatResID[[#This Row],[Sex]],SexID[],2,0)</f>
        <v>1</v>
      </c>
      <c r="I533" t="str">
        <f>AvatarMatResID[[#This Row],[Material]]</f>
        <v>Female White Barbarian 05 Purple</v>
      </c>
    </row>
    <row r="534" spans="1:9" x14ac:dyDescent="0.15">
      <c r="A534" t="s">
        <v>454</v>
      </c>
      <c r="B534" t="s">
        <v>1920</v>
      </c>
      <c r="C534" t="s">
        <v>929</v>
      </c>
      <c r="D534">
        <v>513</v>
      </c>
      <c r="F534">
        <f>OUTPUTAvatarMatResID[[#This Row],[AvatarPartID]]*10000+OUTPUTAvatarMatResID[[#This Row],[SexID]]*1000+AvatarMatResID[[#This Row],[CountIndex]]</f>
        <v>11513</v>
      </c>
      <c r="G534">
        <f>VLOOKUP(AvatarMatResID[[#This Row],[AvatarPart]],AvatarPartID[],2,0)</f>
        <v>1</v>
      </c>
      <c r="H534">
        <f>VLOOKUP(AvatarMatResID[[#This Row],[Sex]],SexID[],2,0)</f>
        <v>1</v>
      </c>
      <c r="I534" t="str">
        <f>AvatarMatResID[[#This Row],[Material]]</f>
        <v>Female White Barbarian 05 Red</v>
      </c>
    </row>
    <row r="535" spans="1:9" x14ac:dyDescent="0.15">
      <c r="A535" t="s">
        <v>454</v>
      </c>
      <c r="B535" t="s">
        <v>1920</v>
      </c>
      <c r="C535" t="s">
        <v>930</v>
      </c>
      <c r="D535">
        <v>514</v>
      </c>
      <c r="F535">
        <f>OUTPUTAvatarMatResID[[#This Row],[AvatarPartID]]*10000+OUTPUTAvatarMatResID[[#This Row],[SexID]]*1000+AvatarMatResID[[#This Row],[CountIndex]]</f>
        <v>11514</v>
      </c>
      <c r="G535">
        <f>VLOOKUP(AvatarMatResID[[#This Row],[AvatarPart]],AvatarPartID[],2,0)</f>
        <v>1</v>
      </c>
      <c r="H535">
        <f>VLOOKUP(AvatarMatResID[[#This Row],[Sex]],SexID[],2,0)</f>
        <v>1</v>
      </c>
      <c r="I535" t="str">
        <f>AvatarMatResID[[#This Row],[Material]]</f>
        <v>Female White Barbarian 05 White</v>
      </c>
    </row>
    <row r="536" spans="1:9" x14ac:dyDescent="0.15">
      <c r="A536" t="s">
        <v>454</v>
      </c>
      <c r="B536" t="s">
        <v>1920</v>
      </c>
      <c r="C536" t="s">
        <v>931</v>
      </c>
      <c r="D536">
        <v>515</v>
      </c>
      <c r="F536">
        <f>OUTPUTAvatarMatResID[[#This Row],[AvatarPartID]]*10000+OUTPUTAvatarMatResID[[#This Row],[SexID]]*1000+AvatarMatResID[[#This Row],[CountIndex]]</f>
        <v>11515</v>
      </c>
      <c r="G536">
        <f>VLOOKUP(AvatarMatResID[[#This Row],[AvatarPart]],AvatarPartID[],2,0)</f>
        <v>1</v>
      </c>
      <c r="H536">
        <f>VLOOKUP(AvatarMatResID[[#This Row],[Sex]],SexID[],2,0)</f>
        <v>1</v>
      </c>
      <c r="I536" t="str">
        <f>AvatarMatResID[[#This Row],[Material]]</f>
        <v>Female White Barbarian 05 Yellow</v>
      </c>
    </row>
    <row r="537" spans="1:9" x14ac:dyDescent="0.15">
      <c r="A537" t="s">
        <v>454</v>
      </c>
      <c r="B537" t="s">
        <v>1920</v>
      </c>
      <c r="C537" t="s">
        <v>932</v>
      </c>
      <c r="D537">
        <v>516</v>
      </c>
      <c r="F537">
        <f>OUTPUTAvatarMatResID[[#This Row],[AvatarPartID]]*10000+OUTPUTAvatarMatResID[[#This Row],[SexID]]*1000+AvatarMatResID[[#This Row],[CountIndex]]</f>
        <v>11516</v>
      </c>
      <c r="G537">
        <f>VLOOKUP(AvatarMatResID[[#This Row],[AvatarPart]],AvatarPartID[],2,0)</f>
        <v>1</v>
      </c>
      <c r="H537">
        <f>VLOOKUP(AvatarMatResID[[#This Row],[Sex]],SexID[],2,0)</f>
        <v>1</v>
      </c>
      <c r="I537" t="str">
        <f>AvatarMatResID[[#This Row],[Material]]</f>
        <v>Female White Casual 01A</v>
      </c>
    </row>
    <row r="538" spans="1:9" x14ac:dyDescent="0.15">
      <c r="A538" t="s">
        <v>454</v>
      </c>
      <c r="B538" t="s">
        <v>1920</v>
      </c>
      <c r="C538" t="s">
        <v>933</v>
      </c>
      <c r="D538">
        <v>517</v>
      </c>
      <c r="F538">
        <f>OUTPUTAvatarMatResID[[#This Row],[AvatarPartID]]*10000+OUTPUTAvatarMatResID[[#This Row],[SexID]]*1000+AvatarMatResID[[#This Row],[CountIndex]]</f>
        <v>11517</v>
      </c>
      <c r="G538">
        <f>VLOOKUP(AvatarMatResID[[#This Row],[AvatarPart]],AvatarPartID[],2,0)</f>
        <v>1</v>
      </c>
      <c r="H538">
        <f>VLOOKUP(AvatarMatResID[[#This Row],[Sex]],SexID[],2,0)</f>
        <v>1</v>
      </c>
      <c r="I538" t="str">
        <f>AvatarMatResID[[#This Row],[Material]]</f>
        <v>Female White Casual 01B</v>
      </c>
    </row>
    <row r="539" spans="1:9" x14ac:dyDescent="0.15">
      <c r="A539" t="s">
        <v>454</v>
      </c>
      <c r="B539" t="s">
        <v>1920</v>
      </c>
      <c r="C539" t="s">
        <v>934</v>
      </c>
      <c r="D539">
        <v>518</v>
      </c>
      <c r="F539">
        <f>OUTPUTAvatarMatResID[[#This Row],[AvatarPartID]]*10000+OUTPUTAvatarMatResID[[#This Row],[SexID]]*1000+AvatarMatResID[[#This Row],[CountIndex]]</f>
        <v>11518</v>
      </c>
      <c r="G539">
        <f>VLOOKUP(AvatarMatResID[[#This Row],[AvatarPart]],AvatarPartID[],2,0)</f>
        <v>1</v>
      </c>
      <c r="H539">
        <f>VLOOKUP(AvatarMatResID[[#This Row],[Sex]],SexID[],2,0)</f>
        <v>1</v>
      </c>
      <c r="I539" t="str">
        <f>AvatarMatResID[[#This Row],[Material]]</f>
        <v>Female White Casual 01C</v>
      </c>
    </row>
    <row r="540" spans="1:9" x14ac:dyDescent="0.15">
      <c r="A540" t="s">
        <v>454</v>
      </c>
      <c r="B540" t="s">
        <v>1920</v>
      </c>
      <c r="C540" t="s">
        <v>935</v>
      </c>
      <c r="D540">
        <v>519</v>
      </c>
      <c r="F540">
        <f>OUTPUTAvatarMatResID[[#This Row],[AvatarPartID]]*10000+OUTPUTAvatarMatResID[[#This Row],[SexID]]*1000+AvatarMatResID[[#This Row],[CountIndex]]</f>
        <v>11519</v>
      </c>
      <c r="G540">
        <f>VLOOKUP(AvatarMatResID[[#This Row],[AvatarPart]],AvatarPartID[],2,0)</f>
        <v>1</v>
      </c>
      <c r="H540">
        <f>VLOOKUP(AvatarMatResID[[#This Row],[Sex]],SexID[],2,0)</f>
        <v>1</v>
      </c>
      <c r="I540" t="str">
        <f>AvatarMatResID[[#This Row],[Material]]</f>
        <v>Female White Casual 02 Punk</v>
      </c>
    </row>
    <row r="541" spans="1:9" x14ac:dyDescent="0.15">
      <c r="A541" t="s">
        <v>454</v>
      </c>
      <c r="B541" t="s">
        <v>1920</v>
      </c>
      <c r="C541" t="s">
        <v>936</v>
      </c>
      <c r="D541">
        <v>520</v>
      </c>
      <c r="F541">
        <f>OUTPUTAvatarMatResID[[#This Row],[AvatarPartID]]*10000+OUTPUTAvatarMatResID[[#This Row],[SexID]]*1000+AvatarMatResID[[#This Row],[CountIndex]]</f>
        <v>11520</v>
      </c>
      <c r="G541">
        <f>VLOOKUP(AvatarMatResID[[#This Row],[AvatarPart]],AvatarPartID[],2,0)</f>
        <v>1</v>
      </c>
      <c r="H541">
        <f>VLOOKUP(AvatarMatResID[[#This Row],[Sex]],SexID[],2,0)</f>
        <v>1</v>
      </c>
      <c r="I541" t="str">
        <f>AvatarMatResID[[#This Row],[Material]]</f>
        <v>Female White Casual 02A</v>
      </c>
    </row>
    <row r="542" spans="1:9" x14ac:dyDescent="0.15">
      <c r="A542" t="s">
        <v>454</v>
      </c>
      <c r="B542" t="s">
        <v>1920</v>
      </c>
      <c r="C542" t="s">
        <v>937</v>
      </c>
      <c r="D542">
        <v>521</v>
      </c>
      <c r="F542">
        <f>OUTPUTAvatarMatResID[[#This Row],[AvatarPartID]]*10000+OUTPUTAvatarMatResID[[#This Row],[SexID]]*1000+AvatarMatResID[[#This Row],[CountIndex]]</f>
        <v>11521</v>
      </c>
      <c r="G542">
        <f>VLOOKUP(AvatarMatResID[[#This Row],[AvatarPart]],AvatarPartID[],2,0)</f>
        <v>1</v>
      </c>
      <c r="H542">
        <f>VLOOKUP(AvatarMatResID[[#This Row],[Sex]],SexID[],2,0)</f>
        <v>1</v>
      </c>
      <c r="I542" t="str">
        <f>AvatarMatResID[[#This Row],[Material]]</f>
        <v>Female White Casual 02B</v>
      </c>
    </row>
    <row r="543" spans="1:9" x14ac:dyDescent="0.15">
      <c r="A543" t="s">
        <v>454</v>
      </c>
      <c r="B543" t="s">
        <v>1920</v>
      </c>
      <c r="C543" t="s">
        <v>938</v>
      </c>
      <c r="D543">
        <v>522</v>
      </c>
      <c r="F543">
        <f>OUTPUTAvatarMatResID[[#This Row],[AvatarPartID]]*10000+OUTPUTAvatarMatResID[[#This Row],[SexID]]*1000+AvatarMatResID[[#This Row],[CountIndex]]</f>
        <v>11522</v>
      </c>
      <c r="G543">
        <f>VLOOKUP(AvatarMatResID[[#This Row],[AvatarPart]],AvatarPartID[],2,0)</f>
        <v>1</v>
      </c>
      <c r="H543">
        <f>VLOOKUP(AvatarMatResID[[#This Row],[Sex]],SexID[],2,0)</f>
        <v>1</v>
      </c>
      <c r="I543" t="str">
        <f>AvatarMatResID[[#This Row],[Material]]</f>
        <v>Female White Casual 02C</v>
      </c>
    </row>
    <row r="544" spans="1:9" x14ac:dyDescent="0.15">
      <c r="A544" t="s">
        <v>454</v>
      </c>
      <c r="B544" t="s">
        <v>1920</v>
      </c>
      <c r="C544" t="s">
        <v>940</v>
      </c>
      <c r="D544">
        <v>523</v>
      </c>
      <c r="F544">
        <f>OUTPUTAvatarMatResID[[#This Row],[AvatarPartID]]*10000+OUTPUTAvatarMatResID[[#This Row],[SexID]]*1000+AvatarMatResID[[#This Row],[CountIndex]]</f>
        <v>11523</v>
      </c>
      <c r="G544">
        <f>VLOOKUP(AvatarMatResID[[#This Row],[AvatarPart]],AvatarPartID[],2,0)</f>
        <v>1</v>
      </c>
      <c r="H544">
        <f>VLOOKUP(AvatarMatResID[[#This Row],[Sex]],SexID[],2,0)</f>
        <v>1</v>
      </c>
      <c r="I544" t="str">
        <f>AvatarMatResID[[#This Row],[Material]]</f>
        <v>Female White Casual 03</v>
      </c>
    </row>
    <row r="545" spans="1:9" x14ac:dyDescent="0.15">
      <c r="A545" t="s">
        <v>454</v>
      </c>
      <c r="B545" t="s">
        <v>1920</v>
      </c>
      <c r="C545" t="s">
        <v>939</v>
      </c>
      <c r="D545">
        <v>524</v>
      </c>
      <c r="F545">
        <f>OUTPUTAvatarMatResID[[#This Row],[AvatarPartID]]*10000+OUTPUTAvatarMatResID[[#This Row],[SexID]]*1000+AvatarMatResID[[#This Row],[CountIndex]]</f>
        <v>11524</v>
      </c>
      <c r="G545">
        <f>VLOOKUP(AvatarMatResID[[#This Row],[AvatarPart]],AvatarPartID[],2,0)</f>
        <v>1</v>
      </c>
      <c r="H545">
        <f>VLOOKUP(AvatarMatResID[[#This Row],[Sex]],SexID[],2,0)</f>
        <v>1</v>
      </c>
      <c r="I545" t="str">
        <f>AvatarMatResID[[#This Row],[Material]]</f>
        <v>Female White Casual 03 Red</v>
      </c>
    </row>
    <row r="546" spans="1:9" x14ac:dyDescent="0.15">
      <c r="A546" t="s">
        <v>454</v>
      </c>
      <c r="B546" t="s">
        <v>1920</v>
      </c>
      <c r="C546" t="s">
        <v>941</v>
      </c>
      <c r="D546">
        <v>525</v>
      </c>
      <c r="F546">
        <f>OUTPUTAvatarMatResID[[#This Row],[AvatarPartID]]*10000+OUTPUTAvatarMatResID[[#This Row],[SexID]]*1000+AvatarMatResID[[#This Row],[CountIndex]]</f>
        <v>11525</v>
      </c>
      <c r="G546">
        <f>VLOOKUP(AvatarMatResID[[#This Row],[AvatarPart]],AvatarPartID[],2,0)</f>
        <v>1</v>
      </c>
      <c r="H546">
        <f>VLOOKUP(AvatarMatResID[[#This Row],[Sex]],SexID[],2,0)</f>
        <v>1</v>
      </c>
      <c r="I546" t="str">
        <f>AvatarMatResID[[#This Row],[Material]]</f>
        <v>Female White Casual 03A</v>
      </c>
    </row>
    <row r="547" spans="1:9" x14ac:dyDescent="0.15">
      <c r="A547" t="s">
        <v>454</v>
      </c>
      <c r="B547" t="s">
        <v>1920</v>
      </c>
      <c r="C547" t="s">
        <v>942</v>
      </c>
      <c r="D547">
        <v>526</v>
      </c>
      <c r="F547">
        <f>OUTPUTAvatarMatResID[[#This Row],[AvatarPartID]]*10000+OUTPUTAvatarMatResID[[#This Row],[SexID]]*1000+AvatarMatResID[[#This Row],[CountIndex]]</f>
        <v>11526</v>
      </c>
      <c r="G547">
        <f>VLOOKUP(AvatarMatResID[[#This Row],[AvatarPart]],AvatarPartID[],2,0)</f>
        <v>1</v>
      </c>
      <c r="H547">
        <f>VLOOKUP(AvatarMatResID[[#This Row],[Sex]],SexID[],2,0)</f>
        <v>1</v>
      </c>
      <c r="I547" t="str">
        <f>AvatarMatResID[[#This Row],[Material]]</f>
        <v>Female White Casual 03B</v>
      </c>
    </row>
    <row r="548" spans="1:9" x14ac:dyDescent="0.15">
      <c r="A548" t="s">
        <v>454</v>
      </c>
      <c r="B548" t="s">
        <v>1920</v>
      </c>
      <c r="C548" t="s">
        <v>943</v>
      </c>
      <c r="D548">
        <v>527</v>
      </c>
      <c r="F548">
        <f>OUTPUTAvatarMatResID[[#This Row],[AvatarPartID]]*10000+OUTPUTAvatarMatResID[[#This Row],[SexID]]*1000+AvatarMatResID[[#This Row],[CountIndex]]</f>
        <v>11527</v>
      </c>
      <c r="G548">
        <f>VLOOKUP(AvatarMatResID[[#This Row],[AvatarPart]],AvatarPartID[],2,0)</f>
        <v>1</v>
      </c>
      <c r="H548">
        <f>VLOOKUP(AvatarMatResID[[#This Row],[Sex]],SexID[],2,0)</f>
        <v>1</v>
      </c>
      <c r="I548" t="str">
        <f>AvatarMatResID[[#This Row],[Material]]</f>
        <v>Female White Casual 03C</v>
      </c>
    </row>
    <row r="549" spans="1:9" x14ac:dyDescent="0.15">
      <c r="A549" t="s">
        <v>454</v>
      </c>
      <c r="B549" t="s">
        <v>1920</v>
      </c>
      <c r="C549" t="s">
        <v>944</v>
      </c>
      <c r="D549">
        <v>528</v>
      </c>
      <c r="F549">
        <f>OUTPUTAvatarMatResID[[#This Row],[AvatarPartID]]*10000+OUTPUTAvatarMatResID[[#This Row],[SexID]]*1000+AvatarMatResID[[#This Row],[CountIndex]]</f>
        <v>11528</v>
      </c>
      <c r="G549">
        <f>VLOOKUP(AvatarMatResID[[#This Row],[AvatarPart]],AvatarPartID[],2,0)</f>
        <v>1</v>
      </c>
      <c r="H549">
        <f>VLOOKUP(AvatarMatResID[[#This Row],[Sex]],SexID[],2,0)</f>
        <v>1</v>
      </c>
      <c r="I549" t="str">
        <f>AvatarMatResID[[#This Row],[Material]]</f>
        <v>Female White Casual 04</v>
      </c>
    </row>
    <row r="550" spans="1:9" x14ac:dyDescent="0.15">
      <c r="A550" t="s">
        <v>454</v>
      </c>
      <c r="B550" t="s">
        <v>1920</v>
      </c>
      <c r="C550" t="s">
        <v>945</v>
      </c>
      <c r="D550">
        <v>529</v>
      </c>
      <c r="F550">
        <f>OUTPUTAvatarMatResID[[#This Row],[AvatarPartID]]*10000+OUTPUTAvatarMatResID[[#This Row],[SexID]]*1000+AvatarMatResID[[#This Row],[CountIndex]]</f>
        <v>11529</v>
      </c>
      <c r="G550">
        <f>VLOOKUP(AvatarMatResID[[#This Row],[AvatarPart]],AvatarPartID[],2,0)</f>
        <v>1</v>
      </c>
      <c r="H550">
        <f>VLOOKUP(AvatarMatResID[[#This Row],[Sex]],SexID[],2,0)</f>
        <v>1</v>
      </c>
      <c r="I550" t="str">
        <f>AvatarMatResID[[#This Row],[Material]]</f>
        <v>Female White Casual 04A</v>
      </c>
    </row>
    <row r="551" spans="1:9" x14ac:dyDescent="0.15">
      <c r="A551" t="s">
        <v>454</v>
      </c>
      <c r="B551" t="s">
        <v>1920</v>
      </c>
      <c r="C551" t="s">
        <v>946</v>
      </c>
      <c r="D551">
        <v>530</v>
      </c>
      <c r="F551">
        <f>OUTPUTAvatarMatResID[[#This Row],[AvatarPartID]]*10000+OUTPUTAvatarMatResID[[#This Row],[SexID]]*1000+AvatarMatResID[[#This Row],[CountIndex]]</f>
        <v>11530</v>
      </c>
      <c r="G551">
        <f>VLOOKUP(AvatarMatResID[[#This Row],[AvatarPart]],AvatarPartID[],2,0)</f>
        <v>1</v>
      </c>
      <c r="H551">
        <f>VLOOKUP(AvatarMatResID[[#This Row],[Sex]],SexID[],2,0)</f>
        <v>1</v>
      </c>
      <c r="I551" t="str">
        <f>AvatarMatResID[[#This Row],[Material]]</f>
        <v>Female White Casual 04B</v>
      </c>
    </row>
    <row r="552" spans="1:9" x14ac:dyDescent="0.15">
      <c r="A552" t="s">
        <v>454</v>
      </c>
      <c r="B552" t="s">
        <v>1920</v>
      </c>
      <c r="C552" t="s">
        <v>947</v>
      </c>
      <c r="D552">
        <v>531</v>
      </c>
      <c r="F552">
        <f>OUTPUTAvatarMatResID[[#This Row],[AvatarPartID]]*10000+OUTPUTAvatarMatResID[[#This Row],[SexID]]*1000+AvatarMatResID[[#This Row],[CountIndex]]</f>
        <v>11531</v>
      </c>
      <c r="G552">
        <f>VLOOKUP(AvatarMatResID[[#This Row],[AvatarPart]],AvatarPartID[],2,0)</f>
        <v>1</v>
      </c>
      <c r="H552">
        <f>VLOOKUP(AvatarMatResID[[#This Row],[Sex]],SexID[],2,0)</f>
        <v>1</v>
      </c>
      <c r="I552" t="str">
        <f>AvatarMatResID[[#This Row],[Material]]</f>
        <v>Female White Casual 04C</v>
      </c>
    </row>
    <row r="553" spans="1:9" x14ac:dyDescent="0.15">
      <c r="A553" t="s">
        <v>454</v>
      </c>
      <c r="B553" t="s">
        <v>1920</v>
      </c>
      <c r="C553" t="s">
        <v>948</v>
      </c>
      <c r="D553">
        <v>532</v>
      </c>
      <c r="F553">
        <f>OUTPUTAvatarMatResID[[#This Row],[AvatarPartID]]*10000+OUTPUTAvatarMatResID[[#This Row],[SexID]]*1000+AvatarMatResID[[#This Row],[CountIndex]]</f>
        <v>11532</v>
      </c>
      <c r="G553">
        <f>VLOOKUP(AvatarMatResID[[#This Row],[AvatarPart]],AvatarPartID[],2,0)</f>
        <v>1</v>
      </c>
      <c r="H553">
        <f>VLOOKUP(AvatarMatResID[[#This Row],[Sex]],SexID[],2,0)</f>
        <v>1</v>
      </c>
      <c r="I553" t="str">
        <f>AvatarMatResID[[#This Row],[Material]]</f>
        <v>Female White Casual 05</v>
      </c>
    </row>
    <row r="554" spans="1:9" x14ac:dyDescent="0.15">
      <c r="A554" t="s">
        <v>454</v>
      </c>
      <c r="B554" t="s">
        <v>1920</v>
      </c>
      <c r="C554" t="s">
        <v>949</v>
      </c>
      <c r="D554">
        <v>533</v>
      </c>
      <c r="F554">
        <f>OUTPUTAvatarMatResID[[#This Row],[AvatarPartID]]*10000+OUTPUTAvatarMatResID[[#This Row],[SexID]]*1000+AvatarMatResID[[#This Row],[CountIndex]]</f>
        <v>11533</v>
      </c>
      <c r="G554">
        <f>VLOOKUP(AvatarMatResID[[#This Row],[AvatarPart]],AvatarPartID[],2,0)</f>
        <v>1</v>
      </c>
      <c r="H554">
        <f>VLOOKUP(AvatarMatResID[[#This Row],[Sex]],SexID[],2,0)</f>
        <v>1</v>
      </c>
      <c r="I554" t="str">
        <f>AvatarMatResID[[#This Row],[Material]]</f>
        <v>Female White Casual 05A</v>
      </c>
    </row>
    <row r="555" spans="1:9" x14ac:dyDescent="0.15">
      <c r="A555" t="s">
        <v>454</v>
      </c>
      <c r="B555" t="s">
        <v>1920</v>
      </c>
      <c r="C555" t="s">
        <v>950</v>
      </c>
      <c r="D555">
        <v>534</v>
      </c>
      <c r="F555">
        <f>OUTPUTAvatarMatResID[[#This Row],[AvatarPartID]]*10000+OUTPUTAvatarMatResID[[#This Row],[SexID]]*1000+AvatarMatResID[[#This Row],[CountIndex]]</f>
        <v>11534</v>
      </c>
      <c r="G555">
        <f>VLOOKUP(AvatarMatResID[[#This Row],[AvatarPart]],AvatarPartID[],2,0)</f>
        <v>1</v>
      </c>
      <c r="H555">
        <f>VLOOKUP(AvatarMatResID[[#This Row],[Sex]],SexID[],2,0)</f>
        <v>1</v>
      </c>
      <c r="I555" t="str">
        <f>AvatarMatResID[[#This Row],[Material]]</f>
        <v>Female White Casual 05B</v>
      </c>
    </row>
    <row r="556" spans="1:9" x14ac:dyDescent="0.15">
      <c r="A556" t="s">
        <v>454</v>
      </c>
      <c r="B556" t="s">
        <v>1920</v>
      </c>
      <c r="C556" t="s">
        <v>951</v>
      </c>
      <c r="D556">
        <v>535</v>
      </c>
      <c r="F556">
        <f>OUTPUTAvatarMatResID[[#This Row],[AvatarPartID]]*10000+OUTPUTAvatarMatResID[[#This Row],[SexID]]*1000+AvatarMatResID[[#This Row],[CountIndex]]</f>
        <v>11535</v>
      </c>
      <c r="G556">
        <f>VLOOKUP(AvatarMatResID[[#This Row],[AvatarPart]],AvatarPartID[],2,0)</f>
        <v>1</v>
      </c>
      <c r="H556">
        <f>VLOOKUP(AvatarMatResID[[#This Row],[Sex]],SexID[],2,0)</f>
        <v>1</v>
      </c>
      <c r="I556" t="str">
        <f>AvatarMatResID[[#This Row],[Material]]</f>
        <v>Female White Casual 05C</v>
      </c>
    </row>
    <row r="557" spans="1:9" x14ac:dyDescent="0.15">
      <c r="A557" t="s">
        <v>454</v>
      </c>
      <c r="B557" t="s">
        <v>1920</v>
      </c>
      <c r="C557" t="s">
        <v>952</v>
      </c>
      <c r="D557">
        <v>536</v>
      </c>
      <c r="F557">
        <f>OUTPUTAvatarMatResID[[#This Row],[AvatarPartID]]*10000+OUTPUTAvatarMatResID[[#This Row],[SexID]]*1000+AvatarMatResID[[#This Row],[CountIndex]]</f>
        <v>11536</v>
      </c>
      <c r="G557">
        <f>VLOOKUP(AvatarMatResID[[#This Row],[AvatarPart]],AvatarPartID[],2,0)</f>
        <v>1</v>
      </c>
      <c r="H557">
        <f>VLOOKUP(AvatarMatResID[[#This Row],[Sex]],SexID[],2,0)</f>
        <v>1</v>
      </c>
      <c r="I557" t="str">
        <f>AvatarMatResID[[#This Row],[Material]]</f>
        <v>Female White Casual 06</v>
      </c>
    </row>
    <row r="558" spans="1:9" x14ac:dyDescent="0.15">
      <c r="A558" t="s">
        <v>454</v>
      </c>
      <c r="B558" t="s">
        <v>1920</v>
      </c>
      <c r="C558" t="s">
        <v>953</v>
      </c>
      <c r="D558">
        <v>537</v>
      </c>
      <c r="F558">
        <f>OUTPUTAvatarMatResID[[#This Row],[AvatarPartID]]*10000+OUTPUTAvatarMatResID[[#This Row],[SexID]]*1000+AvatarMatResID[[#This Row],[CountIndex]]</f>
        <v>11537</v>
      </c>
      <c r="G558">
        <f>VLOOKUP(AvatarMatResID[[#This Row],[AvatarPart]],AvatarPartID[],2,0)</f>
        <v>1</v>
      </c>
      <c r="H558">
        <f>VLOOKUP(AvatarMatResID[[#This Row],[Sex]],SexID[],2,0)</f>
        <v>1</v>
      </c>
      <c r="I558" t="str">
        <f>AvatarMatResID[[#This Row],[Material]]</f>
        <v>Female White Casual 06A</v>
      </c>
    </row>
    <row r="559" spans="1:9" x14ac:dyDescent="0.15">
      <c r="A559" t="s">
        <v>454</v>
      </c>
      <c r="B559" t="s">
        <v>1920</v>
      </c>
      <c r="C559" t="s">
        <v>954</v>
      </c>
      <c r="D559">
        <v>538</v>
      </c>
      <c r="F559">
        <f>OUTPUTAvatarMatResID[[#This Row],[AvatarPartID]]*10000+OUTPUTAvatarMatResID[[#This Row],[SexID]]*1000+AvatarMatResID[[#This Row],[CountIndex]]</f>
        <v>11538</v>
      </c>
      <c r="G559">
        <f>VLOOKUP(AvatarMatResID[[#This Row],[AvatarPart]],AvatarPartID[],2,0)</f>
        <v>1</v>
      </c>
      <c r="H559">
        <f>VLOOKUP(AvatarMatResID[[#This Row],[Sex]],SexID[],2,0)</f>
        <v>1</v>
      </c>
      <c r="I559" t="str">
        <f>AvatarMatResID[[#This Row],[Material]]</f>
        <v>Female White Casual 06B</v>
      </c>
    </row>
    <row r="560" spans="1:9" x14ac:dyDescent="0.15">
      <c r="A560" t="s">
        <v>454</v>
      </c>
      <c r="B560" t="s">
        <v>1920</v>
      </c>
      <c r="C560" t="s">
        <v>955</v>
      </c>
      <c r="D560">
        <v>539</v>
      </c>
      <c r="F560">
        <f>OUTPUTAvatarMatResID[[#This Row],[AvatarPartID]]*10000+OUTPUTAvatarMatResID[[#This Row],[SexID]]*1000+AvatarMatResID[[#This Row],[CountIndex]]</f>
        <v>11539</v>
      </c>
      <c r="G560">
        <f>VLOOKUP(AvatarMatResID[[#This Row],[AvatarPart]],AvatarPartID[],2,0)</f>
        <v>1</v>
      </c>
      <c r="H560">
        <f>VLOOKUP(AvatarMatResID[[#This Row],[Sex]],SexID[],2,0)</f>
        <v>1</v>
      </c>
      <c r="I560" t="str">
        <f>AvatarMatResID[[#This Row],[Material]]</f>
        <v>Female White Casual 06C</v>
      </c>
    </row>
    <row r="561" spans="1:9" x14ac:dyDescent="0.15">
      <c r="A561" t="s">
        <v>454</v>
      </c>
      <c r="B561" t="s">
        <v>1920</v>
      </c>
      <c r="C561" t="s">
        <v>956</v>
      </c>
      <c r="D561">
        <v>540</v>
      </c>
      <c r="F561">
        <f>OUTPUTAvatarMatResID[[#This Row],[AvatarPartID]]*10000+OUTPUTAvatarMatResID[[#This Row],[SexID]]*1000+AvatarMatResID[[#This Row],[CountIndex]]</f>
        <v>11540</v>
      </c>
      <c r="G561">
        <f>VLOOKUP(AvatarMatResID[[#This Row],[AvatarPart]],AvatarPartID[],2,0)</f>
        <v>1</v>
      </c>
      <c r="H561">
        <f>VLOOKUP(AvatarMatResID[[#This Row],[Sex]],SexID[],2,0)</f>
        <v>1</v>
      </c>
      <c r="I561" t="str">
        <f>AvatarMatResID[[#This Row],[Material]]</f>
        <v>Female White Casual 07A</v>
      </c>
    </row>
    <row r="562" spans="1:9" x14ac:dyDescent="0.15">
      <c r="A562" t="s">
        <v>454</v>
      </c>
      <c r="B562" t="s">
        <v>1920</v>
      </c>
      <c r="C562" t="s">
        <v>957</v>
      </c>
      <c r="D562">
        <v>541</v>
      </c>
      <c r="F562">
        <f>OUTPUTAvatarMatResID[[#This Row],[AvatarPartID]]*10000+OUTPUTAvatarMatResID[[#This Row],[SexID]]*1000+AvatarMatResID[[#This Row],[CountIndex]]</f>
        <v>11541</v>
      </c>
      <c r="G562">
        <f>VLOOKUP(AvatarMatResID[[#This Row],[AvatarPart]],AvatarPartID[],2,0)</f>
        <v>1</v>
      </c>
      <c r="H562">
        <f>VLOOKUP(AvatarMatResID[[#This Row],[Sex]],SexID[],2,0)</f>
        <v>1</v>
      </c>
      <c r="I562" t="str">
        <f>AvatarMatResID[[#This Row],[Material]]</f>
        <v>Female White Casual 07B</v>
      </c>
    </row>
    <row r="563" spans="1:9" x14ac:dyDescent="0.15">
      <c r="A563" t="s">
        <v>454</v>
      </c>
      <c r="B563" t="s">
        <v>1920</v>
      </c>
      <c r="C563" t="s">
        <v>958</v>
      </c>
      <c r="D563">
        <v>542</v>
      </c>
      <c r="F563">
        <f>OUTPUTAvatarMatResID[[#This Row],[AvatarPartID]]*10000+OUTPUTAvatarMatResID[[#This Row],[SexID]]*1000+AvatarMatResID[[#This Row],[CountIndex]]</f>
        <v>11542</v>
      </c>
      <c r="G563">
        <f>VLOOKUP(AvatarMatResID[[#This Row],[AvatarPart]],AvatarPartID[],2,0)</f>
        <v>1</v>
      </c>
      <c r="H563">
        <f>VLOOKUP(AvatarMatResID[[#This Row],[Sex]],SexID[],2,0)</f>
        <v>1</v>
      </c>
      <c r="I563" t="str">
        <f>AvatarMatResID[[#This Row],[Material]]</f>
        <v>Female White Casual 07C</v>
      </c>
    </row>
    <row r="564" spans="1:9" x14ac:dyDescent="0.15">
      <c r="A564" t="s">
        <v>454</v>
      </c>
      <c r="B564" t="s">
        <v>1920</v>
      </c>
      <c r="C564" t="s">
        <v>959</v>
      </c>
      <c r="D564">
        <v>543</v>
      </c>
      <c r="F564">
        <f>OUTPUTAvatarMatResID[[#This Row],[AvatarPartID]]*10000+OUTPUTAvatarMatResID[[#This Row],[SexID]]*1000+AvatarMatResID[[#This Row],[CountIndex]]</f>
        <v>11543</v>
      </c>
      <c r="G564">
        <f>VLOOKUP(AvatarMatResID[[#This Row],[AvatarPart]],AvatarPartID[],2,0)</f>
        <v>1</v>
      </c>
      <c r="H564">
        <f>VLOOKUP(AvatarMatResID[[#This Row],[Sex]],SexID[],2,0)</f>
        <v>1</v>
      </c>
      <c r="I564" t="str">
        <f>AvatarMatResID[[#This Row],[Material]]</f>
        <v>Female White Casual 08A</v>
      </c>
    </row>
    <row r="565" spans="1:9" x14ac:dyDescent="0.15">
      <c r="A565" t="s">
        <v>454</v>
      </c>
      <c r="B565" t="s">
        <v>1920</v>
      </c>
      <c r="C565" t="s">
        <v>960</v>
      </c>
      <c r="D565">
        <v>544</v>
      </c>
      <c r="F565">
        <f>OUTPUTAvatarMatResID[[#This Row],[AvatarPartID]]*10000+OUTPUTAvatarMatResID[[#This Row],[SexID]]*1000+AvatarMatResID[[#This Row],[CountIndex]]</f>
        <v>11544</v>
      </c>
      <c r="G565">
        <f>VLOOKUP(AvatarMatResID[[#This Row],[AvatarPart]],AvatarPartID[],2,0)</f>
        <v>1</v>
      </c>
      <c r="H565">
        <f>VLOOKUP(AvatarMatResID[[#This Row],[Sex]],SexID[],2,0)</f>
        <v>1</v>
      </c>
      <c r="I565" t="str">
        <f>AvatarMatResID[[#This Row],[Material]]</f>
        <v>Female White Casual 08B</v>
      </c>
    </row>
    <row r="566" spans="1:9" x14ac:dyDescent="0.15">
      <c r="A566" t="s">
        <v>454</v>
      </c>
      <c r="B566" t="s">
        <v>1920</v>
      </c>
      <c r="C566" t="s">
        <v>961</v>
      </c>
      <c r="D566">
        <v>545</v>
      </c>
      <c r="F566">
        <f>OUTPUTAvatarMatResID[[#This Row],[AvatarPartID]]*10000+OUTPUTAvatarMatResID[[#This Row],[SexID]]*1000+AvatarMatResID[[#This Row],[CountIndex]]</f>
        <v>11545</v>
      </c>
      <c r="G566">
        <f>VLOOKUP(AvatarMatResID[[#This Row],[AvatarPart]],AvatarPartID[],2,0)</f>
        <v>1</v>
      </c>
      <c r="H566">
        <f>VLOOKUP(AvatarMatResID[[#This Row],[Sex]],SexID[],2,0)</f>
        <v>1</v>
      </c>
      <c r="I566" t="str">
        <f>AvatarMatResID[[#This Row],[Material]]</f>
        <v>Female White Casual 08C</v>
      </c>
    </row>
    <row r="567" spans="1:9" x14ac:dyDescent="0.15">
      <c r="A567" t="s">
        <v>454</v>
      </c>
      <c r="B567" t="s">
        <v>1920</v>
      </c>
      <c r="C567" t="s">
        <v>962</v>
      </c>
      <c r="D567">
        <v>546</v>
      </c>
      <c r="F567">
        <f>OUTPUTAvatarMatResID[[#This Row],[AvatarPartID]]*10000+OUTPUTAvatarMatResID[[#This Row],[SexID]]*1000+AvatarMatResID[[#This Row],[CountIndex]]</f>
        <v>11546</v>
      </c>
      <c r="G567">
        <f>VLOOKUP(AvatarMatResID[[#This Row],[AvatarPart]],AvatarPartID[],2,0)</f>
        <v>1</v>
      </c>
      <c r="H567">
        <f>VLOOKUP(AvatarMatResID[[#This Row],[Sex]],SexID[],2,0)</f>
        <v>1</v>
      </c>
      <c r="I567" t="str">
        <f>AvatarMatResID[[#This Row],[Material]]</f>
        <v>Female White Elf 01</v>
      </c>
    </row>
    <row r="568" spans="1:9" x14ac:dyDescent="0.15">
      <c r="A568" t="s">
        <v>454</v>
      </c>
      <c r="B568" t="s">
        <v>1920</v>
      </c>
      <c r="C568" t="s">
        <v>963</v>
      </c>
      <c r="D568">
        <v>547</v>
      </c>
      <c r="F568">
        <f>OUTPUTAvatarMatResID[[#This Row],[AvatarPartID]]*10000+OUTPUTAvatarMatResID[[#This Row],[SexID]]*1000+AvatarMatResID[[#This Row],[CountIndex]]</f>
        <v>11547</v>
      </c>
      <c r="G568">
        <f>VLOOKUP(AvatarMatResID[[#This Row],[AvatarPart]],AvatarPartID[],2,0)</f>
        <v>1</v>
      </c>
      <c r="H568">
        <f>VLOOKUP(AvatarMatResID[[#This Row],[Sex]],SexID[],2,0)</f>
        <v>1</v>
      </c>
      <c r="I568" t="str">
        <f>AvatarMatResID[[#This Row],[Material]]</f>
        <v>Female White Knight 01 Black</v>
      </c>
    </row>
    <row r="569" spans="1:9" x14ac:dyDescent="0.15">
      <c r="A569" t="s">
        <v>454</v>
      </c>
      <c r="B569" t="s">
        <v>1920</v>
      </c>
      <c r="C569" t="s">
        <v>964</v>
      </c>
      <c r="D569">
        <v>548</v>
      </c>
      <c r="F569">
        <f>OUTPUTAvatarMatResID[[#This Row],[AvatarPartID]]*10000+OUTPUTAvatarMatResID[[#This Row],[SexID]]*1000+AvatarMatResID[[#This Row],[CountIndex]]</f>
        <v>11548</v>
      </c>
      <c r="G569">
        <f>VLOOKUP(AvatarMatResID[[#This Row],[AvatarPart]],AvatarPartID[],2,0)</f>
        <v>1</v>
      </c>
      <c r="H569">
        <f>VLOOKUP(AvatarMatResID[[#This Row],[Sex]],SexID[],2,0)</f>
        <v>1</v>
      </c>
      <c r="I569" t="str">
        <f>AvatarMatResID[[#This Row],[Material]]</f>
        <v>Female White Knight 01 Blue</v>
      </c>
    </row>
    <row r="570" spans="1:9" x14ac:dyDescent="0.15">
      <c r="A570" t="s">
        <v>454</v>
      </c>
      <c r="B570" t="s">
        <v>1920</v>
      </c>
      <c r="C570" t="s">
        <v>965</v>
      </c>
      <c r="D570">
        <v>549</v>
      </c>
      <c r="F570">
        <f>OUTPUTAvatarMatResID[[#This Row],[AvatarPartID]]*10000+OUTPUTAvatarMatResID[[#This Row],[SexID]]*1000+AvatarMatResID[[#This Row],[CountIndex]]</f>
        <v>11549</v>
      </c>
      <c r="G570">
        <f>VLOOKUP(AvatarMatResID[[#This Row],[AvatarPart]],AvatarPartID[],2,0)</f>
        <v>1</v>
      </c>
      <c r="H570">
        <f>VLOOKUP(AvatarMatResID[[#This Row],[Sex]],SexID[],2,0)</f>
        <v>1</v>
      </c>
      <c r="I570" t="str">
        <f>AvatarMatResID[[#This Row],[Material]]</f>
        <v>Female White Knight 01 Green</v>
      </c>
    </row>
    <row r="571" spans="1:9" x14ac:dyDescent="0.15">
      <c r="A571" t="s">
        <v>454</v>
      </c>
      <c r="B571" t="s">
        <v>1920</v>
      </c>
      <c r="C571" t="s">
        <v>966</v>
      </c>
      <c r="D571">
        <v>550</v>
      </c>
      <c r="F571">
        <f>OUTPUTAvatarMatResID[[#This Row],[AvatarPartID]]*10000+OUTPUTAvatarMatResID[[#This Row],[SexID]]*1000+AvatarMatResID[[#This Row],[CountIndex]]</f>
        <v>11550</v>
      </c>
      <c r="G571">
        <f>VLOOKUP(AvatarMatResID[[#This Row],[AvatarPart]],AvatarPartID[],2,0)</f>
        <v>1</v>
      </c>
      <c r="H571">
        <f>VLOOKUP(AvatarMatResID[[#This Row],[Sex]],SexID[],2,0)</f>
        <v>1</v>
      </c>
      <c r="I571" t="str">
        <f>AvatarMatResID[[#This Row],[Material]]</f>
        <v>Female White Knight 01 Purple</v>
      </c>
    </row>
    <row r="572" spans="1:9" x14ac:dyDescent="0.15">
      <c r="A572" t="s">
        <v>454</v>
      </c>
      <c r="B572" t="s">
        <v>1920</v>
      </c>
      <c r="C572" t="s">
        <v>967</v>
      </c>
      <c r="D572">
        <v>551</v>
      </c>
      <c r="F572">
        <f>OUTPUTAvatarMatResID[[#This Row],[AvatarPartID]]*10000+OUTPUTAvatarMatResID[[#This Row],[SexID]]*1000+AvatarMatResID[[#This Row],[CountIndex]]</f>
        <v>11551</v>
      </c>
      <c r="G572">
        <f>VLOOKUP(AvatarMatResID[[#This Row],[AvatarPart]],AvatarPartID[],2,0)</f>
        <v>1</v>
      </c>
      <c r="H572">
        <f>VLOOKUP(AvatarMatResID[[#This Row],[Sex]],SexID[],2,0)</f>
        <v>1</v>
      </c>
      <c r="I572" t="str">
        <f>AvatarMatResID[[#This Row],[Material]]</f>
        <v>Female White Knight 01 Red</v>
      </c>
    </row>
    <row r="573" spans="1:9" x14ac:dyDescent="0.15">
      <c r="A573" t="s">
        <v>454</v>
      </c>
      <c r="B573" t="s">
        <v>1920</v>
      </c>
      <c r="C573" t="s">
        <v>968</v>
      </c>
      <c r="D573">
        <v>552</v>
      </c>
      <c r="F573">
        <f>OUTPUTAvatarMatResID[[#This Row],[AvatarPartID]]*10000+OUTPUTAvatarMatResID[[#This Row],[SexID]]*1000+AvatarMatResID[[#This Row],[CountIndex]]</f>
        <v>11552</v>
      </c>
      <c r="G573">
        <f>VLOOKUP(AvatarMatResID[[#This Row],[AvatarPart]],AvatarPartID[],2,0)</f>
        <v>1</v>
      </c>
      <c r="H573">
        <f>VLOOKUP(AvatarMatResID[[#This Row],[Sex]],SexID[],2,0)</f>
        <v>1</v>
      </c>
      <c r="I573" t="str">
        <f>AvatarMatResID[[#This Row],[Material]]</f>
        <v>Female White Knight 01 White</v>
      </c>
    </row>
    <row r="574" spans="1:9" x14ac:dyDescent="0.15">
      <c r="A574" t="s">
        <v>454</v>
      </c>
      <c r="B574" t="s">
        <v>1920</v>
      </c>
      <c r="C574" t="s">
        <v>969</v>
      </c>
      <c r="D574">
        <v>553</v>
      </c>
      <c r="F574">
        <f>OUTPUTAvatarMatResID[[#This Row],[AvatarPartID]]*10000+OUTPUTAvatarMatResID[[#This Row],[SexID]]*1000+AvatarMatResID[[#This Row],[CountIndex]]</f>
        <v>11553</v>
      </c>
      <c r="G574">
        <f>VLOOKUP(AvatarMatResID[[#This Row],[AvatarPart]],AvatarPartID[],2,0)</f>
        <v>1</v>
      </c>
      <c r="H574">
        <f>VLOOKUP(AvatarMatResID[[#This Row],[Sex]],SexID[],2,0)</f>
        <v>1</v>
      </c>
      <c r="I574" t="str">
        <f>AvatarMatResID[[#This Row],[Material]]</f>
        <v>Female White Knight 02 Black</v>
      </c>
    </row>
    <row r="575" spans="1:9" x14ac:dyDescent="0.15">
      <c r="A575" t="s">
        <v>454</v>
      </c>
      <c r="B575" t="s">
        <v>1920</v>
      </c>
      <c r="C575" t="s">
        <v>970</v>
      </c>
      <c r="D575">
        <v>554</v>
      </c>
      <c r="F575">
        <f>OUTPUTAvatarMatResID[[#This Row],[AvatarPartID]]*10000+OUTPUTAvatarMatResID[[#This Row],[SexID]]*1000+AvatarMatResID[[#This Row],[CountIndex]]</f>
        <v>11554</v>
      </c>
      <c r="G575">
        <f>VLOOKUP(AvatarMatResID[[#This Row],[AvatarPart]],AvatarPartID[],2,0)</f>
        <v>1</v>
      </c>
      <c r="H575">
        <f>VLOOKUP(AvatarMatResID[[#This Row],[Sex]],SexID[],2,0)</f>
        <v>1</v>
      </c>
      <c r="I575" t="str">
        <f>AvatarMatResID[[#This Row],[Material]]</f>
        <v>Female White Knight 02 Blue</v>
      </c>
    </row>
    <row r="576" spans="1:9" x14ac:dyDescent="0.15">
      <c r="A576" t="s">
        <v>454</v>
      </c>
      <c r="B576" t="s">
        <v>1920</v>
      </c>
      <c r="C576" t="s">
        <v>971</v>
      </c>
      <c r="D576">
        <v>555</v>
      </c>
      <c r="F576">
        <f>OUTPUTAvatarMatResID[[#This Row],[AvatarPartID]]*10000+OUTPUTAvatarMatResID[[#This Row],[SexID]]*1000+AvatarMatResID[[#This Row],[CountIndex]]</f>
        <v>11555</v>
      </c>
      <c r="G576">
        <f>VLOOKUP(AvatarMatResID[[#This Row],[AvatarPart]],AvatarPartID[],2,0)</f>
        <v>1</v>
      </c>
      <c r="H576">
        <f>VLOOKUP(AvatarMatResID[[#This Row],[Sex]],SexID[],2,0)</f>
        <v>1</v>
      </c>
      <c r="I576" t="str">
        <f>AvatarMatResID[[#This Row],[Material]]</f>
        <v>Female White Knight 02 Green</v>
      </c>
    </row>
    <row r="577" spans="1:9" x14ac:dyDescent="0.15">
      <c r="A577" t="s">
        <v>454</v>
      </c>
      <c r="B577" t="s">
        <v>1920</v>
      </c>
      <c r="C577" t="s">
        <v>972</v>
      </c>
      <c r="D577">
        <v>556</v>
      </c>
      <c r="F577">
        <f>OUTPUTAvatarMatResID[[#This Row],[AvatarPartID]]*10000+OUTPUTAvatarMatResID[[#This Row],[SexID]]*1000+AvatarMatResID[[#This Row],[CountIndex]]</f>
        <v>11556</v>
      </c>
      <c r="G577">
        <f>VLOOKUP(AvatarMatResID[[#This Row],[AvatarPart]],AvatarPartID[],2,0)</f>
        <v>1</v>
      </c>
      <c r="H577">
        <f>VLOOKUP(AvatarMatResID[[#This Row],[Sex]],SexID[],2,0)</f>
        <v>1</v>
      </c>
      <c r="I577" t="str">
        <f>AvatarMatResID[[#This Row],[Material]]</f>
        <v>Female White Knight 02 Purple</v>
      </c>
    </row>
    <row r="578" spans="1:9" x14ac:dyDescent="0.15">
      <c r="A578" t="s">
        <v>454</v>
      </c>
      <c r="B578" t="s">
        <v>1920</v>
      </c>
      <c r="C578" t="s">
        <v>973</v>
      </c>
      <c r="D578">
        <v>557</v>
      </c>
      <c r="F578">
        <f>OUTPUTAvatarMatResID[[#This Row],[AvatarPartID]]*10000+OUTPUTAvatarMatResID[[#This Row],[SexID]]*1000+AvatarMatResID[[#This Row],[CountIndex]]</f>
        <v>11557</v>
      </c>
      <c r="G578">
        <f>VLOOKUP(AvatarMatResID[[#This Row],[AvatarPart]],AvatarPartID[],2,0)</f>
        <v>1</v>
      </c>
      <c r="H578">
        <f>VLOOKUP(AvatarMatResID[[#This Row],[Sex]],SexID[],2,0)</f>
        <v>1</v>
      </c>
      <c r="I578" t="str">
        <f>AvatarMatResID[[#This Row],[Material]]</f>
        <v>Female White Knight 02 Red</v>
      </c>
    </row>
    <row r="579" spans="1:9" x14ac:dyDescent="0.15">
      <c r="A579" t="s">
        <v>454</v>
      </c>
      <c r="B579" t="s">
        <v>1920</v>
      </c>
      <c r="C579" t="s">
        <v>974</v>
      </c>
      <c r="D579">
        <v>558</v>
      </c>
      <c r="F579">
        <f>OUTPUTAvatarMatResID[[#This Row],[AvatarPartID]]*10000+OUTPUTAvatarMatResID[[#This Row],[SexID]]*1000+AvatarMatResID[[#This Row],[CountIndex]]</f>
        <v>11558</v>
      </c>
      <c r="G579">
        <f>VLOOKUP(AvatarMatResID[[#This Row],[AvatarPart]],AvatarPartID[],2,0)</f>
        <v>1</v>
      </c>
      <c r="H579">
        <f>VLOOKUP(AvatarMatResID[[#This Row],[Sex]],SexID[],2,0)</f>
        <v>1</v>
      </c>
      <c r="I579" t="str">
        <f>AvatarMatResID[[#This Row],[Material]]</f>
        <v>Female White Knight 02 White</v>
      </c>
    </row>
    <row r="580" spans="1:9" x14ac:dyDescent="0.15">
      <c r="A580" t="s">
        <v>454</v>
      </c>
      <c r="B580" t="s">
        <v>1920</v>
      </c>
      <c r="C580" t="s">
        <v>975</v>
      </c>
      <c r="D580">
        <v>559</v>
      </c>
      <c r="F580">
        <f>OUTPUTAvatarMatResID[[#This Row],[AvatarPartID]]*10000+OUTPUTAvatarMatResID[[#This Row],[SexID]]*1000+AvatarMatResID[[#This Row],[CountIndex]]</f>
        <v>11559</v>
      </c>
      <c r="G580">
        <f>VLOOKUP(AvatarMatResID[[#This Row],[AvatarPart]],AvatarPartID[],2,0)</f>
        <v>1</v>
      </c>
      <c r="H580">
        <f>VLOOKUP(AvatarMatResID[[#This Row],[Sex]],SexID[],2,0)</f>
        <v>1</v>
      </c>
      <c r="I580" t="str">
        <f>AvatarMatResID[[#This Row],[Material]]</f>
        <v>Female White Knight 03 Black</v>
      </c>
    </row>
    <row r="581" spans="1:9" x14ac:dyDescent="0.15">
      <c r="A581" t="s">
        <v>454</v>
      </c>
      <c r="B581" t="s">
        <v>1920</v>
      </c>
      <c r="C581" t="s">
        <v>976</v>
      </c>
      <c r="D581">
        <v>560</v>
      </c>
      <c r="F581">
        <f>OUTPUTAvatarMatResID[[#This Row],[AvatarPartID]]*10000+OUTPUTAvatarMatResID[[#This Row],[SexID]]*1000+AvatarMatResID[[#This Row],[CountIndex]]</f>
        <v>11560</v>
      </c>
      <c r="G581">
        <f>VLOOKUP(AvatarMatResID[[#This Row],[AvatarPart]],AvatarPartID[],2,0)</f>
        <v>1</v>
      </c>
      <c r="H581">
        <f>VLOOKUP(AvatarMatResID[[#This Row],[Sex]],SexID[],2,0)</f>
        <v>1</v>
      </c>
      <c r="I581" t="str">
        <f>AvatarMatResID[[#This Row],[Material]]</f>
        <v>Female White Knight 03 Blue</v>
      </c>
    </row>
    <row r="582" spans="1:9" x14ac:dyDescent="0.15">
      <c r="A582" t="s">
        <v>454</v>
      </c>
      <c r="B582" t="s">
        <v>1920</v>
      </c>
      <c r="C582" t="s">
        <v>977</v>
      </c>
      <c r="D582">
        <v>561</v>
      </c>
      <c r="F582">
        <f>OUTPUTAvatarMatResID[[#This Row],[AvatarPartID]]*10000+OUTPUTAvatarMatResID[[#This Row],[SexID]]*1000+AvatarMatResID[[#This Row],[CountIndex]]</f>
        <v>11561</v>
      </c>
      <c r="G582">
        <f>VLOOKUP(AvatarMatResID[[#This Row],[AvatarPart]],AvatarPartID[],2,0)</f>
        <v>1</v>
      </c>
      <c r="H582">
        <f>VLOOKUP(AvatarMatResID[[#This Row],[Sex]],SexID[],2,0)</f>
        <v>1</v>
      </c>
      <c r="I582" t="str">
        <f>AvatarMatResID[[#This Row],[Material]]</f>
        <v>Female White Knight 03 Green</v>
      </c>
    </row>
    <row r="583" spans="1:9" x14ac:dyDescent="0.15">
      <c r="A583" t="s">
        <v>454</v>
      </c>
      <c r="B583" t="s">
        <v>1920</v>
      </c>
      <c r="C583" t="s">
        <v>978</v>
      </c>
      <c r="D583">
        <v>562</v>
      </c>
      <c r="F583">
        <f>OUTPUTAvatarMatResID[[#This Row],[AvatarPartID]]*10000+OUTPUTAvatarMatResID[[#This Row],[SexID]]*1000+AvatarMatResID[[#This Row],[CountIndex]]</f>
        <v>11562</v>
      </c>
      <c r="G583">
        <f>VLOOKUP(AvatarMatResID[[#This Row],[AvatarPart]],AvatarPartID[],2,0)</f>
        <v>1</v>
      </c>
      <c r="H583">
        <f>VLOOKUP(AvatarMatResID[[#This Row],[Sex]],SexID[],2,0)</f>
        <v>1</v>
      </c>
      <c r="I583" t="str">
        <f>AvatarMatResID[[#This Row],[Material]]</f>
        <v>Female White Knight 03 Purple</v>
      </c>
    </row>
    <row r="584" spans="1:9" x14ac:dyDescent="0.15">
      <c r="A584" t="s">
        <v>454</v>
      </c>
      <c r="B584" t="s">
        <v>1920</v>
      </c>
      <c r="C584" t="s">
        <v>979</v>
      </c>
      <c r="D584">
        <v>563</v>
      </c>
      <c r="F584">
        <f>OUTPUTAvatarMatResID[[#This Row],[AvatarPartID]]*10000+OUTPUTAvatarMatResID[[#This Row],[SexID]]*1000+AvatarMatResID[[#This Row],[CountIndex]]</f>
        <v>11563</v>
      </c>
      <c r="G584">
        <f>VLOOKUP(AvatarMatResID[[#This Row],[AvatarPart]],AvatarPartID[],2,0)</f>
        <v>1</v>
      </c>
      <c r="H584">
        <f>VLOOKUP(AvatarMatResID[[#This Row],[Sex]],SexID[],2,0)</f>
        <v>1</v>
      </c>
      <c r="I584" t="str">
        <f>AvatarMatResID[[#This Row],[Material]]</f>
        <v>Female White Knight 03 Red</v>
      </c>
    </row>
    <row r="585" spans="1:9" x14ac:dyDescent="0.15">
      <c r="A585" t="s">
        <v>454</v>
      </c>
      <c r="B585" t="s">
        <v>1920</v>
      </c>
      <c r="C585" t="s">
        <v>980</v>
      </c>
      <c r="D585">
        <v>564</v>
      </c>
      <c r="F585">
        <f>OUTPUTAvatarMatResID[[#This Row],[AvatarPartID]]*10000+OUTPUTAvatarMatResID[[#This Row],[SexID]]*1000+AvatarMatResID[[#This Row],[CountIndex]]</f>
        <v>11564</v>
      </c>
      <c r="G585">
        <f>VLOOKUP(AvatarMatResID[[#This Row],[AvatarPart]],AvatarPartID[],2,0)</f>
        <v>1</v>
      </c>
      <c r="H585">
        <f>VLOOKUP(AvatarMatResID[[#This Row],[Sex]],SexID[],2,0)</f>
        <v>1</v>
      </c>
      <c r="I585" t="str">
        <f>AvatarMatResID[[#This Row],[Material]]</f>
        <v>Female White Knight 03 White</v>
      </c>
    </row>
    <row r="586" spans="1:9" x14ac:dyDescent="0.15">
      <c r="A586" t="s">
        <v>454</v>
      </c>
      <c r="B586" t="s">
        <v>1920</v>
      </c>
      <c r="C586" t="s">
        <v>981</v>
      </c>
      <c r="D586">
        <v>565</v>
      </c>
      <c r="F586">
        <f>OUTPUTAvatarMatResID[[#This Row],[AvatarPartID]]*10000+OUTPUTAvatarMatResID[[#This Row],[SexID]]*1000+AvatarMatResID[[#This Row],[CountIndex]]</f>
        <v>11565</v>
      </c>
      <c r="G586">
        <f>VLOOKUP(AvatarMatResID[[#This Row],[AvatarPart]],AvatarPartID[],2,0)</f>
        <v>1</v>
      </c>
      <c r="H586">
        <f>VLOOKUP(AvatarMatResID[[#This Row],[Sex]],SexID[],2,0)</f>
        <v>1</v>
      </c>
      <c r="I586" t="str">
        <f>AvatarMatResID[[#This Row],[Material]]</f>
        <v>Female White Knight 04 Black</v>
      </c>
    </row>
    <row r="587" spans="1:9" x14ac:dyDescent="0.15">
      <c r="A587" t="s">
        <v>454</v>
      </c>
      <c r="B587" t="s">
        <v>1920</v>
      </c>
      <c r="C587" t="s">
        <v>982</v>
      </c>
      <c r="D587">
        <v>566</v>
      </c>
      <c r="F587">
        <f>OUTPUTAvatarMatResID[[#This Row],[AvatarPartID]]*10000+OUTPUTAvatarMatResID[[#This Row],[SexID]]*1000+AvatarMatResID[[#This Row],[CountIndex]]</f>
        <v>11566</v>
      </c>
      <c r="G587">
        <f>VLOOKUP(AvatarMatResID[[#This Row],[AvatarPart]],AvatarPartID[],2,0)</f>
        <v>1</v>
      </c>
      <c r="H587">
        <f>VLOOKUP(AvatarMatResID[[#This Row],[Sex]],SexID[],2,0)</f>
        <v>1</v>
      </c>
      <c r="I587" t="str">
        <f>AvatarMatResID[[#This Row],[Material]]</f>
        <v>Female White Knight 04 Blue</v>
      </c>
    </row>
    <row r="588" spans="1:9" x14ac:dyDescent="0.15">
      <c r="A588" t="s">
        <v>454</v>
      </c>
      <c r="B588" t="s">
        <v>1920</v>
      </c>
      <c r="C588" t="s">
        <v>983</v>
      </c>
      <c r="D588">
        <v>567</v>
      </c>
      <c r="F588">
        <f>OUTPUTAvatarMatResID[[#This Row],[AvatarPartID]]*10000+OUTPUTAvatarMatResID[[#This Row],[SexID]]*1000+AvatarMatResID[[#This Row],[CountIndex]]</f>
        <v>11567</v>
      </c>
      <c r="G588">
        <f>VLOOKUP(AvatarMatResID[[#This Row],[AvatarPart]],AvatarPartID[],2,0)</f>
        <v>1</v>
      </c>
      <c r="H588">
        <f>VLOOKUP(AvatarMatResID[[#This Row],[Sex]],SexID[],2,0)</f>
        <v>1</v>
      </c>
      <c r="I588" t="str">
        <f>AvatarMatResID[[#This Row],[Material]]</f>
        <v>Female White Knight 04 Green</v>
      </c>
    </row>
    <row r="589" spans="1:9" x14ac:dyDescent="0.15">
      <c r="A589" t="s">
        <v>454</v>
      </c>
      <c r="B589" t="s">
        <v>1920</v>
      </c>
      <c r="C589" t="s">
        <v>984</v>
      </c>
      <c r="D589">
        <v>568</v>
      </c>
      <c r="F589">
        <f>OUTPUTAvatarMatResID[[#This Row],[AvatarPartID]]*10000+OUTPUTAvatarMatResID[[#This Row],[SexID]]*1000+AvatarMatResID[[#This Row],[CountIndex]]</f>
        <v>11568</v>
      </c>
      <c r="G589">
        <f>VLOOKUP(AvatarMatResID[[#This Row],[AvatarPart]],AvatarPartID[],2,0)</f>
        <v>1</v>
      </c>
      <c r="H589">
        <f>VLOOKUP(AvatarMatResID[[#This Row],[Sex]],SexID[],2,0)</f>
        <v>1</v>
      </c>
      <c r="I589" t="str">
        <f>AvatarMatResID[[#This Row],[Material]]</f>
        <v>Female White Knight 04 Magenta</v>
      </c>
    </row>
    <row r="590" spans="1:9" x14ac:dyDescent="0.15">
      <c r="A590" t="s">
        <v>454</v>
      </c>
      <c r="B590" t="s">
        <v>1920</v>
      </c>
      <c r="C590" t="s">
        <v>985</v>
      </c>
      <c r="D590">
        <v>569</v>
      </c>
      <c r="F590">
        <f>OUTPUTAvatarMatResID[[#This Row],[AvatarPartID]]*10000+OUTPUTAvatarMatResID[[#This Row],[SexID]]*1000+AvatarMatResID[[#This Row],[CountIndex]]</f>
        <v>11569</v>
      </c>
      <c r="G590">
        <f>VLOOKUP(AvatarMatResID[[#This Row],[AvatarPart]],AvatarPartID[],2,0)</f>
        <v>1</v>
      </c>
      <c r="H590">
        <f>VLOOKUP(AvatarMatResID[[#This Row],[Sex]],SexID[],2,0)</f>
        <v>1</v>
      </c>
      <c r="I590" t="str">
        <f>AvatarMatResID[[#This Row],[Material]]</f>
        <v>Female White Knight 04 Purple</v>
      </c>
    </row>
    <row r="591" spans="1:9" x14ac:dyDescent="0.15">
      <c r="A591" t="s">
        <v>454</v>
      </c>
      <c r="B591" t="s">
        <v>1920</v>
      </c>
      <c r="C591" t="s">
        <v>986</v>
      </c>
      <c r="D591">
        <v>570</v>
      </c>
      <c r="F591">
        <f>OUTPUTAvatarMatResID[[#This Row],[AvatarPartID]]*10000+OUTPUTAvatarMatResID[[#This Row],[SexID]]*1000+AvatarMatResID[[#This Row],[CountIndex]]</f>
        <v>11570</v>
      </c>
      <c r="G591">
        <f>VLOOKUP(AvatarMatResID[[#This Row],[AvatarPart]],AvatarPartID[],2,0)</f>
        <v>1</v>
      </c>
      <c r="H591">
        <f>VLOOKUP(AvatarMatResID[[#This Row],[Sex]],SexID[],2,0)</f>
        <v>1</v>
      </c>
      <c r="I591" t="str">
        <f>AvatarMatResID[[#This Row],[Material]]</f>
        <v>Female White Knight 04 Red</v>
      </c>
    </row>
    <row r="592" spans="1:9" x14ac:dyDescent="0.15">
      <c r="A592" t="s">
        <v>454</v>
      </c>
      <c r="B592" t="s">
        <v>1920</v>
      </c>
      <c r="C592" t="s">
        <v>987</v>
      </c>
      <c r="D592">
        <v>571</v>
      </c>
      <c r="F592">
        <f>OUTPUTAvatarMatResID[[#This Row],[AvatarPartID]]*10000+OUTPUTAvatarMatResID[[#This Row],[SexID]]*1000+AvatarMatResID[[#This Row],[CountIndex]]</f>
        <v>11571</v>
      </c>
      <c r="G592">
        <f>VLOOKUP(AvatarMatResID[[#This Row],[AvatarPart]],AvatarPartID[],2,0)</f>
        <v>1</v>
      </c>
      <c r="H592">
        <f>VLOOKUP(AvatarMatResID[[#This Row],[Sex]],SexID[],2,0)</f>
        <v>1</v>
      </c>
      <c r="I592" t="str">
        <f>AvatarMatResID[[#This Row],[Material]]</f>
        <v>Female White Knight 04 White</v>
      </c>
    </row>
    <row r="593" spans="1:9" x14ac:dyDescent="0.15">
      <c r="A593" t="s">
        <v>454</v>
      </c>
      <c r="B593" t="s">
        <v>1920</v>
      </c>
      <c r="C593" t="s">
        <v>988</v>
      </c>
      <c r="D593">
        <v>572</v>
      </c>
      <c r="F593">
        <f>OUTPUTAvatarMatResID[[#This Row],[AvatarPartID]]*10000+OUTPUTAvatarMatResID[[#This Row],[SexID]]*1000+AvatarMatResID[[#This Row],[CountIndex]]</f>
        <v>11572</v>
      </c>
      <c r="G593">
        <f>VLOOKUP(AvatarMatResID[[#This Row],[AvatarPart]],AvatarPartID[],2,0)</f>
        <v>1</v>
      </c>
      <c r="H593">
        <f>VLOOKUP(AvatarMatResID[[#This Row],[Sex]],SexID[],2,0)</f>
        <v>1</v>
      </c>
      <c r="I593" t="str">
        <f>AvatarMatResID[[#This Row],[Material]]</f>
        <v>Female White Knight 04 Yellow</v>
      </c>
    </row>
    <row r="594" spans="1:9" x14ac:dyDescent="0.15">
      <c r="A594" t="s">
        <v>454</v>
      </c>
      <c r="B594" t="s">
        <v>1920</v>
      </c>
      <c r="C594" t="s">
        <v>989</v>
      </c>
      <c r="D594">
        <v>573</v>
      </c>
      <c r="F594">
        <f>OUTPUTAvatarMatResID[[#This Row],[AvatarPartID]]*10000+OUTPUTAvatarMatResID[[#This Row],[SexID]]*1000+AvatarMatResID[[#This Row],[CountIndex]]</f>
        <v>11573</v>
      </c>
      <c r="G594">
        <f>VLOOKUP(AvatarMatResID[[#This Row],[AvatarPart]],AvatarPartID[],2,0)</f>
        <v>1</v>
      </c>
      <c r="H594">
        <f>VLOOKUP(AvatarMatResID[[#This Row],[Sex]],SexID[],2,0)</f>
        <v>1</v>
      </c>
      <c r="I594" t="str">
        <f>AvatarMatResID[[#This Row],[Material]]</f>
        <v>Female White Knight 05 Black</v>
      </c>
    </row>
    <row r="595" spans="1:9" x14ac:dyDescent="0.15">
      <c r="A595" t="s">
        <v>454</v>
      </c>
      <c r="B595" t="s">
        <v>1920</v>
      </c>
      <c r="C595" t="s">
        <v>990</v>
      </c>
      <c r="D595">
        <v>574</v>
      </c>
      <c r="F595">
        <f>OUTPUTAvatarMatResID[[#This Row],[AvatarPartID]]*10000+OUTPUTAvatarMatResID[[#This Row],[SexID]]*1000+AvatarMatResID[[#This Row],[CountIndex]]</f>
        <v>11574</v>
      </c>
      <c r="G595">
        <f>VLOOKUP(AvatarMatResID[[#This Row],[AvatarPart]],AvatarPartID[],2,0)</f>
        <v>1</v>
      </c>
      <c r="H595">
        <f>VLOOKUP(AvatarMatResID[[#This Row],[Sex]],SexID[],2,0)</f>
        <v>1</v>
      </c>
      <c r="I595" t="str">
        <f>AvatarMatResID[[#This Row],[Material]]</f>
        <v>Female White Knight 05 Blue</v>
      </c>
    </row>
    <row r="596" spans="1:9" x14ac:dyDescent="0.15">
      <c r="A596" t="s">
        <v>454</v>
      </c>
      <c r="B596" t="s">
        <v>1920</v>
      </c>
      <c r="C596" t="s">
        <v>991</v>
      </c>
      <c r="D596">
        <v>575</v>
      </c>
      <c r="F596">
        <f>OUTPUTAvatarMatResID[[#This Row],[AvatarPartID]]*10000+OUTPUTAvatarMatResID[[#This Row],[SexID]]*1000+AvatarMatResID[[#This Row],[CountIndex]]</f>
        <v>11575</v>
      </c>
      <c r="G596">
        <f>VLOOKUP(AvatarMatResID[[#This Row],[AvatarPart]],AvatarPartID[],2,0)</f>
        <v>1</v>
      </c>
      <c r="H596">
        <f>VLOOKUP(AvatarMatResID[[#This Row],[Sex]],SexID[],2,0)</f>
        <v>1</v>
      </c>
      <c r="I596" t="str">
        <f>AvatarMatResID[[#This Row],[Material]]</f>
        <v>Female White Knight 05 Green</v>
      </c>
    </row>
    <row r="597" spans="1:9" x14ac:dyDescent="0.15">
      <c r="A597" t="s">
        <v>454</v>
      </c>
      <c r="B597" t="s">
        <v>1920</v>
      </c>
      <c r="C597" t="s">
        <v>992</v>
      </c>
      <c r="D597">
        <v>576</v>
      </c>
      <c r="F597">
        <f>OUTPUTAvatarMatResID[[#This Row],[AvatarPartID]]*10000+OUTPUTAvatarMatResID[[#This Row],[SexID]]*1000+AvatarMatResID[[#This Row],[CountIndex]]</f>
        <v>11576</v>
      </c>
      <c r="G597">
        <f>VLOOKUP(AvatarMatResID[[#This Row],[AvatarPart]],AvatarPartID[],2,0)</f>
        <v>1</v>
      </c>
      <c r="H597">
        <f>VLOOKUP(AvatarMatResID[[#This Row],[Sex]],SexID[],2,0)</f>
        <v>1</v>
      </c>
      <c r="I597" t="str">
        <f>AvatarMatResID[[#This Row],[Material]]</f>
        <v>Female White Knight 05 Magenta</v>
      </c>
    </row>
    <row r="598" spans="1:9" x14ac:dyDescent="0.15">
      <c r="A598" t="s">
        <v>454</v>
      </c>
      <c r="B598" t="s">
        <v>1920</v>
      </c>
      <c r="C598" t="s">
        <v>993</v>
      </c>
      <c r="D598">
        <v>577</v>
      </c>
      <c r="F598">
        <f>OUTPUTAvatarMatResID[[#This Row],[AvatarPartID]]*10000+OUTPUTAvatarMatResID[[#This Row],[SexID]]*1000+AvatarMatResID[[#This Row],[CountIndex]]</f>
        <v>11577</v>
      </c>
      <c r="G598">
        <f>VLOOKUP(AvatarMatResID[[#This Row],[AvatarPart]],AvatarPartID[],2,0)</f>
        <v>1</v>
      </c>
      <c r="H598">
        <f>VLOOKUP(AvatarMatResID[[#This Row],[Sex]],SexID[],2,0)</f>
        <v>1</v>
      </c>
      <c r="I598" t="str">
        <f>AvatarMatResID[[#This Row],[Material]]</f>
        <v>Female White Knight 05 Purple</v>
      </c>
    </row>
    <row r="599" spans="1:9" x14ac:dyDescent="0.15">
      <c r="A599" t="s">
        <v>454</v>
      </c>
      <c r="B599" t="s">
        <v>1920</v>
      </c>
      <c r="C599" t="s">
        <v>994</v>
      </c>
      <c r="D599">
        <v>578</v>
      </c>
      <c r="F599">
        <f>OUTPUTAvatarMatResID[[#This Row],[AvatarPartID]]*10000+OUTPUTAvatarMatResID[[#This Row],[SexID]]*1000+AvatarMatResID[[#This Row],[CountIndex]]</f>
        <v>11578</v>
      </c>
      <c r="G599">
        <f>VLOOKUP(AvatarMatResID[[#This Row],[AvatarPart]],AvatarPartID[],2,0)</f>
        <v>1</v>
      </c>
      <c r="H599">
        <f>VLOOKUP(AvatarMatResID[[#This Row],[Sex]],SexID[],2,0)</f>
        <v>1</v>
      </c>
      <c r="I599" t="str">
        <f>AvatarMatResID[[#This Row],[Material]]</f>
        <v>Female White Knight 05 Red</v>
      </c>
    </row>
    <row r="600" spans="1:9" x14ac:dyDescent="0.15">
      <c r="A600" t="s">
        <v>454</v>
      </c>
      <c r="B600" t="s">
        <v>1920</v>
      </c>
      <c r="C600" t="s">
        <v>995</v>
      </c>
      <c r="D600">
        <v>579</v>
      </c>
      <c r="F600">
        <f>OUTPUTAvatarMatResID[[#This Row],[AvatarPartID]]*10000+OUTPUTAvatarMatResID[[#This Row],[SexID]]*1000+AvatarMatResID[[#This Row],[CountIndex]]</f>
        <v>11579</v>
      </c>
      <c r="G600">
        <f>VLOOKUP(AvatarMatResID[[#This Row],[AvatarPart]],AvatarPartID[],2,0)</f>
        <v>1</v>
      </c>
      <c r="H600">
        <f>VLOOKUP(AvatarMatResID[[#This Row],[Sex]],SexID[],2,0)</f>
        <v>1</v>
      </c>
      <c r="I600" t="str">
        <f>AvatarMatResID[[#This Row],[Material]]</f>
        <v>Female White Knight 05 White</v>
      </c>
    </row>
    <row r="601" spans="1:9" x14ac:dyDescent="0.15">
      <c r="A601" t="s">
        <v>454</v>
      </c>
      <c r="B601" t="s">
        <v>1920</v>
      </c>
      <c r="C601" t="s">
        <v>996</v>
      </c>
      <c r="D601">
        <v>580</v>
      </c>
      <c r="F601">
        <f>OUTPUTAvatarMatResID[[#This Row],[AvatarPartID]]*10000+OUTPUTAvatarMatResID[[#This Row],[SexID]]*1000+AvatarMatResID[[#This Row],[CountIndex]]</f>
        <v>11580</v>
      </c>
      <c r="G601">
        <f>VLOOKUP(AvatarMatResID[[#This Row],[AvatarPart]],AvatarPartID[],2,0)</f>
        <v>1</v>
      </c>
      <c r="H601">
        <f>VLOOKUP(AvatarMatResID[[#This Row],[Sex]],SexID[],2,0)</f>
        <v>1</v>
      </c>
      <c r="I601" t="str">
        <f>AvatarMatResID[[#This Row],[Material]]</f>
        <v>Female White Knight 05 Yellow</v>
      </c>
    </row>
    <row r="602" spans="1:9" x14ac:dyDescent="0.15">
      <c r="A602" t="s">
        <v>454</v>
      </c>
      <c r="B602" t="s">
        <v>1920</v>
      </c>
      <c r="C602" t="s">
        <v>997</v>
      </c>
      <c r="D602">
        <v>581</v>
      </c>
      <c r="F602">
        <f>OUTPUTAvatarMatResID[[#This Row],[AvatarPartID]]*10000+OUTPUTAvatarMatResID[[#This Row],[SexID]]*1000+AvatarMatResID[[#This Row],[CountIndex]]</f>
        <v>11581</v>
      </c>
      <c r="G602">
        <f>VLOOKUP(AvatarMatResID[[#This Row],[AvatarPart]],AvatarPartID[],2,0)</f>
        <v>1</v>
      </c>
      <c r="H602">
        <f>VLOOKUP(AvatarMatResID[[#This Row],[Sex]],SexID[],2,0)</f>
        <v>1</v>
      </c>
      <c r="I602" t="str">
        <f>AvatarMatResID[[#This Row],[Material]]</f>
        <v>Female White Knight 06 Black</v>
      </c>
    </row>
    <row r="603" spans="1:9" x14ac:dyDescent="0.15">
      <c r="A603" t="s">
        <v>454</v>
      </c>
      <c r="B603" t="s">
        <v>1920</v>
      </c>
      <c r="C603" t="s">
        <v>998</v>
      </c>
      <c r="D603">
        <v>582</v>
      </c>
      <c r="F603">
        <f>OUTPUTAvatarMatResID[[#This Row],[AvatarPartID]]*10000+OUTPUTAvatarMatResID[[#This Row],[SexID]]*1000+AvatarMatResID[[#This Row],[CountIndex]]</f>
        <v>11582</v>
      </c>
      <c r="G603">
        <f>VLOOKUP(AvatarMatResID[[#This Row],[AvatarPart]],AvatarPartID[],2,0)</f>
        <v>1</v>
      </c>
      <c r="H603">
        <f>VLOOKUP(AvatarMatResID[[#This Row],[Sex]],SexID[],2,0)</f>
        <v>1</v>
      </c>
      <c r="I603" t="str">
        <f>AvatarMatResID[[#This Row],[Material]]</f>
        <v>Female White Knight 06 Blue</v>
      </c>
    </row>
    <row r="604" spans="1:9" x14ac:dyDescent="0.15">
      <c r="A604" t="s">
        <v>454</v>
      </c>
      <c r="B604" t="s">
        <v>1920</v>
      </c>
      <c r="C604" t="s">
        <v>999</v>
      </c>
      <c r="D604">
        <v>583</v>
      </c>
      <c r="F604">
        <f>OUTPUTAvatarMatResID[[#This Row],[AvatarPartID]]*10000+OUTPUTAvatarMatResID[[#This Row],[SexID]]*1000+AvatarMatResID[[#This Row],[CountIndex]]</f>
        <v>11583</v>
      </c>
      <c r="G604">
        <f>VLOOKUP(AvatarMatResID[[#This Row],[AvatarPart]],AvatarPartID[],2,0)</f>
        <v>1</v>
      </c>
      <c r="H604">
        <f>VLOOKUP(AvatarMatResID[[#This Row],[Sex]],SexID[],2,0)</f>
        <v>1</v>
      </c>
      <c r="I604" t="str">
        <f>AvatarMatResID[[#This Row],[Material]]</f>
        <v>Female White Knight 06 Green</v>
      </c>
    </row>
    <row r="605" spans="1:9" x14ac:dyDescent="0.15">
      <c r="A605" t="s">
        <v>454</v>
      </c>
      <c r="B605" t="s">
        <v>1920</v>
      </c>
      <c r="C605" t="s">
        <v>1000</v>
      </c>
      <c r="D605">
        <v>584</v>
      </c>
      <c r="F605">
        <f>OUTPUTAvatarMatResID[[#This Row],[AvatarPartID]]*10000+OUTPUTAvatarMatResID[[#This Row],[SexID]]*1000+AvatarMatResID[[#This Row],[CountIndex]]</f>
        <v>11584</v>
      </c>
      <c r="G605">
        <f>VLOOKUP(AvatarMatResID[[#This Row],[AvatarPart]],AvatarPartID[],2,0)</f>
        <v>1</v>
      </c>
      <c r="H605">
        <f>VLOOKUP(AvatarMatResID[[#This Row],[Sex]],SexID[],2,0)</f>
        <v>1</v>
      </c>
      <c r="I605" t="str">
        <f>AvatarMatResID[[#This Row],[Material]]</f>
        <v>Female White Knight 06 Magenta</v>
      </c>
    </row>
    <row r="606" spans="1:9" x14ac:dyDescent="0.15">
      <c r="A606" t="s">
        <v>454</v>
      </c>
      <c r="B606" t="s">
        <v>1920</v>
      </c>
      <c r="C606" t="s">
        <v>1001</v>
      </c>
      <c r="D606">
        <v>585</v>
      </c>
      <c r="F606">
        <f>OUTPUTAvatarMatResID[[#This Row],[AvatarPartID]]*10000+OUTPUTAvatarMatResID[[#This Row],[SexID]]*1000+AvatarMatResID[[#This Row],[CountIndex]]</f>
        <v>11585</v>
      </c>
      <c r="G606">
        <f>VLOOKUP(AvatarMatResID[[#This Row],[AvatarPart]],AvatarPartID[],2,0)</f>
        <v>1</v>
      </c>
      <c r="H606">
        <f>VLOOKUP(AvatarMatResID[[#This Row],[Sex]],SexID[],2,0)</f>
        <v>1</v>
      </c>
      <c r="I606" t="str">
        <f>AvatarMatResID[[#This Row],[Material]]</f>
        <v>Female White Knight 06 Purple</v>
      </c>
    </row>
    <row r="607" spans="1:9" x14ac:dyDescent="0.15">
      <c r="A607" t="s">
        <v>454</v>
      </c>
      <c r="B607" t="s">
        <v>1920</v>
      </c>
      <c r="C607" t="s">
        <v>1002</v>
      </c>
      <c r="D607">
        <v>586</v>
      </c>
      <c r="F607">
        <f>OUTPUTAvatarMatResID[[#This Row],[AvatarPartID]]*10000+OUTPUTAvatarMatResID[[#This Row],[SexID]]*1000+AvatarMatResID[[#This Row],[CountIndex]]</f>
        <v>11586</v>
      </c>
      <c r="G607">
        <f>VLOOKUP(AvatarMatResID[[#This Row],[AvatarPart]],AvatarPartID[],2,0)</f>
        <v>1</v>
      </c>
      <c r="H607">
        <f>VLOOKUP(AvatarMatResID[[#This Row],[Sex]],SexID[],2,0)</f>
        <v>1</v>
      </c>
      <c r="I607" t="str">
        <f>AvatarMatResID[[#This Row],[Material]]</f>
        <v>Female White Knight 06 Red</v>
      </c>
    </row>
    <row r="608" spans="1:9" x14ac:dyDescent="0.15">
      <c r="A608" t="s">
        <v>454</v>
      </c>
      <c r="B608" t="s">
        <v>1920</v>
      </c>
      <c r="C608" t="s">
        <v>1003</v>
      </c>
      <c r="D608">
        <v>587</v>
      </c>
      <c r="F608">
        <f>OUTPUTAvatarMatResID[[#This Row],[AvatarPartID]]*10000+OUTPUTAvatarMatResID[[#This Row],[SexID]]*1000+AvatarMatResID[[#This Row],[CountIndex]]</f>
        <v>11587</v>
      </c>
      <c r="G608">
        <f>VLOOKUP(AvatarMatResID[[#This Row],[AvatarPart]],AvatarPartID[],2,0)</f>
        <v>1</v>
      </c>
      <c r="H608">
        <f>VLOOKUP(AvatarMatResID[[#This Row],[Sex]],SexID[],2,0)</f>
        <v>1</v>
      </c>
      <c r="I608" t="str">
        <f>AvatarMatResID[[#This Row],[Material]]</f>
        <v>Female White Knight 06 White</v>
      </c>
    </row>
    <row r="609" spans="1:9" x14ac:dyDescent="0.15">
      <c r="A609" t="s">
        <v>454</v>
      </c>
      <c r="B609" t="s">
        <v>1920</v>
      </c>
      <c r="C609" t="s">
        <v>1004</v>
      </c>
      <c r="D609">
        <v>588</v>
      </c>
      <c r="F609">
        <f>OUTPUTAvatarMatResID[[#This Row],[AvatarPartID]]*10000+OUTPUTAvatarMatResID[[#This Row],[SexID]]*1000+AvatarMatResID[[#This Row],[CountIndex]]</f>
        <v>11588</v>
      </c>
      <c r="G609">
        <f>VLOOKUP(AvatarMatResID[[#This Row],[AvatarPart]],AvatarPartID[],2,0)</f>
        <v>1</v>
      </c>
      <c r="H609">
        <f>VLOOKUP(AvatarMatResID[[#This Row],[Sex]],SexID[],2,0)</f>
        <v>1</v>
      </c>
      <c r="I609" t="str">
        <f>AvatarMatResID[[#This Row],[Material]]</f>
        <v>Female White Knight 06 Yellow</v>
      </c>
    </row>
    <row r="610" spans="1:9" x14ac:dyDescent="0.15">
      <c r="A610" t="s">
        <v>454</v>
      </c>
      <c r="B610" t="s">
        <v>1920</v>
      </c>
      <c r="C610" t="s">
        <v>1766</v>
      </c>
      <c r="D610">
        <v>589</v>
      </c>
      <c r="F610">
        <f>OUTPUTAvatarMatResID[[#This Row],[AvatarPartID]]*10000+OUTPUTAvatarMatResID[[#This Row],[SexID]]*1000+AvatarMatResID[[#This Row],[CountIndex]]</f>
        <v>11589</v>
      </c>
      <c r="G610">
        <f>VLOOKUP(AvatarMatResID[[#This Row],[AvatarPart]],AvatarPartID[],2,0)</f>
        <v>1</v>
      </c>
      <c r="H610">
        <f>VLOOKUP(AvatarMatResID[[#This Row],[Sex]],SexID[],2,0)</f>
        <v>1</v>
      </c>
      <c r="I610" t="str">
        <f>AvatarMatResID[[#This Row],[Material]]</f>
        <v>Female White L Dress 01 Blue</v>
      </c>
    </row>
    <row r="611" spans="1:9" x14ac:dyDescent="0.15">
      <c r="A611" t="s">
        <v>454</v>
      </c>
      <c r="B611" t="s">
        <v>1920</v>
      </c>
      <c r="C611" t="s">
        <v>1767</v>
      </c>
      <c r="D611">
        <v>590</v>
      </c>
      <c r="F611">
        <f>OUTPUTAvatarMatResID[[#This Row],[AvatarPartID]]*10000+OUTPUTAvatarMatResID[[#This Row],[SexID]]*1000+AvatarMatResID[[#This Row],[CountIndex]]</f>
        <v>11590</v>
      </c>
      <c r="G611">
        <f>VLOOKUP(AvatarMatResID[[#This Row],[AvatarPart]],AvatarPartID[],2,0)</f>
        <v>1</v>
      </c>
      <c r="H611">
        <f>VLOOKUP(AvatarMatResID[[#This Row],[Sex]],SexID[],2,0)</f>
        <v>1</v>
      </c>
      <c r="I611" t="str">
        <f>AvatarMatResID[[#This Row],[Material]]</f>
        <v>Female White L Dress 01 Brown</v>
      </c>
    </row>
    <row r="612" spans="1:9" x14ac:dyDescent="0.15">
      <c r="A612" t="s">
        <v>454</v>
      </c>
      <c r="B612" t="s">
        <v>1920</v>
      </c>
      <c r="C612" t="s">
        <v>1768</v>
      </c>
      <c r="D612">
        <v>591</v>
      </c>
      <c r="F612">
        <f>OUTPUTAvatarMatResID[[#This Row],[AvatarPartID]]*10000+OUTPUTAvatarMatResID[[#This Row],[SexID]]*1000+AvatarMatResID[[#This Row],[CountIndex]]</f>
        <v>11591</v>
      </c>
      <c r="G612">
        <f>VLOOKUP(AvatarMatResID[[#This Row],[AvatarPart]],AvatarPartID[],2,0)</f>
        <v>1</v>
      </c>
      <c r="H612">
        <f>VLOOKUP(AvatarMatResID[[#This Row],[Sex]],SexID[],2,0)</f>
        <v>1</v>
      </c>
      <c r="I612" t="str">
        <f>AvatarMatResID[[#This Row],[Material]]</f>
        <v>Female White L Dress 01 Green</v>
      </c>
    </row>
    <row r="613" spans="1:9" x14ac:dyDescent="0.15">
      <c r="A613" t="s">
        <v>454</v>
      </c>
      <c r="B613" t="s">
        <v>1920</v>
      </c>
      <c r="C613" t="s">
        <v>1769</v>
      </c>
      <c r="D613">
        <v>592</v>
      </c>
      <c r="F613">
        <f>OUTPUTAvatarMatResID[[#This Row],[AvatarPartID]]*10000+OUTPUTAvatarMatResID[[#This Row],[SexID]]*1000+AvatarMatResID[[#This Row],[CountIndex]]</f>
        <v>11592</v>
      </c>
      <c r="G613">
        <f>VLOOKUP(AvatarMatResID[[#This Row],[AvatarPart]],AvatarPartID[],2,0)</f>
        <v>1</v>
      </c>
      <c r="H613">
        <f>VLOOKUP(AvatarMatResID[[#This Row],[Sex]],SexID[],2,0)</f>
        <v>1</v>
      </c>
      <c r="I613" t="str">
        <f>AvatarMatResID[[#This Row],[Material]]</f>
        <v>Female White L Dress 01 Purple</v>
      </c>
    </row>
    <row r="614" spans="1:9" x14ac:dyDescent="0.15">
      <c r="A614" t="s">
        <v>454</v>
      </c>
      <c r="B614" t="s">
        <v>1920</v>
      </c>
      <c r="C614" t="s">
        <v>1770</v>
      </c>
      <c r="D614">
        <v>593</v>
      </c>
      <c r="F614">
        <f>OUTPUTAvatarMatResID[[#This Row],[AvatarPartID]]*10000+OUTPUTAvatarMatResID[[#This Row],[SexID]]*1000+AvatarMatResID[[#This Row],[CountIndex]]</f>
        <v>11593</v>
      </c>
      <c r="G614">
        <f>VLOOKUP(AvatarMatResID[[#This Row],[AvatarPart]],AvatarPartID[],2,0)</f>
        <v>1</v>
      </c>
      <c r="H614">
        <f>VLOOKUP(AvatarMatResID[[#This Row],[Sex]],SexID[],2,0)</f>
        <v>1</v>
      </c>
      <c r="I614" t="str">
        <f>AvatarMatResID[[#This Row],[Material]]</f>
        <v>Female White L Dress 01 Red</v>
      </c>
    </row>
    <row r="615" spans="1:9" x14ac:dyDescent="0.15">
      <c r="A615" t="s">
        <v>454</v>
      </c>
      <c r="B615" t="s">
        <v>1920</v>
      </c>
      <c r="C615" t="s">
        <v>1771</v>
      </c>
      <c r="D615">
        <v>594</v>
      </c>
      <c r="F615">
        <f>OUTPUTAvatarMatResID[[#This Row],[AvatarPartID]]*10000+OUTPUTAvatarMatResID[[#This Row],[SexID]]*1000+AvatarMatResID[[#This Row],[CountIndex]]</f>
        <v>11594</v>
      </c>
      <c r="G615">
        <f>VLOOKUP(AvatarMatResID[[#This Row],[AvatarPart]],AvatarPartID[],2,0)</f>
        <v>1</v>
      </c>
      <c r="H615">
        <f>VLOOKUP(AvatarMatResID[[#This Row],[Sex]],SexID[],2,0)</f>
        <v>1</v>
      </c>
      <c r="I615" t="str">
        <f>AvatarMatResID[[#This Row],[Material]]</f>
        <v>Female White L Dress 02 Blue</v>
      </c>
    </row>
    <row r="616" spans="1:9" x14ac:dyDescent="0.15">
      <c r="A616" t="s">
        <v>454</v>
      </c>
      <c r="B616" t="s">
        <v>1920</v>
      </c>
      <c r="C616" t="s">
        <v>1772</v>
      </c>
      <c r="D616">
        <v>595</v>
      </c>
      <c r="F616">
        <f>OUTPUTAvatarMatResID[[#This Row],[AvatarPartID]]*10000+OUTPUTAvatarMatResID[[#This Row],[SexID]]*1000+AvatarMatResID[[#This Row],[CountIndex]]</f>
        <v>11595</v>
      </c>
      <c r="G616">
        <f>VLOOKUP(AvatarMatResID[[#This Row],[AvatarPart]],AvatarPartID[],2,0)</f>
        <v>1</v>
      </c>
      <c r="H616">
        <f>VLOOKUP(AvatarMatResID[[#This Row],[Sex]],SexID[],2,0)</f>
        <v>1</v>
      </c>
      <c r="I616" t="str">
        <f>AvatarMatResID[[#This Row],[Material]]</f>
        <v>Female White L Dress 02 Brown</v>
      </c>
    </row>
    <row r="617" spans="1:9" x14ac:dyDescent="0.15">
      <c r="A617" t="s">
        <v>454</v>
      </c>
      <c r="B617" t="s">
        <v>1920</v>
      </c>
      <c r="C617" t="s">
        <v>1773</v>
      </c>
      <c r="D617">
        <v>596</v>
      </c>
      <c r="F617">
        <f>OUTPUTAvatarMatResID[[#This Row],[AvatarPartID]]*10000+OUTPUTAvatarMatResID[[#This Row],[SexID]]*1000+AvatarMatResID[[#This Row],[CountIndex]]</f>
        <v>11596</v>
      </c>
      <c r="G617">
        <f>VLOOKUP(AvatarMatResID[[#This Row],[AvatarPart]],AvatarPartID[],2,0)</f>
        <v>1</v>
      </c>
      <c r="H617">
        <f>VLOOKUP(AvatarMatResID[[#This Row],[Sex]],SexID[],2,0)</f>
        <v>1</v>
      </c>
      <c r="I617" t="str">
        <f>AvatarMatResID[[#This Row],[Material]]</f>
        <v>Female White L Dress 02 Green</v>
      </c>
    </row>
    <row r="618" spans="1:9" x14ac:dyDescent="0.15">
      <c r="A618" t="s">
        <v>454</v>
      </c>
      <c r="B618" t="s">
        <v>1920</v>
      </c>
      <c r="C618" t="s">
        <v>1774</v>
      </c>
      <c r="D618">
        <v>597</v>
      </c>
      <c r="F618">
        <f>OUTPUTAvatarMatResID[[#This Row],[AvatarPartID]]*10000+OUTPUTAvatarMatResID[[#This Row],[SexID]]*1000+AvatarMatResID[[#This Row],[CountIndex]]</f>
        <v>11597</v>
      </c>
      <c r="G618">
        <f>VLOOKUP(AvatarMatResID[[#This Row],[AvatarPart]],AvatarPartID[],2,0)</f>
        <v>1</v>
      </c>
      <c r="H618">
        <f>VLOOKUP(AvatarMatResID[[#This Row],[Sex]],SexID[],2,0)</f>
        <v>1</v>
      </c>
      <c r="I618" t="str">
        <f>AvatarMatResID[[#This Row],[Material]]</f>
        <v>Female White L Dress 02 Purple</v>
      </c>
    </row>
    <row r="619" spans="1:9" x14ac:dyDescent="0.15">
      <c r="A619" t="s">
        <v>454</v>
      </c>
      <c r="B619" t="s">
        <v>1920</v>
      </c>
      <c r="C619" t="s">
        <v>1775</v>
      </c>
      <c r="D619">
        <v>598</v>
      </c>
      <c r="F619">
        <f>OUTPUTAvatarMatResID[[#This Row],[AvatarPartID]]*10000+OUTPUTAvatarMatResID[[#This Row],[SexID]]*1000+AvatarMatResID[[#This Row],[CountIndex]]</f>
        <v>11598</v>
      </c>
      <c r="G619">
        <f>VLOOKUP(AvatarMatResID[[#This Row],[AvatarPart]],AvatarPartID[],2,0)</f>
        <v>1</v>
      </c>
      <c r="H619">
        <f>VLOOKUP(AvatarMatResID[[#This Row],[Sex]],SexID[],2,0)</f>
        <v>1</v>
      </c>
      <c r="I619" t="str">
        <f>AvatarMatResID[[#This Row],[Material]]</f>
        <v>Female White L Dress 02 Red</v>
      </c>
    </row>
    <row r="620" spans="1:9" x14ac:dyDescent="0.15">
      <c r="A620" t="s">
        <v>454</v>
      </c>
      <c r="B620" t="s">
        <v>1920</v>
      </c>
      <c r="C620" t="s">
        <v>1776</v>
      </c>
      <c r="D620">
        <v>599</v>
      </c>
      <c r="F620">
        <f>OUTPUTAvatarMatResID[[#This Row],[AvatarPartID]]*10000+OUTPUTAvatarMatResID[[#This Row],[SexID]]*1000+AvatarMatResID[[#This Row],[CountIndex]]</f>
        <v>11599</v>
      </c>
      <c r="G620">
        <f>VLOOKUP(AvatarMatResID[[#This Row],[AvatarPart]],AvatarPartID[],2,0)</f>
        <v>1</v>
      </c>
      <c r="H620">
        <f>VLOOKUP(AvatarMatResID[[#This Row],[Sex]],SexID[],2,0)</f>
        <v>1</v>
      </c>
      <c r="I620" t="str">
        <f>AvatarMatResID[[#This Row],[Material]]</f>
        <v>Female White L Dress 03 Blue</v>
      </c>
    </row>
    <row r="621" spans="1:9" x14ac:dyDescent="0.15">
      <c r="A621" t="s">
        <v>454</v>
      </c>
      <c r="B621" t="s">
        <v>1920</v>
      </c>
      <c r="C621" t="s">
        <v>1777</v>
      </c>
      <c r="D621">
        <v>600</v>
      </c>
      <c r="F621">
        <f>OUTPUTAvatarMatResID[[#This Row],[AvatarPartID]]*10000+OUTPUTAvatarMatResID[[#This Row],[SexID]]*1000+AvatarMatResID[[#This Row],[CountIndex]]</f>
        <v>11600</v>
      </c>
      <c r="G621">
        <f>VLOOKUP(AvatarMatResID[[#This Row],[AvatarPart]],AvatarPartID[],2,0)</f>
        <v>1</v>
      </c>
      <c r="H621">
        <f>VLOOKUP(AvatarMatResID[[#This Row],[Sex]],SexID[],2,0)</f>
        <v>1</v>
      </c>
      <c r="I621" t="str">
        <f>AvatarMatResID[[#This Row],[Material]]</f>
        <v>Female White L Dress 03 Brown</v>
      </c>
    </row>
    <row r="622" spans="1:9" x14ac:dyDescent="0.15">
      <c r="A622" t="s">
        <v>454</v>
      </c>
      <c r="B622" t="s">
        <v>1920</v>
      </c>
      <c r="C622" t="s">
        <v>1778</v>
      </c>
      <c r="D622">
        <v>601</v>
      </c>
      <c r="F622">
        <f>OUTPUTAvatarMatResID[[#This Row],[AvatarPartID]]*10000+OUTPUTAvatarMatResID[[#This Row],[SexID]]*1000+AvatarMatResID[[#This Row],[CountIndex]]</f>
        <v>11601</v>
      </c>
      <c r="G622">
        <f>VLOOKUP(AvatarMatResID[[#This Row],[AvatarPart]],AvatarPartID[],2,0)</f>
        <v>1</v>
      </c>
      <c r="H622">
        <f>VLOOKUP(AvatarMatResID[[#This Row],[Sex]],SexID[],2,0)</f>
        <v>1</v>
      </c>
      <c r="I622" t="str">
        <f>AvatarMatResID[[#This Row],[Material]]</f>
        <v>Female White L Dress 03 Green</v>
      </c>
    </row>
    <row r="623" spans="1:9" x14ac:dyDescent="0.15">
      <c r="A623" t="s">
        <v>454</v>
      </c>
      <c r="B623" t="s">
        <v>1920</v>
      </c>
      <c r="C623" t="s">
        <v>1779</v>
      </c>
      <c r="D623">
        <v>602</v>
      </c>
      <c r="F623">
        <f>OUTPUTAvatarMatResID[[#This Row],[AvatarPartID]]*10000+OUTPUTAvatarMatResID[[#This Row],[SexID]]*1000+AvatarMatResID[[#This Row],[CountIndex]]</f>
        <v>11602</v>
      </c>
      <c r="G623">
        <f>VLOOKUP(AvatarMatResID[[#This Row],[AvatarPart]],AvatarPartID[],2,0)</f>
        <v>1</v>
      </c>
      <c r="H623">
        <f>VLOOKUP(AvatarMatResID[[#This Row],[Sex]],SexID[],2,0)</f>
        <v>1</v>
      </c>
      <c r="I623" t="str">
        <f>AvatarMatResID[[#This Row],[Material]]</f>
        <v>Female White L Dress 03 Purple</v>
      </c>
    </row>
    <row r="624" spans="1:9" x14ac:dyDescent="0.15">
      <c r="A624" t="s">
        <v>454</v>
      </c>
      <c r="B624" t="s">
        <v>1920</v>
      </c>
      <c r="C624" t="s">
        <v>1780</v>
      </c>
      <c r="D624">
        <v>603</v>
      </c>
      <c r="F624">
        <f>OUTPUTAvatarMatResID[[#This Row],[AvatarPartID]]*10000+OUTPUTAvatarMatResID[[#This Row],[SexID]]*1000+AvatarMatResID[[#This Row],[CountIndex]]</f>
        <v>11603</v>
      </c>
      <c r="G624">
        <f>VLOOKUP(AvatarMatResID[[#This Row],[AvatarPart]],AvatarPartID[],2,0)</f>
        <v>1</v>
      </c>
      <c r="H624">
        <f>VLOOKUP(AvatarMatResID[[#This Row],[Sex]],SexID[],2,0)</f>
        <v>1</v>
      </c>
      <c r="I624" t="str">
        <f>AvatarMatResID[[#This Row],[Material]]</f>
        <v>Female White L Dress 03 Red</v>
      </c>
    </row>
    <row r="625" spans="1:9" x14ac:dyDescent="0.15">
      <c r="A625" t="s">
        <v>454</v>
      </c>
      <c r="B625" t="s">
        <v>1920</v>
      </c>
      <c r="C625" t="s">
        <v>1781</v>
      </c>
      <c r="D625">
        <v>604</v>
      </c>
      <c r="F625">
        <f>OUTPUTAvatarMatResID[[#This Row],[AvatarPartID]]*10000+OUTPUTAvatarMatResID[[#This Row],[SexID]]*1000+AvatarMatResID[[#This Row],[CountIndex]]</f>
        <v>11604</v>
      </c>
      <c r="G625">
        <f>VLOOKUP(AvatarMatResID[[#This Row],[AvatarPart]],AvatarPartID[],2,0)</f>
        <v>1</v>
      </c>
      <c r="H625">
        <f>VLOOKUP(AvatarMatResID[[#This Row],[Sex]],SexID[],2,0)</f>
        <v>1</v>
      </c>
      <c r="I625" t="str">
        <f>AvatarMatResID[[#This Row],[Material]]</f>
        <v>Female White L Dress 04 Blue</v>
      </c>
    </row>
    <row r="626" spans="1:9" x14ac:dyDescent="0.15">
      <c r="A626" t="s">
        <v>454</v>
      </c>
      <c r="B626" t="s">
        <v>1920</v>
      </c>
      <c r="C626" t="s">
        <v>1782</v>
      </c>
      <c r="D626">
        <v>605</v>
      </c>
      <c r="F626">
        <f>OUTPUTAvatarMatResID[[#This Row],[AvatarPartID]]*10000+OUTPUTAvatarMatResID[[#This Row],[SexID]]*1000+AvatarMatResID[[#This Row],[CountIndex]]</f>
        <v>11605</v>
      </c>
      <c r="G626">
        <f>VLOOKUP(AvatarMatResID[[#This Row],[AvatarPart]],AvatarPartID[],2,0)</f>
        <v>1</v>
      </c>
      <c r="H626">
        <f>VLOOKUP(AvatarMatResID[[#This Row],[Sex]],SexID[],2,0)</f>
        <v>1</v>
      </c>
      <c r="I626" t="str">
        <f>AvatarMatResID[[#This Row],[Material]]</f>
        <v>Female White L Dress 04 Brown</v>
      </c>
    </row>
    <row r="627" spans="1:9" x14ac:dyDescent="0.15">
      <c r="A627" t="s">
        <v>454</v>
      </c>
      <c r="B627" t="s">
        <v>1920</v>
      </c>
      <c r="C627" t="s">
        <v>1783</v>
      </c>
      <c r="D627">
        <v>606</v>
      </c>
      <c r="F627">
        <f>OUTPUTAvatarMatResID[[#This Row],[AvatarPartID]]*10000+OUTPUTAvatarMatResID[[#This Row],[SexID]]*1000+AvatarMatResID[[#This Row],[CountIndex]]</f>
        <v>11606</v>
      </c>
      <c r="G627">
        <f>VLOOKUP(AvatarMatResID[[#This Row],[AvatarPart]],AvatarPartID[],2,0)</f>
        <v>1</v>
      </c>
      <c r="H627">
        <f>VLOOKUP(AvatarMatResID[[#This Row],[Sex]],SexID[],2,0)</f>
        <v>1</v>
      </c>
      <c r="I627" t="str">
        <f>AvatarMatResID[[#This Row],[Material]]</f>
        <v>Female White L Dress 04 Green</v>
      </c>
    </row>
    <row r="628" spans="1:9" x14ac:dyDescent="0.15">
      <c r="A628" t="s">
        <v>454</v>
      </c>
      <c r="B628" t="s">
        <v>1920</v>
      </c>
      <c r="C628" t="s">
        <v>1784</v>
      </c>
      <c r="D628">
        <v>607</v>
      </c>
      <c r="F628">
        <f>OUTPUTAvatarMatResID[[#This Row],[AvatarPartID]]*10000+OUTPUTAvatarMatResID[[#This Row],[SexID]]*1000+AvatarMatResID[[#This Row],[CountIndex]]</f>
        <v>11607</v>
      </c>
      <c r="G628">
        <f>VLOOKUP(AvatarMatResID[[#This Row],[AvatarPart]],AvatarPartID[],2,0)</f>
        <v>1</v>
      </c>
      <c r="H628">
        <f>VLOOKUP(AvatarMatResID[[#This Row],[Sex]],SexID[],2,0)</f>
        <v>1</v>
      </c>
      <c r="I628" t="str">
        <f>AvatarMatResID[[#This Row],[Material]]</f>
        <v>Female White L Dress 04 Purple</v>
      </c>
    </row>
    <row r="629" spans="1:9" x14ac:dyDescent="0.15">
      <c r="A629" t="s">
        <v>454</v>
      </c>
      <c r="B629" t="s">
        <v>1920</v>
      </c>
      <c r="C629" t="s">
        <v>1785</v>
      </c>
      <c r="D629">
        <v>608</v>
      </c>
      <c r="F629">
        <f>OUTPUTAvatarMatResID[[#This Row],[AvatarPartID]]*10000+OUTPUTAvatarMatResID[[#This Row],[SexID]]*1000+AvatarMatResID[[#This Row],[CountIndex]]</f>
        <v>11608</v>
      </c>
      <c r="G629">
        <f>VLOOKUP(AvatarMatResID[[#This Row],[AvatarPart]],AvatarPartID[],2,0)</f>
        <v>1</v>
      </c>
      <c r="H629">
        <f>VLOOKUP(AvatarMatResID[[#This Row],[Sex]],SexID[],2,0)</f>
        <v>1</v>
      </c>
      <c r="I629" t="str">
        <f>AvatarMatResID[[#This Row],[Material]]</f>
        <v>Female White L Dress 04 Red</v>
      </c>
    </row>
    <row r="630" spans="1:9" x14ac:dyDescent="0.15">
      <c r="A630" t="s">
        <v>454</v>
      </c>
      <c r="B630" t="s">
        <v>1920</v>
      </c>
      <c r="C630" t="s">
        <v>1005</v>
      </c>
      <c r="D630">
        <v>609</v>
      </c>
      <c r="F630">
        <f>OUTPUTAvatarMatResID[[#This Row],[AvatarPartID]]*10000+OUTPUTAvatarMatResID[[#This Row],[SexID]]*1000+AvatarMatResID[[#This Row],[CountIndex]]</f>
        <v>11609</v>
      </c>
      <c r="G630">
        <f>VLOOKUP(AvatarMatResID[[#This Row],[AvatarPart]],AvatarPartID[],2,0)</f>
        <v>1</v>
      </c>
      <c r="H630">
        <f>VLOOKUP(AvatarMatResID[[#This Row],[Sex]],SexID[],2,0)</f>
        <v>1</v>
      </c>
      <c r="I630" t="str">
        <f>AvatarMatResID[[#This Row],[Material]]</f>
        <v>Female White Naked</v>
      </c>
    </row>
    <row r="631" spans="1:9" x14ac:dyDescent="0.15">
      <c r="A631" t="s">
        <v>454</v>
      </c>
      <c r="B631" t="s">
        <v>1920</v>
      </c>
      <c r="C631" t="s">
        <v>1006</v>
      </c>
      <c r="D631">
        <v>610</v>
      </c>
      <c r="F631">
        <f>OUTPUTAvatarMatResID[[#This Row],[AvatarPartID]]*10000+OUTPUTAvatarMatResID[[#This Row],[SexID]]*1000+AvatarMatResID[[#This Row],[CountIndex]]</f>
        <v>11610</v>
      </c>
      <c r="G631">
        <f>VLOOKUP(AvatarMatResID[[#This Row],[AvatarPart]],AvatarPartID[],2,0)</f>
        <v>1</v>
      </c>
      <c r="H631">
        <f>VLOOKUP(AvatarMatResID[[#This Row],[Sex]],SexID[],2,0)</f>
        <v>1</v>
      </c>
      <c r="I631" t="str">
        <f>AvatarMatResID[[#This Row],[Material]]</f>
        <v>Female White Sorceress 01 Black</v>
      </c>
    </row>
    <row r="632" spans="1:9" x14ac:dyDescent="0.15">
      <c r="A632" t="s">
        <v>454</v>
      </c>
      <c r="B632" t="s">
        <v>1920</v>
      </c>
      <c r="C632" t="s">
        <v>1007</v>
      </c>
      <c r="D632">
        <v>611</v>
      </c>
      <c r="F632">
        <f>OUTPUTAvatarMatResID[[#This Row],[AvatarPartID]]*10000+OUTPUTAvatarMatResID[[#This Row],[SexID]]*1000+AvatarMatResID[[#This Row],[CountIndex]]</f>
        <v>11611</v>
      </c>
      <c r="G632">
        <f>VLOOKUP(AvatarMatResID[[#This Row],[AvatarPart]],AvatarPartID[],2,0)</f>
        <v>1</v>
      </c>
      <c r="H632">
        <f>VLOOKUP(AvatarMatResID[[#This Row],[Sex]],SexID[],2,0)</f>
        <v>1</v>
      </c>
      <c r="I632" t="str">
        <f>AvatarMatResID[[#This Row],[Material]]</f>
        <v>Female White Sorceress 01 Blue</v>
      </c>
    </row>
    <row r="633" spans="1:9" x14ac:dyDescent="0.15">
      <c r="A633" t="s">
        <v>454</v>
      </c>
      <c r="B633" t="s">
        <v>1920</v>
      </c>
      <c r="C633" t="s">
        <v>1008</v>
      </c>
      <c r="D633">
        <v>612</v>
      </c>
      <c r="F633">
        <f>OUTPUTAvatarMatResID[[#This Row],[AvatarPartID]]*10000+OUTPUTAvatarMatResID[[#This Row],[SexID]]*1000+AvatarMatResID[[#This Row],[CountIndex]]</f>
        <v>11612</v>
      </c>
      <c r="G633">
        <f>VLOOKUP(AvatarMatResID[[#This Row],[AvatarPart]],AvatarPartID[],2,0)</f>
        <v>1</v>
      </c>
      <c r="H633">
        <f>VLOOKUP(AvatarMatResID[[#This Row],[Sex]],SexID[],2,0)</f>
        <v>1</v>
      </c>
      <c r="I633" t="str">
        <f>AvatarMatResID[[#This Row],[Material]]</f>
        <v>Female White Sorceress 01 Green</v>
      </c>
    </row>
    <row r="634" spans="1:9" x14ac:dyDescent="0.15">
      <c r="A634" t="s">
        <v>454</v>
      </c>
      <c r="B634" t="s">
        <v>1920</v>
      </c>
      <c r="C634" t="s">
        <v>1009</v>
      </c>
      <c r="D634">
        <v>613</v>
      </c>
      <c r="F634">
        <f>OUTPUTAvatarMatResID[[#This Row],[AvatarPartID]]*10000+OUTPUTAvatarMatResID[[#This Row],[SexID]]*1000+AvatarMatResID[[#This Row],[CountIndex]]</f>
        <v>11613</v>
      </c>
      <c r="G634">
        <f>VLOOKUP(AvatarMatResID[[#This Row],[AvatarPart]],AvatarPartID[],2,0)</f>
        <v>1</v>
      </c>
      <c r="H634">
        <f>VLOOKUP(AvatarMatResID[[#This Row],[Sex]],SexID[],2,0)</f>
        <v>1</v>
      </c>
      <c r="I634" t="str">
        <f>AvatarMatResID[[#This Row],[Material]]</f>
        <v>Female White Sorceress 01 Pink</v>
      </c>
    </row>
    <row r="635" spans="1:9" x14ac:dyDescent="0.15">
      <c r="A635" t="s">
        <v>454</v>
      </c>
      <c r="B635" t="s">
        <v>1920</v>
      </c>
      <c r="C635" t="s">
        <v>1010</v>
      </c>
      <c r="D635">
        <v>614</v>
      </c>
      <c r="F635">
        <f>OUTPUTAvatarMatResID[[#This Row],[AvatarPartID]]*10000+OUTPUTAvatarMatResID[[#This Row],[SexID]]*1000+AvatarMatResID[[#This Row],[CountIndex]]</f>
        <v>11614</v>
      </c>
      <c r="G635">
        <f>VLOOKUP(AvatarMatResID[[#This Row],[AvatarPart]],AvatarPartID[],2,0)</f>
        <v>1</v>
      </c>
      <c r="H635">
        <f>VLOOKUP(AvatarMatResID[[#This Row],[Sex]],SexID[],2,0)</f>
        <v>1</v>
      </c>
      <c r="I635" t="str">
        <f>AvatarMatResID[[#This Row],[Material]]</f>
        <v>Female White Sorceress 01 Purple</v>
      </c>
    </row>
    <row r="636" spans="1:9" x14ac:dyDescent="0.15">
      <c r="A636" t="s">
        <v>454</v>
      </c>
      <c r="B636" t="s">
        <v>1920</v>
      </c>
      <c r="C636" t="s">
        <v>1011</v>
      </c>
      <c r="D636">
        <v>615</v>
      </c>
      <c r="F636">
        <f>OUTPUTAvatarMatResID[[#This Row],[AvatarPartID]]*10000+OUTPUTAvatarMatResID[[#This Row],[SexID]]*1000+AvatarMatResID[[#This Row],[CountIndex]]</f>
        <v>11615</v>
      </c>
      <c r="G636">
        <f>VLOOKUP(AvatarMatResID[[#This Row],[AvatarPart]],AvatarPartID[],2,0)</f>
        <v>1</v>
      </c>
      <c r="H636">
        <f>VLOOKUP(AvatarMatResID[[#This Row],[Sex]],SexID[],2,0)</f>
        <v>1</v>
      </c>
      <c r="I636" t="str">
        <f>AvatarMatResID[[#This Row],[Material]]</f>
        <v>Female White Sorceress 02 Blue</v>
      </c>
    </row>
    <row r="637" spans="1:9" x14ac:dyDescent="0.15">
      <c r="A637" t="s">
        <v>454</v>
      </c>
      <c r="B637" t="s">
        <v>1920</v>
      </c>
      <c r="C637" t="s">
        <v>1012</v>
      </c>
      <c r="D637">
        <v>616</v>
      </c>
      <c r="F637">
        <f>OUTPUTAvatarMatResID[[#This Row],[AvatarPartID]]*10000+OUTPUTAvatarMatResID[[#This Row],[SexID]]*1000+AvatarMatResID[[#This Row],[CountIndex]]</f>
        <v>11616</v>
      </c>
      <c r="G637">
        <f>VLOOKUP(AvatarMatResID[[#This Row],[AvatarPart]],AvatarPartID[],2,0)</f>
        <v>1</v>
      </c>
      <c r="H637">
        <f>VLOOKUP(AvatarMatResID[[#This Row],[Sex]],SexID[],2,0)</f>
        <v>1</v>
      </c>
      <c r="I637" t="str">
        <f>AvatarMatResID[[#This Row],[Material]]</f>
        <v>Female White Sorceress 02 Green</v>
      </c>
    </row>
    <row r="638" spans="1:9" x14ac:dyDescent="0.15">
      <c r="A638" t="s">
        <v>454</v>
      </c>
      <c r="B638" t="s">
        <v>1920</v>
      </c>
      <c r="C638" t="s">
        <v>1013</v>
      </c>
      <c r="D638">
        <v>617</v>
      </c>
      <c r="F638">
        <f>OUTPUTAvatarMatResID[[#This Row],[AvatarPartID]]*10000+OUTPUTAvatarMatResID[[#This Row],[SexID]]*1000+AvatarMatResID[[#This Row],[CountIndex]]</f>
        <v>11617</v>
      </c>
      <c r="G638">
        <f>VLOOKUP(AvatarMatResID[[#This Row],[AvatarPart]],AvatarPartID[],2,0)</f>
        <v>1</v>
      </c>
      <c r="H638">
        <f>VLOOKUP(AvatarMatResID[[#This Row],[Sex]],SexID[],2,0)</f>
        <v>1</v>
      </c>
      <c r="I638" t="str">
        <f>AvatarMatResID[[#This Row],[Material]]</f>
        <v>Female White Sorceress 02 Purple</v>
      </c>
    </row>
    <row r="639" spans="1:9" x14ac:dyDescent="0.15">
      <c r="A639" t="s">
        <v>454</v>
      </c>
      <c r="B639" t="s">
        <v>1920</v>
      </c>
      <c r="C639" t="s">
        <v>1014</v>
      </c>
      <c r="D639">
        <v>618</v>
      </c>
      <c r="F639">
        <f>OUTPUTAvatarMatResID[[#This Row],[AvatarPartID]]*10000+OUTPUTAvatarMatResID[[#This Row],[SexID]]*1000+AvatarMatResID[[#This Row],[CountIndex]]</f>
        <v>11618</v>
      </c>
      <c r="G639">
        <f>VLOOKUP(AvatarMatResID[[#This Row],[AvatarPart]],AvatarPartID[],2,0)</f>
        <v>1</v>
      </c>
      <c r="H639">
        <f>VLOOKUP(AvatarMatResID[[#This Row],[Sex]],SexID[],2,0)</f>
        <v>1</v>
      </c>
      <c r="I639" t="str">
        <f>AvatarMatResID[[#This Row],[Material]]</f>
        <v>Female White Sorceress 02 Red</v>
      </c>
    </row>
    <row r="640" spans="1:9" x14ac:dyDescent="0.15">
      <c r="A640" t="s">
        <v>454</v>
      </c>
      <c r="B640" t="s">
        <v>1920</v>
      </c>
      <c r="C640" t="s">
        <v>1015</v>
      </c>
      <c r="D640">
        <v>619</v>
      </c>
      <c r="F640">
        <f>OUTPUTAvatarMatResID[[#This Row],[AvatarPartID]]*10000+OUTPUTAvatarMatResID[[#This Row],[SexID]]*1000+AvatarMatResID[[#This Row],[CountIndex]]</f>
        <v>11619</v>
      </c>
      <c r="G640">
        <f>VLOOKUP(AvatarMatResID[[#This Row],[AvatarPart]],AvatarPartID[],2,0)</f>
        <v>1</v>
      </c>
      <c r="H640">
        <f>VLOOKUP(AvatarMatResID[[#This Row],[Sex]],SexID[],2,0)</f>
        <v>1</v>
      </c>
      <c r="I640" t="str">
        <f>AvatarMatResID[[#This Row],[Material]]</f>
        <v>Female White Sorceress 03 Black</v>
      </c>
    </row>
    <row r="641" spans="1:9" x14ac:dyDescent="0.15">
      <c r="A641" t="s">
        <v>454</v>
      </c>
      <c r="B641" t="s">
        <v>1920</v>
      </c>
      <c r="C641" t="s">
        <v>1016</v>
      </c>
      <c r="D641">
        <v>620</v>
      </c>
      <c r="F641">
        <f>OUTPUTAvatarMatResID[[#This Row],[AvatarPartID]]*10000+OUTPUTAvatarMatResID[[#This Row],[SexID]]*1000+AvatarMatResID[[#This Row],[CountIndex]]</f>
        <v>11620</v>
      </c>
      <c r="G641">
        <f>VLOOKUP(AvatarMatResID[[#This Row],[AvatarPart]],AvatarPartID[],2,0)</f>
        <v>1</v>
      </c>
      <c r="H641">
        <f>VLOOKUP(AvatarMatResID[[#This Row],[Sex]],SexID[],2,0)</f>
        <v>1</v>
      </c>
      <c r="I641" t="str">
        <f>AvatarMatResID[[#This Row],[Material]]</f>
        <v>Female White Sorceress 03 Blue</v>
      </c>
    </row>
    <row r="642" spans="1:9" x14ac:dyDescent="0.15">
      <c r="A642" t="s">
        <v>454</v>
      </c>
      <c r="B642" t="s">
        <v>1920</v>
      </c>
      <c r="C642" t="s">
        <v>1017</v>
      </c>
      <c r="D642">
        <v>621</v>
      </c>
      <c r="F642">
        <f>OUTPUTAvatarMatResID[[#This Row],[AvatarPartID]]*10000+OUTPUTAvatarMatResID[[#This Row],[SexID]]*1000+AvatarMatResID[[#This Row],[CountIndex]]</f>
        <v>11621</v>
      </c>
      <c r="G642">
        <f>VLOOKUP(AvatarMatResID[[#This Row],[AvatarPart]],AvatarPartID[],2,0)</f>
        <v>1</v>
      </c>
      <c r="H642">
        <f>VLOOKUP(AvatarMatResID[[#This Row],[Sex]],SexID[],2,0)</f>
        <v>1</v>
      </c>
      <c r="I642" t="str">
        <f>AvatarMatResID[[#This Row],[Material]]</f>
        <v>Female White Sorceress 03 Brown</v>
      </c>
    </row>
    <row r="643" spans="1:9" x14ac:dyDescent="0.15">
      <c r="A643" t="s">
        <v>454</v>
      </c>
      <c r="B643" t="s">
        <v>1920</v>
      </c>
      <c r="C643" t="s">
        <v>1018</v>
      </c>
      <c r="D643">
        <v>622</v>
      </c>
      <c r="F643">
        <f>OUTPUTAvatarMatResID[[#This Row],[AvatarPartID]]*10000+OUTPUTAvatarMatResID[[#This Row],[SexID]]*1000+AvatarMatResID[[#This Row],[CountIndex]]</f>
        <v>11622</v>
      </c>
      <c r="G643">
        <f>VLOOKUP(AvatarMatResID[[#This Row],[AvatarPart]],AvatarPartID[],2,0)</f>
        <v>1</v>
      </c>
      <c r="H643">
        <f>VLOOKUP(AvatarMatResID[[#This Row],[Sex]],SexID[],2,0)</f>
        <v>1</v>
      </c>
      <c r="I643" t="str">
        <f>AvatarMatResID[[#This Row],[Material]]</f>
        <v>Female White Sorceress 03 Green</v>
      </c>
    </row>
    <row r="644" spans="1:9" x14ac:dyDescent="0.15">
      <c r="A644" t="s">
        <v>454</v>
      </c>
      <c r="B644" t="s">
        <v>1920</v>
      </c>
      <c r="C644" t="s">
        <v>1019</v>
      </c>
      <c r="D644">
        <v>623</v>
      </c>
      <c r="F644">
        <f>OUTPUTAvatarMatResID[[#This Row],[AvatarPartID]]*10000+OUTPUTAvatarMatResID[[#This Row],[SexID]]*1000+AvatarMatResID[[#This Row],[CountIndex]]</f>
        <v>11623</v>
      </c>
      <c r="G644">
        <f>VLOOKUP(AvatarMatResID[[#This Row],[AvatarPart]],AvatarPartID[],2,0)</f>
        <v>1</v>
      </c>
      <c r="H644">
        <f>VLOOKUP(AvatarMatResID[[#This Row],[Sex]],SexID[],2,0)</f>
        <v>1</v>
      </c>
      <c r="I644" t="str">
        <f>AvatarMatResID[[#This Row],[Material]]</f>
        <v>Female White Sorceress 03 Purple</v>
      </c>
    </row>
    <row r="645" spans="1:9" x14ac:dyDescent="0.15">
      <c r="A645" t="s">
        <v>454</v>
      </c>
      <c r="B645" t="s">
        <v>1920</v>
      </c>
      <c r="C645" t="s">
        <v>1020</v>
      </c>
      <c r="D645">
        <v>624</v>
      </c>
      <c r="F645">
        <f>OUTPUTAvatarMatResID[[#This Row],[AvatarPartID]]*10000+OUTPUTAvatarMatResID[[#This Row],[SexID]]*1000+AvatarMatResID[[#This Row],[CountIndex]]</f>
        <v>11624</v>
      </c>
      <c r="G645">
        <f>VLOOKUP(AvatarMatResID[[#This Row],[AvatarPart]],AvatarPartID[],2,0)</f>
        <v>1</v>
      </c>
      <c r="H645">
        <f>VLOOKUP(AvatarMatResID[[#This Row],[Sex]],SexID[],2,0)</f>
        <v>1</v>
      </c>
      <c r="I645" t="str">
        <f>AvatarMatResID[[#This Row],[Material]]</f>
        <v>Female White Sorceress 03 Red</v>
      </c>
    </row>
    <row r="646" spans="1:9" x14ac:dyDescent="0.15">
      <c r="A646" t="s">
        <v>454</v>
      </c>
      <c r="B646" t="s">
        <v>1920</v>
      </c>
      <c r="C646" t="s">
        <v>1021</v>
      </c>
      <c r="D646">
        <v>625</v>
      </c>
      <c r="F646">
        <f>OUTPUTAvatarMatResID[[#This Row],[AvatarPartID]]*10000+OUTPUTAvatarMatResID[[#This Row],[SexID]]*1000+AvatarMatResID[[#This Row],[CountIndex]]</f>
        <v>11625</v>
      </c>
      <c r="G646">
        <f>VLOOKUP(AvatarMatResID[[#This Row],[AvatarPart]],AvatarPartID[],2,0)</f>
        <v>1</v>
      </c>
      <c r="H646">
        <f>VLOOKUP(AvatarMatResID[[#This Row],[Sex]],SexID[],2,0)</f>
        <v>1</v>
      </c>
      <c r="I646" t="str">
        <f>AvatarMatResID[[#This Row],[Material]]</f>
        <v>Female White Sorceress 03 White</v>
      </c>
    </row>
    <row r="647" spans="1:9" x14ac:dyDescent="0.15">
      <c r="A647" t="s">
        <v>454</v>
      </c>
      <c r="B647" t="s">
        <v>1920</v>
      </c>
      <c r="C647" t="s">
        <v>1022</v>
      </c>
      <c r="D647">
        <v>626</v>
      </c>
      <c r="F647">
        <f>OUTPUTAvatarMatResID[[#This Row],[AvatarPartID]]*10000+OUTPUTAvatarMatResID[[#This Row],[SexID]]*1000+AvatarMatResID[[#This Row],[CountIndex]]</f>
        <v>11626</v>
      </c>
      <c r="G647">
        <f>VLOOKUP(AvatarMatResID[[#This Row],[AvatarPart]],AvatarPartID[],2,0)</f>
        <v>1</v>
      </c>
      <c r="H647">
        <f>VLOOKUP(AvatarMatResID[[#This Row],[Sex]],SexID[],2,0)</f>
        <v>1</v>
      </c>
      <c r="I647" t="str">
        <f>AvatarMatResID[[#This Row],[Material]]</f>
        <v>Female White Sorceress 04 Black</v>
      </c>
    </row>
    <row r="648" spans="1:9" x14ac:dyDescent="0.15">
      <c r="A648" t="s">
        <v>454</v>
      </c>
      <c r="B648" t="s">
        <v>1920</v>
      </c>
      <c r="C648" t="s">
        <v>1023</v>
      </c>
      <c r="D648">
        <v>627</v>
      </c>
      <c r="F648">
        <f>OUTPUTAvatarMatResID[[#This Row],[AvatarPartID]]*10000+OUTPUTAvatarMatResID[[#This Row],[SexID]]*1000+AvatarMatResID[[#This Row],[CountIndex]]</f>
        <v>11627</v>
      </c>
      <c r="G648">
        <f>VLOOKUP(AvatarMatResID[[#This Row],[AvatarPart]],AvatarPartID[],2,0)</f>
        <v>1</v>
      </c>
      <c r="H648">
        <f>VLOOKUP(AvatarMatResID[[#This Row],[Sex]],SexID[],2,0)</f>
        <v>1</v>
      </c>
      <c r="I648" t="str">
        <f>AvatarMatResID[[#This Row],[Material]]</f>
        <v>Female White Sorceress 04 Blue</v>
      </c>
    </row>
    <row r="649" spans="1:9" x14ac:dyDescent="0.15">
      <c r="A649" t="s">
        <v>454</v>
      </c>
      <c r="B649" t="s">
        <v>1920</v>
      </c>
      <c r="C649" t="s">
        <v>1024</v>
      </c>
      <c r="D649">
        <v>628</v>
      </c>
      <c r="F649">
        <f>OUTPUTAvatarMatResID[[#This Row],[AvatarPartID]]*10000+OUTPUTAvatarMatResID[[#This Row],[SexID]]*1000+AvatarMatResID[[#This Row],[CountIndex]]</f>
        <v>11628</v>
      </c>
      <c r="G649">
        <f>VLOOKUP(AvatarMatResID[[#This Row],[AvatarPart]],AvatarPartID[],2,0)</f>
        <v>1</v>
      </c>
      <c r="H649">
        <f>VLOOKUP(AvatarMatResID[[#This Row],[Sex]],SexID[],2,0)</f>
        <v>1</v>
      </c>
      <c r="I649" t="str">
        <f>AvatarMatResID[[#This Row],[Material]]</f>
        <v>Female White Sorceress 04 Brown</v>
      </c>
    </row>
    <row r="650" spans="1:9" x14ac:dyDescent="0.15">
      <c r="A650" t="s">
        <v>454</v>
      </c>
      <c r="B650" t="s">
        <v>1920</v>
      </c>
      <c r="C650" t="s">
        <v>1025</v>
      </c>
      <c r="D650">
        <v>629</v>
      </c>
      <c r="F650">
        <f>OUTPUTAvatarMatResID[[#This Row],[AvatarPartID]]*10000+OUTPUTAvatarMatResID[[#This Row],[SexID]]*1000+AvatarMatResID[[#This Row],[CountIndex]]</f>
        <v>11629</v>
      </c>
      <c r="G650">
        <f>VLOOKUP(AvatarMatResID[[#This Row],[AvatarPart]],AvatarPartID[],2,0)</f>
        <v>1</v>
      </c>
      <c r="H650">
        <f>VLOOKUP(AvatarMatResID[[#This Row],[Sex]],SexID[],2,0)</f>
        <v>1</v>
      </c>
      <c r="I650" t="str">
        <f>AvatarMatResID[[#This Row],[Material]]</f>
        <v>Female White Sorceress 04 Green</v>
      </c>
    </row>
    <row r="651" spans="1:9" x14ac:dyDescent="0.15">
      <c r="A651" t="s">
        <v>454</v>
      </c>
      <c r="B651" t="s">
        <v>1920</v>
      </c>
      <c r="C651" t="s">
        <v>1026</v>
      </c>
      <c r="D651">
        <v>630</v>
      </c>
      <c r="F651">
        <f>OUTPUTAvatarMatResID[[#This Row],[AvatarPartID]]*10000+OUTPUTAvatarMatResID[[#This Row],[SexID]]*1000+AvatarMatResID[[#This Row],[CountIndex]]</f>
        <v>11630</v>
      </c>
      <c r="G651">
        <f>VLOOKUP(AvatarMatResID[[#This Row],[AvatarPart]],AvatarPartID[],2,0)</f>
        <v>1</v>
      </c>
      <c r="H651">
        <f>VLOOKUP(AvatarMatResID[[#This Row],[Sex]],SexID[],2,0)</f>
        <v>1</v>
      </c>
      <c r="I651" t="str">
        <f>AvatarMatResID[[#This Row],[Material]]</f>
        <v>Female White Sorceress 04 Magenta</v>
      </c>
    </row>
    <row r="652" spans="1:9" x14ac:dyDescent="0.15">
      <c r="A652" t="s">
        <v>454</v>
      </c>
      <c r="B652" t="s">
        <v>1920</v>
      </c>
      <c r="C652" t="s">
        <v>1027</v>
      </c>
      <c r="D652">
        <v>631</v>
      </c>
      <c r="F652">
        <f>OUTPUTAvatarMatResID[[#This Row],[AvatarPartID]]*10000+OUTPUTAvatarMatResID[[#This Row],[SexID]]*1000+AvatarMatResID[[#This Row],[CountIndex]]</f>
        <v>11631</v>
      </c>
      <c r="G652">
        <f>VLOOKUP(AvatarMatResID[[#This Row],[AvatarPart]],AvatarPartID[],2,0)</f>
        <v>1</v>
      </c>
      <c r="H652">
        <f>VLOOKUP(AvatarMatResID[[#This Row],[Sex]],SexID[],2,0)</f>
        <v>1</v>
      </c>
      <c r="I652" t="str">
        <f>AvatarMatResID[[#This Row],[Material]]</f>
        <v>Female White Sorceress 04 Purple</v>
      </c>
    </row>
    <row r="653" spans="1:9" x14ac:dyDescent="0.15">
      <c r="A653" t="s">
        <v>454</v>
      </c>
      <c r="B653" t="s">
        <v>1920</v>
      </c>
      <c r="C653" t="s">
        <v>1028</v>
      </c>
      <c r="D653">
        <v>632</v>
      </c>
      <c r="F653">
        <f>OUTPUTAvatarMatResID[[#This Row],[AvatarPartID]]*10000+OUTPUTAvatarMatResID[[#This Row],[SexID]]*1000+AvatarMatResID[[#This Row],[CountIndex]]</f>
        <v>11632</v>
      </c>
      <c r="G653">
        <f>VLOOKUP(AvatarMatResID[[#This Row],[AvatarPart]],AvatarPartID[],2,0)</f>
        <v>1</v>
      </c>
      <c r="H653">
        <f>VLOOKUP(AvatarMatResID[[#This Row],[Sex]],SexID[],2,0)</f>
        <v>1</v>
      </c>
      <c r="I653" t="str">
        <f>AvatarMatResID[[#This Row],[Material]]</f>
        <v>Female White Sorceress 04 Red</v>
      </c>
    </row>
    <row r="654" spans="1:9" x14ac:dyDescent="0.15">
      <c r="A654" t="s">
        <v>454</v>
      </c>
      <c r="B654" t="s">
        <v>1920</v>
      </c>
      <c r="C654" t="s">
        <v>1029</v>
      </c>
      <c r="D654">
        <v>633</v>
      </c>
      <c r="F654">
        <f>OUTPUTAvatarMatResID[[#This Row],[AvatarPartID]]*10000+OUTPUTAvatarMatResID[[#This Row],[SexID]]*1000+AvatarMatResID[[#This Row],[CountIndex]]</f>
        <v>11633</v>
      </c>
      <c r="G654">
        <f>VLOOKUP(AvatarMatResID[[#This Row],[AvatarPart]],AvatarPartID[],2,0)</f>
        <v>1</v>
      </c>
      <c r="H654">
        <f>VLOOKUP(AvatarMatResID[[#This Row],[Sex]],SexID[],2,0)</f>
        <v>1</v>
      </c>
      <c r="I654" t="str">
        <f>AvatarMatResID[[#This Row],[Material]]</f>
        <v>Female White Sorceress 04 White</v>
      </c>
    </row>
    <row r="655" spans="1:9" x14ac:dyDescent="0.15">
      <c r="A655" t="s">
        <v>454</v>
      </c>
      <c r="B655" t="s">
        <v>1920</v>
      </c>
      <c r="C655" t="s">
        <v>1030</v>
      </c>
      <c r="D655">
        <v>634</v>
      </c>
      <c r="F655">
        <f>OUTPUTAvatarMatResID[[#This Row],[AvatarPartID]]*10000+OUTPUTAvatarMatResID[[#This Row],[SexID]]*1000+AvatarMatResID[[#This Row],[CountIndex]]</f>
        <v>11634</v>
      </c>
      <c r="G655">
        <f>VLOOKUP(AvatarMatResID[[#This Row],[AvatarPart]],AvatarPartID[],2,0)</f>
        <v>1</v>
      </c>
      <c r="H655">
        <f>VLOOKUP(AvatarMatResID[[#This Row],[Sex]],SexID[],2,0)</f>
        <v>1</v>
      </c>
      <c r="I655" t="str">
        <f>AvatarMatResID[[#This Row],[Material]]</f>
        <v>Female White Sorceress 05 Black</v>
      </c>
    </row>
    <row r="656" spans="1:9" x14ac:dyDescent="0.15">
      <c r="A656" t="s">
        <v>454</v>
      </c>
      <c r="B656" t="s">
        <v>1920</v>
      </c>
      <c r="C656" t="s">
        <v>1031</v>
      </c>
      <c r="D656">
        <v>635</v>
      </c>
      <c r="F656">
        <f>OUTPUTAvatarMatResID[[#This Row],[AvatarPartID]]*10000+OUTPUTAvatarMatResID[[#This Row],[SexID]]*1000+AvatarMatResID[[#This Row],[CountIndex]]</f>
        <v>11635</v>
      </c>
      <c r="G656">
        <f>VLOOKUP(AvatarMatResID[[#This Row],[AvatarPart]],AvatarPartID[],2,0)</f>
        <v>1</v>
      </c>
      <c r="H656">
        <f>VLOOKUP(AvatarMatResID[[#This Row],[Sex]],SexID[],2,0)</f>
        <v>1</v>
      </c>
      <c r="I656" t="str">
        <f>AvatarMatResID[[#This Row],[Material]]</f>
        <v>Female White Sorceress 05 Blue</v>
      </c>
    </row>
    <row r="657" spans="1:9" x14ac:dyDescent="0.15">
      <c r="A657" t="s">
        <v>454</v>
      </c>
      <c r="B657" t="s">
        <v>1920</v>
      </c>
      <c r="C657" t="s">
        <v>1032</v>
      </c>
      <c r="D657">
        <v>636</v>
      </c>
      <c r="F657">
        <f>OUTPUTAvatarMatResID[[#This Row],[AvatarPartID]]*10000+OUTPUTAvatarMatResID[[#This Row],[SexID]]*1000+AvatarMatResID[[#This Row],[CountIndex]]</f>
        <v>11636</v>
      </c>
      <c r="G657">
        <f>VLOOKUP(AvatarMatResID[[#This Row],[AvatarPart]],AvatarPartID[],2,0)</f>
        <v>1</v>
      </c>
      <c r="H657">
        <f>VLOOKUP(AvatarMatResID[[#This Row],[Sex]],SexID[],2,0)</f>
        <v>1</v>
      </c>
      <c r="I657" t="str">
        <f>AvatarMatResID[[#This Row],[Material]]</f>
        <v>Female White Sorceress 05 Brown</v>
      </c>
    </row>
    <row r="658" spans="1:9" x14ac:dyDescent="0.15">
      <c r="A658" t="s">
        <v>454</v>
      </c>
      <c r="B658" t="s">
        <v>1920</v>
      </c>
      <c r="C658" t="s">
        <v>1033</v>
      </c>
      <c r="D658">
        <v>637</v>
      </c>
      <c r="F658">
        <f>OUTPUTAvatarMatResID[[#This Row],[AvatarPartID]]*10000+OUTPUTAvatarMatResID[[#This Row],[SexID]]*1000+AvatarMatResID[[#This Row],[CountIndex]]</f>
        <v>11637</v>
      </c>
      <c r="G658">
        <f>VLOOKUP(AvatarMatResID[[#This Row],[AvatarPart]],AvatarPartID[],2,0)</f>
        <v>1</v>
      </c>
      <c r="H658">
        <f>VLOOKUP(AvatarMatResID[[#This Row],[Sex]],SexID[],2,0)</f>
        <v>1</v>
      </c>
      <c r="I658" t="str">
        <f>AvatarMatResID[[#This Row],[Material]]</f>
        <v>Female White Sorceress 05 Green</v>
      </c>
    </row>
    <row r="659" spans="1:9" x14ac:dyDescent="0.15">
      <c r="A659" t="s">
        <v>454</v>
      </c>
      <c r="B659" t="s">
        <v>1920</v>
      </c>
      <c r="C659" t="s">
        <v>1034</v>
      </c>
      <c r="D659">
        <v>638</v>
      </c>
      <c r="F659">
        <f>OUTPUTAvatarMatResID[[#This Row],[AvatarPartID]]*10000+OUTPUTAvatarMatResID[[#This Row],[SexID]]*1000+AvatarMatResID[[#This Row],[CountIndex]]</f>
        <v>11638</v>
      </c>
      <c r="G659">
        <f>VLOOKUP(AvatarMatResID[[#This Row],[AvatarPart]],AvatarPartID[],2,0)</f>
        <v>1</v>
      </c>
      <c r="H659">
        <f>VLOOKUP(AvatarMatResID[[#This Row],[Sex]],SexID[],2,0)</f>
        <v>1</v>
      </c>
      <c r="I659" t="str">
        <f>AvatarMatResID[[#This Row],[Material]]</f>
        <v>Female White Sorceress 05 Magenta</v>
      </c>
    </row>
    <row r="660" spans="1:9" x14ac:dyDescent="0.15">
      <c r="A660" t="s">
        <v>454</v>
      </c>
      <c r="B660" t="s">
        <v>1920</v>
      </c>
      <c r="C660" t="s">
        <v>1035</v>
      </c>
      <c r="D660">
        <v>639</v>
      </c>
      <c r="F660">
        <f>OUTPUTAvatarMatResID[[#This Row],[AvatarPartID]]*10000+OUTPUTAvatarMatResID[[#This Row],[SexID]]*1000+AvatarMatResID[[#This Row],[CountIndex]]</f>
        <v>11639</v>
      </c>
      <c r="G660">
        <f>VLOOKUP(AvatarMatResID[[#This Row],[AvatarPart]],AvatarPartID[],2,0)</f>
        <v>1</v>
      </c>
      <c r="H660">
        <f>VLOOKUP(AvatarMatResID[[#This Row],[Sex]],SexID[],2,0)</f>
        <v>1</v>
      </c>
      <c r="I660" t="str">
        <f>AvatarMatResID[[#This Row],[Material]]</f>
        <v>Female White Sorceress 05 Purple</v>
      </c>
    </row>
    <row r="661" spans="1:9" x14ac:dyDescent="0.15">
      <c r="A661" t="s">
        <v>454</v>
      </c>
      <c r="B661" t="s">
        <v>1920</v>
      </c>
      <c r="C661" t="s">
        <v>1036</v>
      </c>
      <c r="D661">
        <v>640</v>
      </c>
      <c r="F661">
        <f>OUTPUTAvatarMatResID[[#This Row],[AvatarPartID]]*10000+OUTPUTAvatarMatResID[[#This Row],[SexID]]*1000+AvatarMatResID[[#This Row],[CountIndex]]</f>
        <v>11640</v>
      </c>
      <c r="G661">
        <f>VLOOKUP(AvatarMatResID[[#This Row],[AvatarPart]],AvatarPartID[],2,0)</f>
        <v>1</v>
      </c>
      <c r="H661">
        <f>VLOOKUP(AvatarMatResID[[#This Row],[Sex]],SexID[],2,0)</f>
        <v>1</v>
      </c>
      <c r="I661" t="str">
        <f>AvatarMatResID[[#This Row],[Material]]</f>
        <v>Female White Sorceress 05 Red</v>
      </c>
    </row>
    <row r="662" spans="1:9" x14ac:dyDescent="0.15">
      <c r="A662" t="s">
        <v>454</v>
      </c>
      <c r="B662" t="s">
        <v>1920</v>
      </c>
      <c r="C662" t="s">
        <v>1037</v>
      </c>
      <c r="D662">
        <v>641</v>
      </c>
      <c r="F662">
        <f>OUTPUTAvatarMatResID[[#This Row],[AvatarPartID]]*10000+OUTPUTAvatarMatResID[[#This Row],[SexID]]*1000+AvatarMatResID[[#This Row],[CountIndex]]</f>
        <v>11641</v>
      </c>
      <c r="G662">
        <f>VLOOKUP(AvatarMatResID[[#This Row],[AvatarPart]],AvatarPartID[],2,0)</f>
        <v>1</v>
      </c>
      <c r="H662">
        <f>VLOOKUP(AvatarMatResID[[#This Row],[Sex]],SexID[],2,0)</f>
        <v>1</v>
      </c>
      <c r="I662" t="str">
        <f>AvatarMatResID[[#This Row],[Material]]</f>
        <v>Female White Sorceress 05 White</v>
      </c>
    </row>
    <row r="663" spans="1:9" x14ac:dyDescent="0.15">
      <c r="A663" t="s">
        <v>454</v>
      </c>
      <c r="B663" t="s">
        <v>1920</v>
      </c>
      <c r="C663" t="s">
        <v>1038</v>
      </c>
      <c r="D663">
        <v>642</v>
      </c>
      <c r="F663">
        <f>OUTPUTAvatarMatResID[[#This Row],[AvatarPartID]]*10000+OUTPUTAvatarMatResID[[#This Row],[SexID]]*1000+AvatarMatResID[[#This Row],[CountIndex]]</f>
        <v>11642</v>
      </c>
      <c r="G663">
        <f>VLOOKUP(AvatarMatResID[[#This Row],[AvatarPart]],AvatarPartID[],2,0)</f>
        <v>1</v>
      </c>
      <c r="H663">
        <f>VLOOKUP(AvatarMatResID[[#This Row],[Sex]],SexID[],2,0)</f>
        <v>1</v>
      </c>
      <c r="I663" t="str">
        <f>AvatarMatResID[[#This Row],[Material]]</f>
        <v>Female White Sorceress 06 Black</v>
      </c>
    </row>
    <row r="664" spans="1:9" x14ac:dyDescent="0.15">
      <c r="A664" t="s">
        <v>454</v>
      </c>
      <c r="B664" t="s">
        <v>1920</v>
      </c>
      <c r="C664" t="s">
        <v>1039</v>
      </c>
      <c r="D664">
        <v>643</v>
      </c>
      <c r="F664">
        <f>OUTPUTAvatarMatResID[[#This Row],[AvatarPartID]]*10000+OUTPUTAvatarMatResID[[#This Row],[SexID]]*1000+AvatarMatResID[[#This Row],[CountIndex]]</f>
        <v>11643</v>
      </c>
      <c r="G664">
        <f>VLOOKUP(AvatarMatResID[[#This Row],[AvatarPart]],AvatarPartID[],2,0)</f>
        <v>1</v>
      </c>
      <c r="H664">
        <f>VLOOKUP(AvatarMatResID[[#This Row],[Sex]],SexID[],2,0)</f>
        <v>1</v>
      </c>
      <c r="I664" t="str">
        <f>AvatarMatResID[[#This Row],[Material]]</f>
        <v>Female White Sorceress 06 Blue</v>
      </c>
    </row>
    <row r="665" spans="1:9" x14ac:dyDescent="0.15">
      <c r="A665" t="s">
        <v>454</v>
      </c>
      <c r="B665" t="s">
        <v>1920</v>
      </c>
      <c r="C665" t="s">
        <v>1040</v>
      </c>
      <c r="D665">
        <v>644</v>
      </c>
      <c r="F665">
        <f>OUTPUTAvatarMatResID[[#This Row],[AvatarPartID]]*10000+OUTPUTAvatarMatResID[[#This Row],[SexID]]*1000+AvatarMatResID[[#This Row],[CountIndex]]</f>
        <v>11644</v>
      </c>
      <c r="G665">
        <f>VLOOKUP(AvatarMatResID[[#This Row],[AvatarPart]],AvatarPartID[],2,0)</f>
        <v>1</v>
      </c>
      <c r="H665">
        <f>VLOOKUP(AvatarMatResID[[#This Row],[Sex]],SexID[],2,0)</f>
        <v>1</v>
      </c>
      <c r="I665" t="str">
        <f>AvatarMatResID[[#This Row],[Material]]</f>
        <v>Female White Sorceress 06 Brown</v>
      </c>
    </row>
    <row r="666" spans="1:9" x14ac:dyDescent="0.15">
      <c r="A666" t="s">
        <v>454</v>
      </c>
      <c r="B666" t="s">
        <v>1920</v>
      </c>
      <c r="C666" t="s">
        <v>1041</v>
      </c>
      <c r="D666">
        <v>645</v>
      </c>
      <c r="F666">
        <f>OUTPUTAvatarMatResID[[#This Row],[AvatarPartID]]*10000+OUTPUTAvatarMatResID[[#This Row],[SexID]]*1000+AvatarMatResID[[#This Row],[CountIndex]]</f>
        <v>11645</v>
      </c>
      <c r="G666">
        <f>VLOOKUP(AvatarMatResID[[#This Row],[AvatarPart]],AvatarPartID[],2,0)</f>
        <v>1</v>
      </c>
      <c r="H666">
        <f>VLOOKUP(AvatarMatResID[[#This Row],[Sex]],SexID[],2,0)</f>
        <v>1</v>
      </c>
      <c r="I666" t="str">
        <f>AvatarMatResID[[#This Row],[Material]]</f>
        <v>Female White Sorceress 06 Green</v>
      </c>
    </row>
    <row r="667" spans="1:9" x14ac:dyDescent="0.15">
      <c r="A667" t="s">
        <v>454</v>
      </c>
      <c r="B667" t="s">
        <v>1920</v>
      </c>
      <c r="C667" t="s">
        <v>1042</v>
      </c>
      <c r="D667">
        <v>646</v>
      </c>
      <c r="F667">
        <f>OUTPUTAvatarMatResID[[#This Row],[AvatarPartID]]*10000+OUTPUTAvatarMatResID[[#This Row],[SexID]]*1000+AvatarMatResID[[#This Row],[CountIndex]]</f>
        <v>11646</v>
      </c>
      <c r="G667">
        <f>VLOOKUP(AvatarMatResID[[#This Row],[AvatarPart]],AvatarPartID[],2,0)</f>
        <v>1</v>
      </c>
      <c r="H667">
        <f>VLOOKUP(AvatarMatResID[[#This Row],[Sex]],SexID[],2,0)</f>
        <v>1</v>
      </c>
      <c r="I667" t="str">
        <f>AvatarMatResID[[#This Row],[Material]]</f>
        <v>Female White Sorceress 06 Magenta</v>
      </c>
    </row>
    <row r="668" spans="1:9" x14ac:dyDescent="0.15">
      <c r="A668" t="s">
        <v>454</v>
      </c>
      <c r="B668" t="s">
        <v>1920</v>
      </c>
      <c r="C668" t="s">
        <v>1043</v>
      </c>
      <c r="D668">
        <v>647</v>
      </c>
      <c r="F668">
        <f>OUTPUTAvatarMatResID[[#This Row],[AvatarPartID]]*10000+OUTPUTAvatarMatResID[[#This Row],[SexID]]*1000+AvatarMatResID[[#This Row],[CountIndex]]</f>
        <v>11647</v>
      </c>
      <c r="G668">
        <f>VLOOKUP(AvatarMatResID[[#This Row],[AvatarPart]],AvatarPartID[],2,0)</f>
        <v>1</v>
      </c>
      <c r="H668">
        <f>VLOOKUP(AvatarMatResID[[#This Row],[Sex]],SexID[],2,0)</f>
        <v>1</v>
      </c>
      <c r="I668" t="str">
        <f>AvatarMatResID[[#This Row],[Material]]</f>
        <v>Female White Sorceress 06 Purple</v>
      </c>
    </row>
    <row r="669" spans="1:9" x14ac:dyDescent="0.15">
      <c r="A669" t="s">
        <v>454</v>
      </c>
      <c r="B669" t="s">
        <v>1920</v>
      </c>
      <c r="C669" t="s">
        <v>1044</v>
      </c>
      <c r="D669">
        <v>648</v>
      </c>
      <c r="F669">
        <f>OUTPUTAvatarMatResID[[#This Row],[AvatarPartID]]*10000+OUTPUTAvatarMatResID[[#This Row],[SexID]]*1000+AvatarMatResID[[#This Row],[CountIndex]]</f>
        <v>11648</v>
      </c>
      <c r="G669">
        <f>VLOOKUP(AvatarMatResID[[#This Row],[AvatarPart]],AvatarPartID[],2,0)</f>
        <v>1</v>
      </c>
      <c r="H669">
        <f>VLOOKUP(AvatarMatResID[[#This Row],[Sex]],SexID[],2,0)</f>
        <v>1</v>
      </c>
      <c r="I669" t="str">
        <f>AvatarMatResID[[#This Row],[Material]]</f>
        <v>Female White Sorceress 06 Red</v>
      </c>
    </row>
    <row r="670" spans="1:9" x14ac:dyDescent="0.15">
      <c r="A670" t="s">
        <v>454</v>
      </c>
      <c r="B670" t="s">
        <v>1920</v>
      </c>
      <c r="C670" t="s">
        <v>1045</v>
      </c>
      <c r="D670">
        <v>649</v>
      </c>
      <c r="F670">
        <f>OUTPUTAvatarMatResID[[#This Row],[AvatarPartID]]*10000+OUTPUTAvatarMatResID[[#This Row],[SexID]]*1000+AvatarMatResID[[#This Row],[CountIndex]]</f>
        <v>11649</v>
      </c>
      <c r="G670">
        <f>VLOOKUP(AvatarMatResID[[#This Row],[AvatarPart]],AvatarPartID[],2,0)</f>
        <v>1</v>
      </c>
      <c r="H670">
        <f>VLOOKUP(AvatarMatResID[[#This Row],[Sex]],SexID[],2,0)</f>
        <v>1</v>
      </c>
      <c r="I670" t="str">
        <f>AvatarMatResID[[#This Row],[Material]]</f>
        <v>Female White Sorceress 06 White</v>
      </c>
    </row>
    <row r="671" spans="1:9" x14ac:dyDescent="0.15">
      <c r="A671" t="s">
        <v>454</v>
      </c>
      <c r="B671" t="s">
        <v>1923</v>
      </c>
      <c r="C671" t="s">
        <v>1046</v>
      </c>
      <c r="D671">
        <v>1</v>
      </c>
      <c r="F671">
        <f>OUTPUTAvatarMatResID[[#This Row],[AvatarPartID]]*10000+OUTPUTAvatarMatResID[[#This Row],[SexID]]*1000+AvatarMatResID[[#This Row],[CountIndex]]</f>
        <v>12001</v>
      </c>
      <c r="G671">
        <f>VLOOKUP(AvatarMatResID[[#This Row],[AvatarPart]],AvatarPartID[],2,0)</f>
        <v>1</v>
      </c>
      <c r="H671">
        <f>VLOOKUP(AvatarMatResID[[#This Row],[Sex]],SexID[],2,0)</f>
        <v>2</v>
      </c>
      <c r="I671" t="str">
        <f>AvatarMatResID[[#This Row],[Material]]</f>
        <v>Male Aqua 01 Blue</v>
      </c>
    </row>
    <row r="672" spans="1:9" x14ac:dyDescent="0.15">
      <c r="A672" t="s">
        <v>454</v>
      </c>
      <c r="B672" t="s">
        <v>1923</v>
      </c>
      <c r="C672" t="s">
        <v>1047</v>
      </c>
      <c r="D672">
        <v>2</v>
      </c>
      <c r="F672">
        <f>OUTPUTAvatarMatResID[[#This Row],[AvatarPartID]]*10000+OUTPUTAvatarMatResID[[#This Row],[SexID]]*1000+AvatarMatResID[[#This Row],[CountIndex]]</f>
        <v>12002</v>
      </c>
      <c r="G672">
        <f>VLOOKUP(AvatarMatResID[[#This Row],[AvatarPart]],AvatarPartID[],2,0)</f>
        <v>1</v>
      </c>
      <c r="H672">
        <f>VLOOKUP(AvatarMatResID[[#This Row],[Sex]],SexID[],2,0)</f>
        <v>2</v>
      </c>
      <c r="I672" t="str">
        <f>AvatarMatResID[[#This Row],[Material]]</f>
        <v>Male Aqua 01 Cyan</v>
      </c>
    </row>
    <row r="673" spans="1:9" x14ac:dyDescent="0.15">
      <c r="A673" t="s">
        <v>454</v>
      </c>
      <c r="B673" t="s">
        <v>1923</v>
      </c>
      <c r="C673" t="s">
        <v>1048</v>
      </c>
      <c r="D673">
        <v>3</v>
      </c>
      <c r="F673">
        <f>OUTPUTAvatarMatResID[[#This Row],[AvatarPartID]]*10000+OUTPUTAvatarMatResID[[#This Row],[SexID]]*1000+AvatarMatResID[[#This Row],[CountIndex]]</f>
        <v>12003</v>
      </c>
      <c r="G673">
        <f>VLOOKUP(AvatarMatResID[[#This Row],[AvatarPart]],AvatarPartID[],2,0)</f>
        <v>1</v>
      </c>
      <c r="H673">
        <f>VLOOKUP(AvatarMatResID[[#This Row],[Sex]],SexID[],2,0)</f>
        <v>2</v>
      </c>
      <c r="I673" t="str">
        <f>AvatarMatResID[[#This Row],[Material]]</f>
        <v>Male Black Archer 01 Black</v>
      </c>
    </row>
    <row r="674" spans="1:9" x14ac:dyDescent="0.15">
      <c r="A674" t="s">
        <v>454</v>
      </c>
      <c r="B674" t="s">
        <v>1923</v>
      </c>
      <c r="C674" t="s">
        <v>1049</v>
      </c>
      <c r="D674">
        <v>4</v>
      </c>
      <c r="F674">
        <f>OUTPUTAvatarMatResID[[#This Row],[AvatarPartID]]*10000+OUTPUTAvatarMatResID[[#This Row],[SexID]]*1000+AvatarMatResID[[#This Row],[CountIndex]]</f>
        <v>12004</v>
      </c>
      <c r="G674">
        <f>VLOOKUP(AvatarMatResID[[#This Row],[AvatarPart]],AvatarPartID[],2,0)</f>
        <v>1</v>
      </c>
      <c r="H674">
        <f>VLOOKUP(AvatarMatResID[[#This Row],[Sex]],SexID[],2,0)</f>
        <v>2</v>
      </c>
      <c r="I674" t="str">
        <f>AvatarMatResID[[#This Row],[Material]]</f>
        <v>Male Black Archer 01 Blue</v>
      </c>
    </row>
    <row r="675" spans="1:9" x14ac:dyDescent="0.15">
      <c r="A675" t="s">
        <v>454</v>
      </c>
      <c r="B675" t="s">
        <v>1923</v>
      </c>
      <c r="C675" t="s">
        <v>1050</v>
      </c>
      <c r="D675">
        <v>5</v>
      </c>
      <c r="F675">
        <f>OUTPUTAvatarMatResID[[#This Row],[AvatarPartID]]*10000+OUTPUTAvatarMatResID[[#This Row],[SexID]]*1000+AvatarMatResID[[#This Row],[CountIndex]]</f>
        <v>12005</v>
      </c>
      <c r="G675">
        <f>VLOOKUP(AvatarMatResID[[#This Row],[AvatarPart]],AvatarPartID[],2,0)</f>
        <v>1</v>
      </c>
      <c r="H675">
        <f>VLOOKUP(AvatarMatResID[[#This Row],[Sex]],SexID[],2,0)</f>
        <v>2</v>
      </c>
      <c r="I675" t="str">
        <f>AvatarMatResID[[#This Row],[Material]]</f>
        <v>Male Black Archer 01 Green</v>
      </c>
    </row>
    <row r="676" spans="1:9" x14ac:dyDescent="0.15">
      <c r="A676" t="s">
        <v>454</v>
      </c>
      <c r="B676" t="s">
        <v>1923</v>
      </c>
      <c r="C676" t="s">
        <v>1051</v>
      </c>
      <c r="D676">
        <v>6</v>
      </c>
      <c r="F676">
        <f>OUTPUTAvatarMatResID[[#This Row],[AvatarPartID]]*10000+OUTPUTAvatarMatResID[[#This Row],[SexID]]*1000+AvatarMatResID[[#This Row],[CountIndex]]</f>
        <v>12006</v>
      </c>
      <c r="G676">
        <f>VLOOKUP(AvatarMatResID[[#This Row],[AvatarPart]],AvatarPartID[],2,0)</f>
        <v>1</v>
      </c>
      <c r="H676">
        <f>VLOOKUP(AvatarMatResID[[#This Row],[Sex]],SexID[],2,0)</f>
        <v>2</v>
      </c>
      <c r="I676" t="str">
        <f>AvatarMatResID[[#This Row],[Material]]</f>
        <v>Male Black Archer 01 Maroon</v>
      </c>
    </row>
    <row r="677" spans="1:9" x14ac:dyDescent="0.15">
      <c r="A677" t="s">
        <v>454</v>
      </c>
      <c r="B677" t="s">
        <v>1923</v>
      </c>
      <c r="C677" t="s">
        <v>1052</v>
      </c>
      <c r="D677">
        <v>7</v>
      </c>
      <c r="F677">
        <f>OUTPUTAvatarMatResID[[#This Row],[AvatarPartID]]*10000+OUTPUTAvatarMatResID[[#This Row],[SexID]]*1000+AvatarMatResID[[#This Row],[CountIndex]]</f>
        <v>12007</v>
      </c>
      <c r="G677">
        <f>VLOOKUP(AvatarMatResID[[#This Row],[AvatarPart]],AvatarPartID[],2,0)</f>
        <v>1</v>
      </c>
      <c r="H677">
        <f>VLOOKUP(AvatarMatResID[[#This Row],[Sex]],SexID[],2,0)</f>
        <v>2</v>
      </c>
      <c r="I677" t="str">
        <f>AvatarMatResID[[#This Row],[Material]]</f>
        <v>Male Black Archer 01 Olive</v>
      </c>
    </row>
    <row r="678" spans="1:9" x14ac:dyDescent="0.15">
      <c r="A678" t="s">
        <v>454</v>
      </c>
      <c r="B678" t="s">
        <v>1923</v>
      </c>
      <c r="C678" t="s">
        <v>1053</v>
      </c>
      <c r="D678">
        <v>8</v>
      </c>
      <c r="F678">
        <f>OUTPUTAvatarMatResID[[#This Row],[AvatarPartID]]*10000+OUTPUTAvatarMatResID[[#This Row],[SexID]]*1000+AvatarMatResID[[#This Row],[CountIndex]]</f>
        <v>12008</v>
      </c>
      <c r="G678">
        <f>VLOOKUP(AvatarMatResID[[#This Row],[AvatarPart]],AvatarPartID[],2,0)</f>
        <v>1</v>
      </c>
      <c r="H678">
        <f>VLOOKUP(AvatarMatResID[[#This Row],[Sex]],SexID[],2,0)</f>
        <v>2</v>
      </c>
      <c r="I678" t="str">
        <f>AvatarMatResID[[#This Row],[Material]]</f>
        <v>Male Black Archer 01 Purple</v>
      </c>
    </row>
    <row r="679" spans="1:9" x14ac:dyDescent="0.15">
      <c r="A679" t="s">
        <v>454</v>
      </c>
      <c r="B679" t="s">
        <v>1923</v>
      </c>
      <c r="C679" t="s">
        <v>1054</v>
      </c>
      <c r="D679">
        <v>9</v>
      </c>
      <c r="F679">
        <f>OUTPUTAvatarMatResID[[#This Row],[AvatarPartID]]*10000+OUTPUTAvatarMatResID[[#This Row],[SexID]]*1000+AvatarMatResID[[#This Row],[CountIndex]]</f>
        <v>12009</v>
      </c>
      <c r="G679">
        <f>VLOOKUP(AvatarMatResID[[#This Row],[AvatarPart]],AvatarPartID[],2,0)</f>
        <v>1</v>
      </c>
      <c r="H679">
        <f>VLOOKUP(AvatarMatResID[[#This Row],[Sex]],SexID[],2,0)</f>
        <v>2</v>
      </c>
      <c r="I679" t="str">
        <f>AvatarMatResID[[#This Row],[Material]]</f>
        <v>Male Black Archer 01 White</v>
      </c>
    </row>
    <row r="680" spans="1:9" x14ac:dyDescent="0.15">
      <c r="A680" t="s">
        <v>454</v>
      </c>
      <c r="B680" t="s">
        <v>1923</v>
      </c>
      <c r="C680" t="s">
        <v>1055</v>
      </c>
      <c r="D680">
        <v>10</v>
      </c>
      <c r="F680">
        <f>OUTPUTAvatarMatResID[[#This Row],[AvatarPartID]]*10000+OUTPUTAvatarMatResID[[#This Row],[SexID]]*1000+AvatarMatResID[[#This Row],[CountIndex]]</f>
        <v>12010</v>
      </c>
      <c r="G680">
        <f>VLOOKUP(AvatarMatResID[[#This Row],[AvatarPart]],AvatarPartID[],2,0)</f>
        <v>1</v>
      </c>
      <c r="H680">
        <f>VLOOKUP(AvatarMatResID[[#This Row],[Sex]],SexID[],2,0)</f>
        <v>2</v>
      </c>
      <c r="I680" t="str">
        <f>AvatarMatResID[[#This Row],[Material]]</f>
        <v>Male Black Archer 02 Blue</v>
      </c>
    </row>
    <row r="681" spans="1:9" x14ac:dyDescent="0.15">
      <c r="A681" t="s">
        <v>454</v>
      </c>
      <c r="B681" t="s">
        <v>1923</v>
      </c>
      <c r="C681" t="s">
        <v>1056</v>
      </c>
      <c r="D681">
        <v>11</v>
      </c>
      <c r="F681">
        <f>OUTPUTAvatarMatResID[[#This Row],[AvatarPartID]]*10000+OUTPUTAvatarMatResID[[#This Row],[SexID]]*1000+AvatarMatResID[[#This Row],[CountIndex]]</f>
        <v>12011</v>
      </c>
      <c r="G681">
        <f>VLOOKUP(AvatarMatResID[[#This Row],[AvatarPart]],AvatarPartID[],2,0)</f>
        <v>1</v>
      </c>
      <c r="H681">
        <f>VLOOKUP(AvatarMatResID[[#This Row],[Sex]],SexID[],2,0)</f>
        <v>2</v>
      </c>
      <c r="I681" t="str">
        <f>AvatarMatResID[[#This Row],[Material]]</f>
        <v>Male Black Archer 02 Green</v>
      </c>
    </row>
    <row r="682" spans="1:9" x14ac:dyDescent="0.15">
      <c r="A682" t="s">
        <v>454</v>
      </c>
      <c r="B682" t="s">
        <v>1923</v>
      </c>
      <c r="C682" t="s">
        <v>1057</v>
      </c>
      <c r="D682">
        <v>12</v>
      </c>
      <c r="F682">
        <f>OUTPUTAvatarMatResID[[#This Row],[AvatarPartID]]*10000+OUTPUTAvatarMatResID[[#This Row],[SexID]]*1000+AvatarMatResID[[#This Row],[CountIndex]]</f>
        <v>12012</v>
      </c>
      <c r="G682">
        <f>VLOOKUP(AvatarMatResID[[#This Row],[AvatarPart]],AvatarPartID[],2,0)</f>
        <v>1</v>
      </c>
      <c r="H682">
        <f>VLOOKUP(AvatarMatResID[[#This Row],[Sex]],SexID[],2,0)</f>
        <v>2</v>
      </c>
      <c r="I682" t="str">
        <f>AvatarMatResID[[#This Row],[Material]]</f>
        <v>Male Black Archer 02 Olive</v>
      </c>
    </row>
    <row r="683" spans="1:9" x14ac:dyDescent="0.15">
      <c r="A683" t="s">
        <v>454</v>
      </c>
      <c r="B683" t="s">
        <v>1923</v>
      </c>
      <c r="C683" t="s">
        <v>1058</v>
      </c>
      <c r="D683">
        <v>13</v>
      </c>
      <c r="F683">
        <f>OUTPUTAvatarMatResID[[#This Row],[AvatarPartID]]*10000+OUTPUTAvatarMatResID[[#This Row],[SexID]]*1000+AvatarMatResID[[#This Row],[CountIndex]]</f>
        <v>12013</v>
      </c>
      <c r="G683">
        <f>VLOOKUP(AvatarMatResID[[#This Row],[AvatarPart]],AvatarPartID[],2,0)</f>
        <v>1</v>
      </c>
      <c r="H683">
        <f>VLOOKUP(AvatarMatResID[[#This Row],[Sex]],SexID[],2,0)</f>
        <v>2</v>
      </c>
      <c r="I683" t="str">
        <f>AvatarMatResID[[#This Row],[Material]]</f>
        <v>Male Black Archer 02 Purple</v>
      </c>
    </row>
    <row r="684" spans="1:9" x14ac:dyDescent="0.15">
      <c r="A684" t="s">
        <v>454</v>
      </c>
      <c r="B684" t="s">
        <v>1923</v>
      </c>
      <c r="C684" t="s">
        <v>1059</v>
      </c>
      <c r="D684">
        <v>14</v>
      </c>
      <c r="F684">
        <f>OUTPUTAvatarMatResID[[#This Row],[AvatarPartID]]*10000+OUTPUTAvatarMatResID[[#This Row],[SexID]]*1000+AvatarMatResID[[#This Row],[CountIndex]]</f>
        <v>12014</v>
      </c>
      <c r="G684">
        <f>VLOOKUP(AvatarMatResID[[#This Row],[AvatarPart]],AvatarPartID[],2,0)</f>
        <v>1</v>
      </c>
      <c r="H684">
        <f>VLOOKUP(AvatarMatResID[[#This Row],[Sex]],SexID[],2,0)</f>
        <v>2</v>
      </c>
      <c r="I684" t="str">
        <f>AvatarMatResID[[#This Row],[Material]]</f>
        <v>Male Black Archer 02 Red</v>
      </c>
    </row>
    <row r="685" spans="1:9" x14ac:dyDescent="0.15">
      <c r="A685" t="s">
        <v>454</v>
      </c>
      <c r="B685" t="s">
        <v>1923</v>
      </c>
      <c r="C685" t="s">
        <v>1060</v>
      </c>
      <c r="D685">
        <v>15</v>
      </c>
      <c r="F685">
        <f>OUTPUTAvatarMatResID[[#This Row],[AvatarPartID]]*10000+OUTPUTAvatarMatResID[[#This Row],[SexID]]*1000+AvatarMatResID[[#This Row],[CountIndex]]</f>
        <v>12015</v>
      </c>
      <c r="G685">
        <f>VLOOKUP(AvatarMatResID[[#This Row],[AvatarPart]],AvatarPartID[],2,0)</f>
        <v>1</v>
      </c>
      <c r="H685">
        <f>VLOOKUP(AvatarMatResID[[#This Row],[Sex]],SexID[],2,0)</f>
        <v>2</v>
      </c>
      <c r="I685" t="str">
        <f>AvatarMatResID[[#This Row],[Material]]</f>
        <v>Male Black Archer 02 White</v>
      </c>
    </row>
    <row r="686" spans="1:9" x14ac:dyDescent="0.15">
      <c r="A686" t="s">
        <v>454</v>
      </c>
      <c r="B686" t="s">
        <v>1923</v>
      </c>
      <c r="C686" t="s">
        <v>1061</v>
      </c>
      <c r="D686">
        <v>16</v>
      </c>
      <c r="F686">
        <f>OUTPUTAvatarMatResID[[#This Row],[AvatarPartID]]*10000+OUTPUTAvatarMatResID[[#This Row],[SexID]]*1000+AvatarMatResID[[#This Row],[CountIndex]]</f>
        <v>12016</v>
      </c>
      <c r="G686">
        <f>VLOOKUP(AvatarMatResID[[#This Row],[AvatarPart]],AvatarPartID[],2,0)</f>
        <v>1</v>
      </c>
      <c r="H686">
        <f>VLOOKUP(AvatarMatResID[[#This Row],[Sex]],SexID[],2,0)</f>
        <v>2</v>
      </c>
      <c r="I686" t="str">
        <f>AvatarMatResID[[#This Row],[Material]]</f>
        <v>Male Black Archer 03 Black</v>
      </c>
    </row>
    <row r="687" spans="1:9" x14ac:dyDescent="0.15">
      <c r="A687" t="s">
        <v>454</v>
      </c>
      <c r="B687" t="s">
        <v>1923</v>
      </c>
      <c r="C687" t="s">
        <v>1062</v>
      </c>
      <c r="D687">
        <v>17</v>
      </c>
      <c r="F687">
        <f>OUTPUTAvatarMatResID[[#This Row],[AvatarPartID]]*10000+OUTPUTAvatarMatResID[[#This Row],[SexID]]*1000+AvatarMatResID[[#This Row],[CountIndex]]</f>
        <v>12017</v>
      </c>
      <c r="G687">
        <f>VLOOKUP(AvatarMatResID[[#This Row],[AvatarPart]],AvatarPartID[],2,0)</f>
        <v>1</v>
      </c>
      <c r="H687">
        <f>VLOOKUP(AvatarMatResID[[#This Row],[Sex]],SexID[],2,0)</f>
        <v>2</v>
      </c>
      <c r="I687" t="str">
        <f>AvatarMatResID[[#This Row],[Material]]</f>
        <v>Male Black Archer 03 Blue</v>
      </c>
    </row>
    <row r="688" spans="1:9" x14ac:dyDescent="0.15">
      <c r="A688" t="s">
        <v>454</v>
      </c>
      <c r="B688" t="s">
        <v>1923</v>
      </c>
      <c r="C688" t="s">
        <v>1063</v>
      </c>
      <c r="D688">
        <v>18</v>
      </c>
      <c r="F688">
        <f>OUTPUTAvatarMatResID[[#This Row],[AvatarPartID]]*10000+OUTPUTAvatarMatResID[[#This Row],[SexID]]*1000+AvatarMatResID[[#This Row],[CountIndex]]</f>
        <v>12018</v>
      </c>
      <c r="G688">
        <f>VLOOKUP(AvatarMatResID[[#This Row],[AvatarPart]],AvatarPartID[],2,0)</f>
        <v>1</v>
      </c>
      <c r="H688">
        <f>VLOOKUP(AvatarMatResID[[#This Row],[Sex]],SexID[],2,0)</f>
        <v>2</v>
      </c>
      <c r="I688" t="str">
        <f>AvatarMatResID[[#This Row],[Material]]</f>
        <v>Male Black Archer 03 Green</v>
      </c>
    </row>
    <row r="689" spans="1:9" x14ac:dyDescent="0.15">
      <c r="A689" t="s">
        <v>454</v>
      </c>
      <c r="B689" t="s">
        <v>1923</v>
      </c>
      <c r="C689" t="s">
        <v>1064</v>
      </c>
      <c r="D689">
        <v>19</v>
      </c>
      <c r="F689">
        <f>OUTPUTAvatarMatResID[[#This Row],[AvatarPartID]]*10000+OUTPUTAvatarMatResID[[#This Row],[SexID]]*1000+AvatarMatResID[[#This Row],[CountIndex]]</f>
        <v>12019</v>
      </c>
      <c r="G689">
        <f>VLOOKUP(AvatarMatResID[[#This Row],[AvatarPart]],AvatarPartID[],2,0)</f>
        <v>1</v>
      </c>
      <c r="H689">
        <f>VLOOKUP(AvatarMatResID[[#This Row],[Sex]],SexID[],2,0)</f>
        <v>2</v>
      </c>
      <c r="I689" t="str">
        <f>AvatarMatResID[[#This Row],[Material]]</f>
        <v>Male Black Archer 03 Magenta</v>
      </c>
    </row>
    <row r="690" spans="1:9" x14ac:dyDescent="0.15">
      <c r="A690" t="s">
        <v>454</v>
      </c>
      <c r="B690" t="s">
        <v>1923</v>
      </c>
      <c r="C690" t="s">
        <v>1065</v>
      </c>
      <c r="D690">
        <v>20</v>
      </c>
      <c r="F690">
        <f>OUTPUTAvatarMatResID[[#This Row],[AvatarPartID]]*10000+OUTPUTAvatarMatResID[[#This Row],[SexID]]*1000+AvatarMatResID[[#This Row],[CountIndex]]</f>
        <v>12020</v>
      </c>
      <c r="G690">
        <f>VLOOKUP(AvatarMatResID[[#This Row],[AvatarPart]],AvatarPartID[],2,0)</f>
        <v>1</v>
      </c>
      <c r="H690">
        <f>VLOOKUP(AvatarMatResID[[#This Row],[Sex]],SexID[],2,0)</f>
        <v>2</v>
      </c>
      <c r="I690" t="str">
        <f>AvatarMatResID[[#This Row],[Material]]</f>
        <v>Male Black Archer 03 Purple</v>
      </c>
    </row>
    <row r="691" spans="1:9" x14ac:dyDescent="0.15">
      <c r="A691" t="s">
        <v>454</v>
      </c>
      <c r="B691" t="s">
        <v>1923</v>
      </c>
      <c r="C691" t="s">
        <v>1066</v>
      </c>
      <c r="D691">
        <v>21</v>
      </c>
      <c r="F691">
        <f>OUTPUTAvatarMatResID[[#This Row],[AvatarPartID]]*10000+OUTPUTAvatarMatResID[[#This Row],[SexID]]*1000+AvatarMatResID[[#This Row],[CountIndex]]</f>
        <v>12021</v>
      </c>
      <c r="G691">
        <f>VLOOKUP(AvatarMatResID[[#This Row],[AvatarPart]],AvatarPartID[],2,0)</f>
        <v>1</v>
      </c>
      <c r="H691">
        <f>VLOOKUP(AvatarMatResID[[#This Row],[Sex]],SexID[],2,0)</f>
        <v>2</v>
      </c>
      <c r="I691" t="str">
        <f>AvatarMatResID[[#This Row],[Material]]</f>
        <v>Male Black Archer 03 Red</v>
      </c>
    </row>
    <row r="692" spans="1:9" x14ac:dyDescent="0.15">
      <c r="A692" t="s">
        <v>454</v>
      </c>
      <c r="B692" t="s">
        <v>1923</v>
      </c>
      <c r="C692" t="s">
        <v>1067</v>
      </c>
      <c r="D692">
        <v>22</v>
      </c>
      <c r="F692">
        <f>OUTPUTAvatarMatResID[[#This Row],[AvatarPartID]]*10000+OUTPUTAvatarMatResID[[#This Row],[SexID]]*1000+AvatarMatResID[[#This Row],[CountIndex]]</f>
        <v>12022</v>
      </c>
      <c r="G692">
        <f>VLOOKUP(AvatarMatResID[[#This Row],[AvatarPart]],AvatarPartID[],2,0)</f>
        <v>1</v>
      </c>
      <c r="H692">
        <f>VLOOKUP(AvatarMatResID[[#This Row],[Sex]],SexID[],2,0)</f>
        <v>2</v>
      </c>
      <c r="I692" t="str">
        <f>AvatarMatResID[[#This Row],[Material]]</f>
        <v>Male Black Archer 03 White</v>
      </c>
    </row>
    <row r="693" spans="1:9" x14ac:dyDescent="0.15">
      <c r="A693" t="s">
        <v>454</v>
      </c>
      <c r="B693" t="s">
        <v>1923</v>
      </c>
      <c r="C693" t="s">
        <v>1068</v>
      </c>
      <c r="D693">
        <v>23</v>
      </c>
      <c r="F693">
        <f>OUTPUTAvatarMatResID[[#This Row],[AvatarPartID]]*10000+OUTPUTAvatarMatResID[[#This Row],[SexID]]*1000+AvatarMatResID[[#This Row],[CountIndex]]</f>
        <v>12023</v>
      </c>
      <c r="G693">
        <f>VLOOKUP(AvatarMatResID[[#This Row],[AvatarPart]],AvatarPartID[],2,0)</f>
        <v>1</v>
      </c>
      <c r="H693">
        <f>VLOOKUP(AvatarMatResID[[#This Row],[Sex]],SexID[],2,0)</f>
        <v>2</v>
      </c>
      <c r="I693" t="str">
        <f>AvatarMatResID[[#This Row],[Material]]</f>
        <v>Male Black Archer 03 Yellow</v>
      </c>
    </row>
    <row r="694" spans="1:9" x14ac:dyDescent="0.15">
      <c r="A694" t="s">
        <v>454</v>
      </c>
      <c r="B694" t="s">
        <v>1923</v>
      </c>
      <c r="C694" t="s">
        <v>1069</v>
      </c>
      <c r="D694">
        <v>24</v>
      </c>
      <c r="F694">
        <f>OUTPUTAvatarMatResID[[#This Row],[AvatarPartID]]*10000+OUTPUTAvatarMatResID[[#This Row],[SexID]]*1000+AvatarMatResID[[#This Row],[CountIndex]]</f>
        <v>12024</v>
      </c>
      <c r="G694">
        <f>VLOOKUP(AvatarMatResID[[#This Row],[AvatarPart]],AvatarPartID[],2,0)</f>
        <v>1</v>
      </c>
      <c r="H694">
        <f>VLOOKUP(AvatarMatResID[[#This Row],[Sex]],SexID[],2,0)</f>
        <v>2</v>
      </c>
      <c r="I694" t="str">
        <f>AvatarMatResID[[#This Row],[Material]]</f>
        <v>Male Black Archer 04 Black</v>
      </c>
    </row>
    <row r="695" spans="1:9" x14ac:dyDescent="0.15">
      <c r="A695" t="s">
        <v>454</v>
      </c>
      <c r="B695" t="s">
        <v>1923</v>
      </c>
      <c r="C695" t="s">
        <v>1070</v>
      </c>
      <c r="D695">
        <v>25</v>
      </c>
      <c r="F695">
        <f>OUTPUTAvatarMatResID[[#This Row],[AvatarPartID]]*10000+OUTPUTAvatarMatResID[[#This Row],[SexID]]*1000+AvatarMatResID[[#This Row],[CountIndex]]</f>
        <v>12025</v>
      </c>
      <c r="G695">
        <f>VLOOKUP(AvatarMatResID[[#This Row],[AvatarPart]],AvatarPartID[],2,0)</f>
        <v>1</v>
      </c>
      <c r="H695">
        <f>VLOOKUP(AvatarMatResID[[#This Row],[Sex]],SexID[],2,0)</f>
        <v>2</v>
      </c>
      <c r="I695" t="str">
        <f>AvatarMatResID[[#This Row],[Material]]</f>
        <v>Male Black Archer 04 Blue</v>
      </c>
    </row>
    <row r="696" spans="1:9" x14ac:dyDescent="0.15">
      <c r="A696" t="s">
        <v>454</v>
      </c>
      <c r="B696" t="s">
        <v>1923</v>
      </c>
      <c r="C696" t="s">
        <v>1071</v>
      </c>
      <c r="D696">
        <v>26</v>
      </c>
      <c r="F696">
        <f>OUTPUTAvatarMatResID[[#This Row],[AvatarPartID]]*10000+OUTPUTAvatarMatResID[[#This Row],[SexID]]*1000+AvatarMatResID[[#This Row],[CountIndex]]</f>
        <v>12026</v>
      </c>
      <c r="G696">
        <f>VLOOKUP(AvatarMatResID[[#This Row],[AvatarPart]],AvatarPartID[],2,0)</f>
        <v>1</v>
      </c>
      <c r="H696">
        <f>VLOOKUP(AvatarMatResID[[#This Row],[Sex]],SexID[],2,0)</f>
        <v>2</v>
      </c>
      <c r="I696" t="str">
        <f>AvatarMatResID[[#This Row],[Material]]</f>
        <v>Male Black Archer 04 Green</v>
      </c>
    </row>
    <row r="697" spans="1:9" x14ac:dyDescent="0.15">
      <c r="A697" t="s">
        <v>454</v>
      </c>
      <c r="B697" t="s">
        <v>1923</v>
      </c>
      <c r="C697" t="s">
        <v>1072</v>
      </c>
      <c r="D697">
        <v>27</v>
      </c>
      <c r="F697">
        <f>OUTPUTAvatarMatResID[[#This Row],[AvatarPartID]]*10000+OUTPUTAvatarMatResID[[#This Row],[SexID]]*1000+AvatarMatResID[[#This Row],[CountIndex]]</f>
        <v>12027</v>
      </c>
      <c r="G697">
        <f>VLOOKUP(AvatarMatResID[[#This Row],[AvatarPart]],AvatarPartID[],2,0)</f>
        <v>1</v>
      </c>
      <c r="H697">
        <f>VLOOKUP(AvatarMatResID[[#This Row],[Sex]],SexID[],2,0)</f>
        <v>2</v>
      </c>
      <c r="I697" t="str">
        <f>AvatarMatResID[[#This Row],[Material]]</f>
        <v>Male Black Archer 04 Magenta</v>
      </c>
    </row>
    <row r="698" spans="1:9" x14ac:dyDescent="0.15">
      <c r="A698" t="s">
        <v>454</v>
      </c>
      <c r="B698" t="s">
        <v>1923</v>
      </c>
      <c r="C698" t="s">
        <v>1073</v>
      </c>
      <c r="D698">
        <v>28</v>
      </c>
      <c r="F698">
        <f>OUTPUTAvatarMatResID[[#This Row],[AvatarPartID]]*10000+OUTPUTAvatarMatResID[[#This Row],[SexID]]*1000+AvatarMatResID[[#This Row],[CountIndex]]</f>
        <v>12028</v>
      </c>
      <c r="G698">
        <f>VLOOKUP(AvatarMatResID[[#This Row],[AvatarPart]],AvatarPartID[],2,0)</f>
        <v>1</v>
      </c>
      <c r="H698">
        <f>VLOOKUP(AvatarMatResID[[#This Row],[Sex]],SexID[],2,0)</f>
        <v>2</v>
      </c>
      <c r="I698" t="str">
        <f>AvatarMatResID[[#This Row],[Material]]</f>
        <v>Male Black Archer 04 Purple</v>
      </c>
    </row>
    <row r="699" spans="1:9" x14ac:dyDescent="0.15">
      <c r="A699" t="s">
        <v>454</v>
      </c>
      <c r="B699" t="s">
        <v>1923</v>
      </c>
      <c r="C699" t="s">
        <v>1074</v>
      </c>
      <c r="D699">
        <v>29</v>
      </c>
      <c r="F699">
        <f>OUTPUTAvatarMatResID[[#This Row],[AvatarPartID]]*10000+OUTPUTAvatarMatResID[[#This Row],[SexID]]*1000+AvatarMatResID[[#This Row],[CountIndex]]</f>
        <v>12029</v>
      </c>
      <c r="G699">
        <f>VLOOKUP(AvatarMatResID[[#This Row],[AvatarPart]],AvatarPartID[],2,0)</f>
        <v>1</v>
      </c>
      <c r="H699">
        <f>VLOOKUP(AvatarMatResID[[#This Row],[Sex]],SexID[],2,0)</f>
        <v>2</v>
      </c>
      <c r="I699" t="str">
        <f>AvatarMatResID[[#This Row],[Material]]</f>
        <v>Male Black Archer 04 Red</v>
      </c>
    </row>
    <row r="700" spans="1:9" x14ac:dyDescent="0.15">
      <c r="A700" t="s">
        <v>454</v>
      </c>
      <c r="B700" t="s">
        <v>1923</v>
      </c>
      <c r="C700" t="s">
        <v>1075</v>
      </c>
      <c r="D700">
        <v>30</v>
      </c>
      <c r="F700">
        <f>OUTPUTAvatarMatResID[[#This Row],[AvatarPartID]]*10000+OUTPUTAvatarMatResID[[#This Row],[SexID]]*1000+AvatarMatResID[[#This Row],[CountIndex]]</f>
        <v>12030</v>
      </c>
      <c r="G700">
        <f>VLOOKUP(AvatarMatResID[[#This Row],[AvatarPart]],AvatarPartID[],2,0)</f>
        <v>1</v>
      </c>
      <c r="H700">
        <f>VLOOKUP(AvatarMatResID[[#This Row],[Sex]],SexID[],2,0)</f>
        <v>2</v>
      </c>
      <c r="I700" t="str">
        <f>AvatarMatResID[[#This Row],[Material]]</f>
        <v>Male Black Archer 04 White</v>
      </c>
    </row>
    <row r="701" spans="1:9" x14ac:dyDescent="0.15">
      <c r="A701" t="s">
        <v>454</v>
      </c>
      <c r="B701" t="s">
        <v>1923</v>
      </c>
      <c r="C701" t="s">
        <v>1076</v>
      </c>
      <c r="D701">
        <v>31</v>
      </c>
      <c r="F701">
        <f>OUTPUTAvatarMatResID[[#This Row],[AvatarPartID]]*10000+OUTPUTAvatarMatResID[[#This Row],[SexID]]*1000+AvatarMatResID[[#This Row],[CountIndex]]</f>
        <v>12031</v>
      </c>
      <c r="G701">
        <f>VLOOKUP(AvatarMatResID[[#This Row],[AvatarPart]],AvatarPartID[],2,0)</f>
        <v>1</v>
      </c>
      <c r="H701">
        <f>VLOOKUP(AvatarMatResID[[#This Row],[Sex]],SexID[],2,0)</f>
        <v>2</v>
      </c>
      <c r="I701" t="str">
        <f>AvatarMatResID[[#This Row],[Material]]</f>
        <v>Male Black Archer 04 Yellow</v>
      </c>
    </row>
    <row r="702" spans="1:9" x14ac:dyDescent="0.15">
      <c r="A702" t="s">
        <v>454</v>
      </c>
      <c r="B702" t="s">
        <v>1923</v>
      </c>
      <c r="C702" t="s">
        <v>1077</v>
      </c>
      <c r="D702">
        <v>32</v>
      </c>
      <c r="F702">
        <f>OUTPUTAvatarMatResID[[#This Row],[AvatarPartID]]*10000+OUTPUTAvatarMatResID[[#This Row],[SexID]]*1000+AvatarMatResID[[#This Row],[CountIndex]]</f>
        <v>12032</v>
      </c>
      <c r="G702">
        <f>VLOOKUP(AvatarMatResID[[#This Row],[AvatarPart]],AvatarPartID[],2,0)</f>
        <v>1</v>
      </c>
      <c r="H702">
        <f>VLOOKUP(AvatarMatResID[[#This Row],[Sex]],SexID[],2,0)</f>
        <v>2</v>
      </c>
      <c r="I702" t="str">
        <f>AvatarMatResID[[#This Row],[Material]]</f>
        <v>Male Black Archer 05 Black</v>
      </c>
    </row>
    <row r="703" spans="1:9" x14ac:dyDescent="0.15">
      <c r="A703" t="s">
        <v>454</v>
      </c>
      <c r="B703" t="s">
        <v>1923</v>
      </c>
      <c r="C703" t="s">
        <v>1078</v>
      </c>
      <c r="D703">
        <v>33</v>
      </c>
      <c r="F703">
        <f>OUTPUTAvatarMatResID[[#This Row],[AvatarPartID]]*10000+OUTPUTAvatarMatResID[[#This Row],[SexID]]*1000+AvatarMatResID[[#This Row],[CountIndex]]</f>
        <v>12033</v>
      </c>
      <c r="G703">
        <f>VLOOKUP(AvatarMatResID[[#This Row],[AvatarPart]],AvatarPartID[],2,0)</f>
        <v>1</v>
      </c>
      <c r="H703">
        <f>VLOOKUP(AvatarMatResID[[#This Row],[Sex]],SexID[],2,0)</f>
        <v>2</v>
      </c>
      <c r="I703" t="str">
        <f>AvatarMatResID[[#This Row],[Material]]</f>
        <v>Male Black Archer 05 Blue</v>
      </c>
    </row>
    <row r="704" spans="1:9" x14ac:dyDescent="0.15">
      <c r="A704" t="s">
        <v>454</v>
      </c>
      <c r="B704" t="s">
        <v>1923</v>
      </c>
      <c r="C704" t="s">
        <v>1079</v>
      </c>
      <c r="D704">
        <v>34</v>
      </c>
      <c r="F704">
        <f>OUTPUTAvatarMatResID[[#This Row],[AvatarPartID]]*10000+OUTPUTAvatarMatResID[[#This Row],[SexID]]*1000+AvatarMatResID[[#This Row],[CountIndex]]</f>
        <v>12034</v>
      </c>
      <c r="G704">
        <f>VLOOKUP(AvatarMatResID[[#This Row],[AvatarPart]],AvatarPartID[],2,0)</f>
        <v>1</v>
      </c>
      <c r="H704">
        <f>VLOOKUP(AvatarMatResID[[#This Row],[Sex]],SexID[],2,0)</f>
        <v>2</v>
      </c>
      <c r="I704" t="str">
        <f>AvatarMatResID[[#This Row],[Material]]</f>
        <v>Male Black Archer 05 Green</v>
      </c>
    </row>
    <row r="705" spans="1:9" x14ac:dyDescent="0.15">
      <c r="A705" t="s">
        <v>454</v>
      </c>
      <c r="B705" t="s">
        <v>1923</v>
      </c>
      <c r="C705" t="s">
        <v>1080</v>
      </c>
      <c r="D705">
        <v>35</v>
      </c>
      <c r="F705">
        <f>OUTPUTAvatarMatResID[[#This Row],[AvatarPartID]]*10000+OUTPUTAvatarMatResID[[#This Row],[SexID]]*1000+AvatarMatResID[[#This Row],[CountIndex]]</f>
        <v>12035</v>
      </c>
      <c r="G705">
        <f>VLOOKUP(AvatarMatResID[[#This Row],[AvatarPart]],AvatarPartID[],2,0)</f>
        <v>1</v>
      </c>
      <c r="H705">
        <f>VLOOKUP(AvatarMatResID[[#This Row],[Sex]],SexID[],2,0)</f>
        <v>2</v>
      </c>
      <c r="I705" t="str">
        <f>AvatarMatResID[[#This Row],[Material]]</f>
        <v>Male Black Archer 05 Magenta</v>
      </c>
    </row>
    <row r="706" spans="1:9" x14ac:dyDescent="0.15">
      <c r="A706" t="s">
        <v>454</v>
      </c>
      <c r="B706" t="s">
        <v>1923</v>
      </c>
      <c r="C706" t="s">
        <v>1081</v>
      </c>
      <c r="D706">
        <v>36</v>
      </c>
      <c r="F706">
        <f>OUTPUTAvatarMatResID[[#This Row],[AvatarPartID]]*10000+OUTPUTAvatarMatResID[[#This Row],[SexID]]*1000+AvatarMatResID[[#This Row],[CountIndex]]</f>
        <v>12036</v>
      </c>
      <c r="G706">
        <f>VLOOKUP(AvatarMatResID[[#This Row],[AvatarPart]],AvatarPartID[],2,0)</f>
        <v>1</v>
      </c>
      <c r="H706">
        <f>VLOOKUP(AvatarMatResID[[#This Row],[Sex]],SexID[],2,0)</f>
        <v>2</v>
      </c>
      <c r="I706" t="str">
        <f>AvatarMatResID[[#This Row],[Material]]</f>
        <v>Male Black Archer 05 Purple</v>
      </c>
    </row>
    <row r="707" spans="1:9" x14ac:dyDescent="0.15">
      <c r="A707" t="s">
        <v>454</v>
      </c>
      <c r="B707" t="s">
        <v>1923</v>
      </c>
      <c r="C707" t="s">
        <v>1082</v>
      </c>
      <c r="D707">
        <v>37</v>
      </c>
      <c r="F707">
        <f>OUTPUTAvatarMatResID[[#This Row],[AvatarPartID]]*10000+OUTPUTAvatarMatResID[[#This Row],[SexID]]*1000+AvatarMatResID[[#This Row],[CountIndex]]</f>
        <v>12037</v>
      </c>
      <c r="G707">
        <f>VLOOKUP(AvatarMatResID[[#This Row],[AvatarPart]],AvatarPartID[],2,0)</f>
        <v>1</v>
      </c>
      <c r="H707">
        <f>VLOOKUP(AvatarMatResID[[#This Row],[Sex]],SexID[],2,0)</f>
        <v>2</v>
      </c>
      <c r="I707" t="str">
        <f>AvatarMatResID[[#This Row],[Material]]</f>
        <v>Male Black Archer 05 Red</v>
      </c>
    </row>
    <row r="708" spans="1:9" x14ac:dyDescent="0.15">
      <c r="A708" t="s">
        <v>454</v>
      </c>
      <c r="B708" t="s">
        <v>1923</v>
      </c>
      <c r="C708" t="s">
        <v>1083</v>
      </c>
      <c r="D708">
        <v>38</v>
      </c>
      <c r="F708">
        <f>OUTPUTAvatarMatResID[[#This Row],[AvatarPartID]]*10000+OUTPUTAvatarMatResID[[#This Row],[SexID]]*1000+AvatarMatResID[[#This Row],[CountIndex]]</f>
        <v>12038</v>
      </c>
      <c r="G708">
        <f>VLOOKUP(AvatarMatResID[[#This Row],[AvatarPart]],AvatarPartID[],2,0)</f>
        <v>1</v>
      </c>
      <c r="H708">
        <f>VLOOKUP(AvatarMatResID[[#This Row],[Sex]],SexID[],2,0)</f>
        <v>2</v>
      </c>
      <c r="I708" t="str">
        <f>AvatarMatResID[[#This Row],[Material]]</f>
        <v>Male Black Archer 05 White</v>
      </c>
    </row>
    <row r="709" spans="1:9" x14ac:dyDescent="0.15">
      <c r="A709" t="s">
        <v>454</v>
      </c>
      <c r="B709" t="s">
        <v>1923</v>
      </c>
      <c r="C709" t="s">
        <v>1084</v>
      </c>
      <c r="D709">
        <v>39</v>
      </c>
      <c r="F709">
        <f>OUTPUTAvatarMatResID[[#This Row],[AvatarPartID]]*10000+OUTPUTAvatarMatResID[[#This Row],[SexID]]*1000+AvatarMatResID[[#This Row],[CountIndex]]</f>
        <v>12039</v>
      </c>
      <c r="G709">
        <f>VLOOKUP(AvatarMatResID[[#This Row],[AvatarPart]],AvatarPartID[],2,0)</f>
        <v>1</v>
      </c>
      <c r="H709">
        <f>VLOOKUP(AvatarMatResID[[#This Row],[Sex]],SexID[],2,0)</f>
        <v>2</v>
      </c>
      <c r="I709" t="str">
        <f>AvatarMatResID[[#This Row],[Material]]</f>
        <v>Male Black Archer 05 Yellow</v>
      </c>
    </row>
    <row r="710" spans="1:9" x14ac:dyDescent="0.15">
      <c r="A710" t="s">
        <v>454</v>
      </c>
      <c r="B710" t="s">
        <v>1923</v>
      </c>
      <c r="C710" t="s">
        <v>1085</v>
      </c>
      <c r="D710">
        <v>40</v>
      </c>
      <c r="F710">
        <f>OUTPUTAvatarMatResID[[#This Row],[AvatarPartID]]*10000+OUTPUTAvatarMatResID[[#This Row],[SexID]]*1000+AvatarMatResID[[#This Row],[CountIndex]]</f>
        <v>12040</v>
      </c>
      <c r="G710">
        <f>VLOOKUP(AvatarMatResID[[#This Row],[AvatarPart]],AvatarPartID[],2,0)</f>
        <v>1</v>
      </c>
      <c r="H710">
        <f>VLOOKUP(AvatarMatResID[[#This Row],[Sex]],SexID[],2,0)</f>
        <v>2</v>
      </c>
      <c r="I710" t="str">
        <f>AvatarMatResID[[#This Row],[Material]]</f>
        <v>Male Black Barbarian 01 Blue</v>
      </c>
    </row>
    <row r="711" spans="1:9" x14ac:dyDescent="0.15">
      <c r="A711" t="s">
        <v>454</v>
      </c>
      <c r="B711" t="s">
        <v>1923</v>
      </c>
      <c r="C711" t="s">
        <v>1086</v>
      </c>
      <c r="D711">
        <v>41</v>
      </c>
      <c r="F711">
        <f>OUTPUTAvatarMatResID[[#This Row],[AvatarPartID]]*10000+OUTPUTAvatarMatResID[[#This Row],[SexID]]*1000+AvatarMatResID[[#This Row],[CountIndex]]</f>
        <v>12041</v>
      </c>
      <c r="G711">
        <f>VLOOKUP(AvatarMatResID[[#This Row],[AvatarPart]],AvatarPartID[],2,0)</f>
        <v>1</v>
      </c>
      <c r="H711">
        <f>VLOOKUP(AvatarMatResID[[#This Row],[Sex]],SexID[],2,0)</f>
        <v>2</v>
      </c>
      <c r="I711" t="str">
        <f>AvatarMatResID[[#This Row],[Material]]</f>
        <v>Male Black Barbarian 01 Green</v>
      </c>
    </row>
    <row r="712" spans="1:9" x14ac:dyDescent="0.15">
      <c r="A712" t="s">
        <v>454</v>
      </c>
      <c r="B712" t="s">
        <v>1923</v>
      </c>
      <c r="C712" t="s">
        <v>1087</v>
      </c>
      <c r="D712">
        <v>42</v>
      </c>
      <c r="F712">
        <f>OUTPUTAvatarMatResID[[#This Row],[AvatarPartID]]*10000+OUTPUTAvatarMatResID[[#This Row],[SexID]]*1000+AvatarMatResID[[#This Row],[CountIndex]]</f>
        <v>12042</v>
      </c>
      <c r="G712">
        <f>VLOOKUP(AvatarMatResID[[#This Row],[AvatarPart]],AvatarPartID[],2,0)</f>
        <v>1</v>
      </c>
      <c r="H712">
        <f>VLOOKUP(AvatarMatResID[[#This Row],[Sex]],SexID[],2,0)</f>
        <v>2</v>
      </c>
      <c r="I712" t="str">
        <f>AvatarMatResID[[#This Row],[Material]]</f>
        <v>Male Black Barbarian 01 Purple</v>
      </c>
    </row>
    <row r="713" spans="1:9" x14ac:dyDescent="0.15">
      <c r="A713" t="s">
        <v>454</v>
      </c>
      <c r="B713" t="s">
        <v>1923</v>
      </c>
      <c r="C713" t="s">
        <v>1088</v>
      </c>
      <c r="D713">
        <v>43</v>
      </c>
      <c r="F713">
        <f>OUTPUTAvatarMatResID[[#This Row],[AvatarPartID]]*10000+OUTPUTAvatarMatResID[[#This Row],[SexID]]*1000+AvatarMatResID[[#This Row],[CountIndex]]</f>
        <v>12043</v>
      </c>
      <c r="G713">
        <f>VLOOKUP(AvatarMatResID[[#This Row],[AvatarPart]],AvatarPartID[],2,0)</f>
        <v>1</v>
      </c>
      <c r="H713">
        <f>VLOOKUP(AvatarMatResID[[#This Row],[Sex]],SexID[],2,0)</f>
        <v>2</v>
      </c>
      <c r="I713" t="str">
        <f>AvatarMatResID[[#This Row],[Material]]</f>
        <v>Male Black Barbarian 01 Red</v>
      </c>
    </row>
    <row r="714" spans="1:9" x14ac:dyDescent="0.15">
      <c r="A714" t="s">
        <v>454</v>
      </c>
      <c r="B714" t="s">
        <v>1923</v>
      </c>
      <c r="C714" t="s">
        <v>1089</v>
      </c>
      <c r="D714">
        <v>44</v>
      </c>
      <c r="F714">
        <f>OUTPUTAvatarMatResID[[#This Row],[AvatarPartID]]*10000+OUTPUTAvatarMatResID[[#This Row],[SexID]]*1000+AvatarMatResID[[#This Row],[CountIndex]]</f>
        <v>12044</v>
      </c>
      <c r="G714">
        <f>VLOOKUP(AvatarMatResID[[#This Row],[AvatarPart]],AvatarPartID[],2,0)</f>
        <v>1</v>
      </c>
      <c r="H714">
        <f>VLOOKUP(AvatarMatResID[[#This Row],[Sex]],SexID[],2,0)</f>
        <v>2</v>
      </c>
      <c r="I714" t="str">
        <f>AvatarMatResID[[#This Row],[Material]]</f>
        <v>Male Black Barbarian 02 Black</v>
      </c>
    </row>
    <row r="715" spans="1:9" x14ac:dyDescent="0.15">
      <c r="A715" t="s">
        <v>454</v>
      </c>
      <c r="B715" t="s">
        <v>1923</v>
      </c>
      <c r="C715" t="s">
        <v>1090</v>
      </c>
      <c r="D715">
        <v>45</v>
      </c>
      <c r="F715">
        <f>OUTPUTAvatarMatResID[[#This Row],[AvatarPartID]]*10000+OUTPUTAvatarMatResID[[#This Row],[SexID]]*1000+AvatarMatResID[[#This Row],[CountIndex]]</f>
        <v>12045</v>
      </c>
      <c r="G715">
        <f>VLOOKUP(AvatarMatResID[[#This Row],[AvatarPart]],AvatarPartID[],2,0)</f>
        <v>1</v>
      </c>
      <c r="H715">
        <f>VLOOKUP(AvatarMatResID[[#This Row],[Sex]],SexID[],2,0)</f>
        <v>2</v>
      </c>
      <c r="I715" t="str">
        <f>AvatarMatResID[[#This Row],[Material]]</f>
        <v>Male Black Barbarian 02 Blue</v>
      </c>
    </row>
    <row r="716" spans="1:9" x14ac:dyDescent="0.15">
      <c r="A716" t="s">
        <v>454</v>
      </c>
      <c r="B716" t="s">
        <v>1923</v>
      </c>
      <c r="C716" t="s">
        <v>1091</v>
      </c>
      <c r="D716">
        <v>46</v>
      </c>
      <c r="F716">
        <f>OUTPUTAvatarMatResID[[#This Row],[AvatarPartID]]*10000+OUTPUTAvatarMatResID[[#This Row],[SexID]]*1000+AvatarMatResID[[#This Row],[CountIndex]]</f>
        <v>12046</v>
      </c>
      <c r="G716">
        <f>VLOOKUP(AvatarMatResID[[#This Row],[AvatarPart]],AvatarPartID[],2,0)</f>
        <v>1</v>
      </c>
      <c r="H716">
        <f>VLOOKUP(AvatarMatResID[[#This Row],[Sex]],SexID[],2,0)</f>
        <v>2</v>
      </c>
      <c r="I716" t="str">
        <f>AvatarMatResID[[#This Row],[Material]]</f>
        <v>Male Black Barbarian 02 Brown</v>
      </c>
    </row>
    <row r="717" spans="1:9" x14ac:dyDescent="0.15">
      <c r="A717" t="s">
        <v>454</v>
      </c>
      <c r="B717" t="s">
        <v>1923</v>
      </c>
      <c r="C717" t="s">
        <v>1092</v>
      </c>
      <c r="D717">
        <v>47</v>
      </c>
      <c r="F717">
        <f>OUTPUTAvatarMatResID[[#This Row],[AvatarPartID]]*10000+OUTPUTAvatarMatResID[[#This Row],[SexID]]*1000+AvatarMatResID[[#This Row],[CountIndex]]</f>
        <v>12047</v>
      </c>
      <c r="G717">
        <f>VLOOKUP(AvatarMatResID[[#This Row],[AvatarPart]],AvatarPartID[],2,0)</f>
        <v>1</v>
      </c>
      <c r="H717">
        <f>VLOOKUP(AvatarMatResID[[#This Row],[Sex]],SexID[],2,0)</f>
        <v>2</v>
      </c>
      <c r="I717" t="str">
        <f>AvatarMatResID[[#This Row],[Material]]</f>
        <v>Male Black Barbarian 02 Green</v>
      </c>
    </row>
    <row r="718" spans="1:9" x14ac:dyDescent="0.15">
      <c r="A718" t="s">
        <v>454</v>
      </c>
      <c r="B718" t="s">
        <v>1923</v>
      </c>
      <c r="C718" t="s">
        <v>1093</v>
      </c>
      <c r="D718">
        <v>48</v>
      </c>
      <c r="F718">
        <f>OUTPUTAvatarMatResID[[#This Row],[AvatarPartID]]*10000+OUTPUTAvatarMatResID[[#This Row],[SexID]]*1000+AvatarMatResID[[#This Row],[CountIndex]]</f>
        <v>12048</v>
      </c>
      <c r="G718">
        <f>VLOOKUP(AvatarMatResID[[#This Row],[AvatarPart]],AvatarPartID[],2,0)</f>
        <v>1</v>
      </c>
      <c r="H718">
        <f>VLOOKUP(AvatarMatResID[[#This Row],[Sex]],SexID[],2,0)</f>
        <v>2</v>
      </c>
      <c r="I718" t="str">
        <f>AvatarMatResID[[#This Row],[Material]]</f>
        <v>Male Black Barbarian 02 Purple</v>
      </c>
    </row>
    <row r="719" spans="1:9" x14ac:dyDescent="0.15">
      <c r="A719" t="s">
        <v>454</v>
      </c>
      <c r="B719" t="s">
        <v>1923</v>
      </c>
      <c r="C719" t="s">
        <v>1094</v>
      </c>
      <c r="D719">
        <v>49</v>
      </c>
      <c r="F719">
        <f>OUTPUTAvatarMatResID[[#This Row],[AvatarPartID]]*10000+OUTPUTAvatarMatResID[[#This Row],[SexID]]*1000+AvatarMatResID[[#This Row],[CountIndex]]</f>
        <v>12049</v>
      </c>
      <c r="G719">
        <f>VLOOKUP(AvatarMatResID[[#This Row],[AvatarPart]],AvatarPartID[],2,0)</f>
        <v>1</v>
      </c>
      <c r="H719">
        <f>VLOOKUP(AvatarMatResID[[#This Row],[Sex]],SexID[],2,0)</f>
        <v>2</v>
      </c>
      <c r="I719" t="str">
        <f>AvatarMatResID[[#This Row],[Material]]</f>
        <v>Male Black Barbarian 02 White</v>
      </c>
    </row>
    <row r="720" spans="1:9" x14ac:dyDescent="0.15">
      <c r="A720" t="s">
        <v>454</v>
      </c>
      <c r="B720" t="s">
        <v>1923</v>
      </c>
      <c r="C720" t="s">
        <v>1095</v>
      </c>
      <c r="D720">
        <v>50</v>
      </c>
      <c r="F720">
        <f>OUTPUTAvatarMatResID[[#This Row],[AvatarPartID]]*10000+OUTPUTAvatarMatResID[[#This Row],[SexID]]*1000+AvatarMatResID[[#This Row],[CountIndex]]</f>
        <v>12050</v>
      </c>
      <c r="G720">
        <f>VLOOKUP(AvatarMatResID[[#This Row],[AvatarPart]],AvatarPartID[],2,0)</f>
        <v>1</v>
      </c>
      <c r="H720">
        <f>VLOOKUP(AvatarMatResID[[#This Row],[Sex]],SexID[],2,0)</f>
        <v>2</v>
      </c>
      <c r="I720" t="str">
        <f>AvatarMatResID[[#This Row],[Material]]</f>
        <v>Male Black Barbarian 03 Black</v>
      </c>
    </row>
    <row r="721" spans="1:9" x14ac:dyDescent="0.15">
      <c r="A721" t="s">
        <v>454</v>
      </c>
      <c r="B721" t="s">
        <v>1923</v>
      </c>
      <c r="C721" t="s">
        <v>1096</v>
      </c>
      <c r="D721">
        <v>51</v>
      </c>
      <c r="F721">
        <f>OUTPUTAvatarMatResID[[#This Row],[AvatarPartID]]*10000+OUTPUTAvatarMatResID[[#This Row],[SexID]]*1000+AvatarMatResID[[#This Row],[CountIndex]]</f>
        <v>12051</v>
      </c>
      <c r="G721">
        <f>VLOOKUP(AvatarMatResID[[#This Row],[AvatarPart]],AvatarPartID[],2,0)</f>
        <v>1</v>
      </c>
      <c r="H721">
        <f>VLOOKUP(AvatarMatResID[[#This Row],[Sex]],SexID[],2,0)</f>
        <v>2</v>
      </c>
      <c r="I721" t="str">
        <f>AvatarMatResID[[#This Row],[Material]]</f>
        <v>Male Black Barbarian 03 Blue</v>
      </c>
    </row>
    <row r="722" spans="1:9" x14ac:dyDescent="0.15">
      <c r="A722" t="s">
        <v>454</v>
      </c>
      <c r="B722" t="s">
        <v>1923</v>
      </c>
      <c r="C722" t="s">
        <v>1097</v>
      </c>
      <c r="D722">
        <v>52</v>
      </c>
      <c r="F722">
        <f>OUTPUTAvatarMatResID[[#This Row],[AvatarPartID]]*10000+OUTPUTAvatarMatResID[[#This Row],[SexID]]*1000+AvatarMatResID[[#This Row],[CountIndex]]</f>
        <v>12052</v>
      </c>
      <c r="G722">
        <f>VLOOKUP(AvatarMatResID[[#This Row],[AvatarPart]],AvatarPartID[],2,0)</f>
        <v>1</v>
      </c>
      <c r="H722">
        <f>VLOOKUP(AvatarMatResID[[#This Row],[Sex]],SexID[],2,0)</f>
        <v>2</v>
      </c>
      <c r="I722" t="str">
        <f>AvatarMatResID[[#This Row],[Material]]</f>
        <v>Male Black Barbarian 03 Brown</v>
      </c>
    </row>
    <row r="723" spans="1:9" x14ac:dyDescent="0.15">
      <c r="A723" t="s">
        <v>454</v>
      </c>
      <c r="B723" t="s">
        <v>1923</v>
      </c>
      <c r="C723" t="s">
        <v>1098</v>
      </c>
      <c r="D723">
        <v>53</v>
      </c>
      <c r="F723">
        <f>OUTPUTAvatarMatResID[[#This Row],[AvatarPartID]]*10000+OUTPUTAvatarMatResID[[#This Row],[SexID]]*1000+AvatarMatResID[[#This Row],[CountIndex]]</f>
        <v>12053</v>
      </c>
      <c r="G723">
        <f>VLOOKUP(AvatarMatResID[[#This Row],[AvatarPart]],AvatarPartID[],2,0)</f>
        <v>1</v>
      </c>
      <c r="H723">
        <f>VLOOKUP(AvatarMatResID[[#This Row],[Sex]],SexID[],2,0)</f>
        <v>2</v>
      </c>
      <c r="I723" t="str">
        <f>AvatarMatResID[[#This Row],[Material]]</f>
        <v>Male Black Barbarian 03 Green</v>
      </c>
    </row>
    <row r="724" spans="1:9" x14ac:dyDescent="0.15">
      <c r="A724" t="s">
        <v>454</v>
      </c>
      <c r="B724" t="s">
        <v>1923</v>
      </c>
      <c r="C724" t="s">
        <v>1099</v>
      </c>
      <c r="D724">
        <v>54</v>
      </c>
      <c r="F724">
        <f>OUTPUTAvatarMatResID[[#This Row],[AvatarPartID]]*10000+OUTPUTAvatarMatResID[[#This Row],[SexID]]*1000+AvatarMatResID[[#This Row],[CountIndex]]</f>
        <v>12054</v>
      </c>
      <c r="G724">
        <f>VLOOKUP(AvatarMatResID[[#This Row],[AvatarPart]],AvatarPartID[],2,0)</f>
        <v>1</v>
      </c>
      <c r="H724">
        <f>VLOOKUP(AvatarMatResID[[#This Row],[Sex]],SexID[],2,0)</f>
        <v>2</v>
      </c>
      <c r="I724" t="str">
        <f>AvatarMatResID[[#This Row],[Material]]</f>
        <v>Male Black Barbarian 03 Magenta</v>
      </c>
    </row>
    <row r="725" spans="1:9" x14ac:dyDescent="0.15">
      <c r="A725" t="s">
        <v>454</v>
      </c>
      <c r="B725" t="s">
        <v>1923</v>
      </c>
      <c r="C725" t="s">
        <v>1100</v>
      </c>
      <c r="D725">
        <v>55</v>
      </c>
      <c r="F725">
        <f>OUTPUTAvatarMatResID[[#This Row],[AvatarPartID]]*10000+OUTPUTAvatarMatResID[[#This Row],[SexID]]*1000+AvatarMatResID[[#This Row],[CountIndex]]</f>
        <v>12055</v>
      </c>
      <c r="G725">
        <f>VLOOKUP(AvatarMatResID[[#This Row],[AvatarPart]],AvatarPartID[],2,0)</f>
        <v>1</v>
      </c>
      <c r="H725">
        <f>VLOOKUP(AvatarMatResID[[#This Row],[Sex]],SexID[],2,0)</f>
        <v>2</v>
      </c>
      <c r="I725" t="str">
        <f>AvatarMatResID[[#This Row],[Material]]</f>
        <v>Male Black Barbarian 03 Purple</v>
      </c>
    </row>
    <row r="726" spans="1:9" x14ac:dyDescent="0.15">
      <c r="A726" t="s">
        <v>454</v>
      </c>
      <c r="B726" t="s">
        <v>1923</v>
      </c>
      <c r="C726" t="s">
        <v>1101</v>
      </c>
      <c r="D726">
        <v>56</v>
      </c>
      <c r="F726">
        <f>OUTPUTAvatarMatResID[[#This Row],[AvatarPartID]]*10000+OUTPUTAvatarMatResID[[#This Row],[SexID]]*1000+AvatarMatResID[[#This Row],[CountIndex]]</f>
        <v>12056</v>
      </c>
      <c r="G726">
        <f>VLOOKUP(AvatarMatResID[[#This Row],[AvatarPart]],AvatarPartID[],2,0)</f>
        <v>1</v>
      </c>
      <c r="H726">
        <f>VLOOKUP(AvatarMatResID[[#This Row],[Sex]],SexID[],2,0)</f>
        <v>2</v>
      </c>
      <c r="I726" t="str">
        <f>AvatarMatResID[[#This Row],[Material]]</f>
        <v>Male Black Barbarian 03 Red</v>
      </c>
    </row>
    <row r="727" spans="1:9" x14ac:dyDescent="0.15">
      <c r="A727" t="s">
        <v>454</v>
      </c>
      <c r="B727" t="s">
        <v>1923</v>
      </c>
      <c r="C727" t="s">
        <v>1102</v>
      </c>
      <c r="D727">
        <v>57</v>
      </c>
      <c r="F727">
        <f>OUTPUTAvatarMatResID[[#This Row],[AvatarPartID]]*10000+OUTPUTAvatarMatResID[[#This Row],[SexID]]*1000+AvatarMatResID[[#This Row],[CountIndex]]</f>
        <v>12057</v>
      </c>
      <c r="G727">
        <f>VLOOKUP(AvatarMatResID[[#This Row],[AvatarPart]],AvatarPartID[],2,0)</f>
        <v>1</v>
      </c>
      <c r="H727">
        <f>VLOOKUP(AvatarMatResID[[#This Row],[Sex]],SexID[],2,0)</f>
        <v>2</v>
      </c>
      <c r="I727" t="str">
        <f>AvatarMatResID[[#This Row],[Material]]</f>
        <v>Male Black Barbarian 03 White</v>
      </c>
    </row>
    <row r="728" spans="1:9" x14ac:dyDescent="0.15">
      <c r="A728" t="s">
        <v>454</v>
      </c>
      <c r="B728" t="s">
        <v>1923</v>
      </c>
      <c r="C728" t="s">
        <v>1103</v>
      </c>
      <c r="D728">
        <v>58</v>
      </c>
      <c r="F728">
        <f>OUTPUTAvatarMatResID[[#This Row],[AvatarPartID]]*10000+OUTPUTAvatarMatResID[[#This Row],[SexID]]*1000+AvatarMatResID[[#This Row],[CountIndex]]</f>
        <v>12058</v>
      </c>
      <c r="G728">
        <f>VLOOKUP(AvatarMatResID[[#This Row],[AvatarPart]],AvatarPartID[],2,0)</f>
        <v>1</v>
      </c>
      <c r="H728">
        <f>VLOOKUP(AvatarMatResID[[#This Row],[Sex]],SexID[],2,0)</f>
        <v>2</v>
      </c>
      <c r="I728" t="str">
        <f>AvatarMatResID[[#This Row],[Material]]</f>
        <v>Male Black Barbarian 04 Black</v>
      </c>
    </row>
    <row r="729" spans="1:9" x14ac:dyDescent="0.15">
      <c r="A729" t="s">
        <v>454</v>
      </c>
      <c r="B729" t="s">
        <v>1923</v>
      </c>
      <c r="C729" t="s">
        <v>1104</v>
      </c>
      <c r="D729">
        <v>59</v>
      </c>
      <c r="F729">
        <f>OUTPUTAvatarMatResID[[#This Row],[AvatarPartID]]*10000+OUTPUTAvatarMatResID[[#This Row],[SexID]]*1000+AvatarMatResID[[#This Row],[CountIndex]]</f>
        <v>12059</v>
      </c>
      <c r="G729">
        <f>VLOOKUP(AvatarMatResID[[#This Row],[AvatarPart]],AvatarPartID[],2,0)</f>
        <v>1</v>
      </c>
      <c r="H729">
        <f>VLOOKUP(AvatarMatResID[[#This Row],[Sex]],SexID[],2,0)</f>
        <v>2</v>
      </c>
      <c r="I729" t="str">
        <f>AvatarMatResID[[#This Row],[Material]]</f>
        <v>Male Black Barbarian 04 Blue</v>
      </c>
    </row>
    <row r="730" spans="1:9" x14ac:dyDescent="0.15">
      <c r="A730" t="s">
        <v>454</v>
      </c>
      <c r="B730" t="s">
        <v>1923</v>
      </c>
      <c r="C730" t="s">
        <v>1105</v>
      </c>
      <c r="D730">
        <v>60</v>
      </c>
      <c r="F730">
        <f>OUTPUTAvatarMatResID[[#This Row],[AvatarPartID]]*10000+OUTPUTAvatarMatResID[[#This Row],[SexID]]*1000+AvatarMatResID[[#This Row],[CountIndex]]</f>
        <v>12060</v>
      </c>
      <c r="G730">
        <f>VLOOKUP(AvatarMatResID[[#This Row],[AvatarPart]],AvatarPartID[],2,0)</f>
        <v>1</v>
      </c>
      <c r="H730">
        <f>VLOOKUP(AvatarMatResID[[#This Row],[Sex]],SexID[],2,0)</f>
        <v>2</v>
      </c>
      <c r="I730" t="str">
        <f>AvatarMatResID[[#This Row],[Material]]</f>
        <v>Male Black Barbarian 04 Green</v>
      </c>
    </row>
    <row r="731" spans="1:9" x14ac:dyDescent="0.15">
      <c r="A731" t="s">
        <v>454</v>
      </c>
      <c r="B731" t="s">
        <v>1923</v>
      </c>
      <c r="C731" t="s">
        <v>1106</v>
      </c>
      <c r="D731">
        <v>61</v>
      </c>
      <c r="F731">
        <f>OUTPUTAvatarMatResID[[#This Row],[AvatarPartID]]*10000+OUTPUTAvatarMatResID[[#This Row],[SexID]]*1000+AvatarMatResID[[#This Row],[CountIndex]]</f>
        <v>12061</v>
      </c>
      <c r="G731">
        <f>VLOOKUP(AvatarMatResID[[#This Row],[AvatarPart]],AvatarPartID[],2,0)</f>
        <v>1</v>
      </c>
      <c r="H731">
        <f>VLOOKUP(AvatarMatResID[[#This Row],[Sex]],SexID[],2,0)</f>
        <v>2</v>
      </c>
      <c r="I731" t="str">
        <f>AvatarMatResID[[#This Row],[Material]]</f>
        <v>Male Black Barbarian 04 Magenta</v>
      </c>
    </row>
    <row r="732" spans="1:9" x14ac:dyDescent="0.15">
      <c r="A732" t="s">
        <v>454</v>
      </c>
      <c r="B732" t="s">
        <v>1923</v>
      </c>
      <c r="C732" t="s">
        <v>1107</v>
      </c>
      <c r="D732">
        <v>62</v>
      </c>
      <c r="F732">
        <f>OUTPUTAvatarMatResID[[#This Row],[AvatarPartID]]*10000+OUTPUTAvatarMatResID[[#This Row],[SexID]]*1000+AvatarMatResID[[#This Row],[CountIndex]]</f>
        <v>12062</v>
      </c>
      <c r="G732">
        <f>VLOOKUP(AvatarMatResID[[#This Row],[AvatarPart]],AvatarPartID[],2,0)</f>
        <v>1</v>
      </c>
      <c r="H732">
        <f>VLOOKUP(AvatarMatResID[[#This Row],[Sex]],SexID[],2,0)</f>
        <v>2</v>
      </c>
      <c r="I732" t="str">
        <f>AvatarMatResID[[#This Row],[Material]]</f>
        <v>Male Black Barbarian 04 Purple</v>
      </c>
    </row>
    <row r="733" spans="1:9" x14ac:dyDescent="0.15">
      <c r="A733" t="s">
        <v>454</v>
      </c>
      <c r="B733" t="s">
        <v>1923</v>
      </c>
      <c r="C733" t="s">
        <v>1108</v>
      </c>
      <c r="D733">
        <v>63</v>
      </c>
      <c r="F733">
        <f>OUTPUTAvatarMatResID[[#This Row],[AvatarPartID]]*10000+OUTPUTAvatarMatResID[[#This Row],[SexID]]*1000+AvatarMatResID[[#This Row],[CountIndex]]</f>
        <v>12063</v>
      </c>
      <c r="G733">
        <f>VLOOKUP(AvatarMatResID[[#This Row],[AvatarPart]],AvatarPartID[],2,0)</f>
        <v>1</v>
      </c>
      <c r="H733">
        <f>VLOOKUP(AvatarMatResID[[#This Row],[Sex]],SexID[],2,0)</f>
        <v>2</v>
      </c>
      <c r="I733" t="str">
        <f>AvatarMatResID[[#This Row],[Material]]</f>
        <v>Male Black Barbarian 04 Red</v>
      </c>
    </row>
    <row r="734" spans="1:9" x14ac:dyDescent="0.15">
      <c r="A734" t="s">
        <v>454</v>
      </c>
      <c r="B734" t="s">
        <v>1923</v>
      </c>
      <c r="C734" t="s">
        <v>1109</v>
      </c>
      <c r="D734">
        <v>64</v>
      </c>
      <c r="F734">
        <f>OUTPUTAvatarMatResID[[#This Row],[AvatarPartID]]*10000+OUTPUTAvatarMatResID[[#This Row],[SexID]]*1000+AvatarMatResID[[#This Row],[CountIndex]]</f>
        <v>12064</v>
      </c>
      <c r="G734">
        <f>VLOOKUP(AvatarMatResID[[#This Row],[AvatarPart]],AvatarPartID[],2,0)</f>
        <v>1</v>
      </c>
      <c r="H734">
        <f>VLOOKUP(AvatarMatResID[[#This Row],[Sex]],SexID[],2,0)</f>
        <v>2</v>
      </c>
      <c r="I734" t="str">
        <f>AvatarMatResID[[#This Row],[Material]]</f>
        <v>Male Black Barbarian 04 White</v>
      </c>
    </row>
    <row r="735" spans="1:9" x14ac:dyDescent="0.15">
      <c r="A735" t="s">
        <v>454</v>
      </c>
      <c r="B735" t="s">
        <v>1923</v>
      </c>
      <c r="C735" t="s">
        <v>1110</v>
      </c>
      <c r="D735">
        <v>65</v>
      </c>
      <c r="F735">
        <f>OUTPUTAvatarMatResID[[#This Row],[AvatarPartID]]*10000+OUTPUTAvatarMatResID[[#This Row],[SexID]]*1000+AvatarMatResID[[#This Row],[CountIndex]]</f>
        <v>12065</v>
      </c>
      <c r="G735">
        <f>VLOOKUP(AvatarMatResID[[#This Row],[AvatarPart]],AvatarPartID[],2,0)</f>
        <v>1</v>
      </c>
      <c r="H735">
        <f>VLOOKUP(AvatarMatResID[[#This Row],[Sex]],SexID[],2,0)</f>
        <v>2</v>
      </c>
      <c r="I735" t="str">
        <f>AvatarMatResID[[#This Row],[Material]]</f>
        <v>Male Black Barbarian 04 Yellow</v>
      </c>
    </row>
    <row r="736" spans="1:9" x14ac:dyDescent="0.15">
      <c r="A736" t="s">
        <v>454</v>
      </c>
      <c r="B736" t="s">
        <v>1923</v>
      </c>
      <c r="C736" t="s">
        <v>1111</v>
      </c>
      <c r="D736">
        <v>66</v>
      </c>
      <c r="F736">
        <f>OUTPUTAvatarMatResID[[#This Row],[AvatarPartID]]*10000+OUTPUTAvatarMatResID[[#This Row],[SexID]]*1000+AvatarMatResID[[#This Row],[CountIndex]]</f>
        <v>12066</v>
      </c>
      <c r="G736">
        <f>VLOOKUP(AvatarMatResID[[#This Row],[AvatarPart]],AvatarPartID[],2,0)</f>
        <v>1</v>
      </c>
      <c r="H736">
        <f>VLOOKUP(AvatarMatResID[[#This Row],[Sex]],SexID[],2,0)</f>
        <v>2</v>
      </c>
      <c r="I736" t="str">
        <f>AvatarMatResID[[#This Row],[Material]]</f>
        <v>Male Black Barbarian 05 Black</v>
      </c>
    </row>
    <row r="737" spans="1:9" x14ac:dyDescent="0.15">
      <c r="A737" t="s">
        <v>454</v>
      </c>
      <c r="B737" t="s">
        <v>1923</v>
      </c>
      <c r="C737" t="s">
        <v>1112</v>
      </c>
      <c r="D737">
        <v>67</v>
      </c>
      <c r="F737">
        <f>OUTPUTAvatarMatResID[[#This Row],[AvatarPartID]]*10000+OUTPUTAvatarMatResID[[#This Row],[SexID]]*1000+AvatarMatResID[[#This Row],[CountIndex]]</f>
        <v>12067</v>
      </c>
      <c r="G737">
        <f>VLOOKUP(AvatarMatResID[[#This Row],[AvatarPart]],AvatarPartID[],2,0)</f>
        <v>1</v>
      </c>
      <c r="H737">
        <f>VLOOKUP(AvatarMatResID[[#This Row],[Sex]],SexID[],2,0)</f>
        <v>2</v>
      </c>
      <c r="I737" t="str">
        <f>AvatarMatResID[[#This Row],[Material]]</f>
        <v>Male Black Barbarian 05 Blue</v>
      </c>
    </row>
    <row r="738" spans="1:9" x14ac:dyDescent="0.15">
      <c r="A738" t="s">
        <v>454</v>
      </c>
      <c r="B738" t="s">
        <v>1923</v>
      </c>
      <c r="C738" t="s">
        <v>1113</v>
      </c>
      <c r="D738">
        <v>68</v>
      </c>
      <c r="F738">
        <f>OUTPUTAvatarMatResID[[#This Row],[AvatarPartID]]*10000+OUTPUTAvatarMatResID[[#This Row],[SexID]]*1000+AvatarMatResID[[#This Row],[CountIndex]]</f>
        <v>12068</v>
      </c>
      <c r="G738">
        <f>VLOOKUP(AvatarMatResID[[#This Row],[AvatarPart]],AvatarPartID[],2,0)</f>
        <v>1</v>
      </c>
      <c r="H738">
        <f>VLOOKUP(AvatarMatResID[[#This Row],[Sex]],SexID[],2,0)</f>
        <v>2</v>
      </c>
      <c r="I738" t="str">
        <f>AvatarMatResID[[#This Row],[Material]]</f>
        <v>Male Black Barbarian 05 Green</v>
      </c>
    </row>
    <row r="739" spans="1:9" x14ac:dyDescent="0.15">
      <c r="A739" t="s">
        <v>454</v>
      </c>
      <c r="B739" t="s">
        <v>1923</v>
      </c>
      <c r="C739" t="s">
        <v>1114</v>
      </c>
      <c r="D739">
        <v>69</v>
      </c>
      <c r="F739">
        <f>OUTPUTAvatarMatResID[[#This Row],[AvatarPartID]]*10000+OUTPUTAvatarMatResID[[#This Row],[SexID]]*1000+AvatarMatResID[[#This Row],[CountIndex]]</f>
        <v>12069</v>
      </c>
      <c r="G739">
        <f>VLOOKUP(AvatarMatResID[[#This Row],[AvatarPart]],AvatarPartID[],2,0)</f>
        <v>1</v>
      </c>
      <c r="H739">
        <f>VLOOKUP(AvatarMatResID[[#This Row],[Sex]],SexID[],2,0)</f>
        <v>2</v>
      </c>
      <c r="I739" t="str">
        <f>AvatarMatResID[[#This Row],[Material]]</f>
        <v>Male Black Barbarian 05 Magenta</v>
      </c>
    </row>
    <row r="740" spans="1:9" x14ac:dyDescent="0.15">
      <c r="A740" t="s">
        <v>454</v>
      </c>
      <c r="B740" t="s">
        <v>1923</v>
      </c>
      <c r="C740" t="s">
        <v>1115</v>
      </c>
      <c r="D740">
        <v>70</v>
      </c>
      <c r="F740">
        <f>OUTPUTAvatarMatResID[[#This Row],[AvatarPartID]]*10000+OUTPUTAvatarMatResID[[#This Row],[SexID]]*1000+AvatarMatResID[[#This Row],[CountIndex]]</f>
        <v>12070</v>
      </c>
      <c r="G740">
        <f>VLOOKUP(AvatarMatResID[[#This Row],[AvatarPart]],AvatarPartID[],2,0)</f>
        <v>1</v>
      </c>
      <c r="H740">
        <f>VLOOKUP(AvatarMatResID[[#This Row],[Sex]],SexID[],2,0)</f>
        <v>2</v>
      </c>
      <c r="I740" t="str">
        <f>AvatarMatResID[[#This Row],[Material]]</f>
        <v>Male Black Barbarian 05 Purple</v>
      </c>
    </row>
    <row r="741" spans="1:9" x14ac:dyDescent="0.15">
      <c r="A741" t="s">
        <v>454</v>
      </c>
      <c r="B741" t="s">
        <v>1923</v>
      </c>
      <c r="C741" t="s">
        <v>1116</v>
      </c>
      <c r="D741">
        <v>71</v>
      </c>
      <c r="F741">
        <f>OUTPUTAvatarMatResID[[#This Row],[AvatarPartID]]*10000+OUTPUTAvatarMatResID[[#This Row],[SexID]]*1000+AvatarMatResID[[#This Row],[CountIndex]]</f>
        <v>12071</v>
      </c>
      <c r="G741">
        <f>VLOOKUP(AvatarMatResID[[#This Row],[AvatarPart]],AvatarPartID[],2,0)</f>
        <v>1</v>
      </c>
      <c r="H741">
        <f>VLOOKUP(AvatarMatResID[[#This Row],[Sex]],SexID[],2,0)</f>
        <v>2</v>
      </c>
      <c r="I741" t="str">
        <f>AvatarMatResID[[#This Row],[Material]]</f>
        <v>Male Black Barbarian 05 Red</v>
      </c>
    </row>
    <row r="742" spans="1:9" x14ac:dyDescent="0.15">
      <c r="A742" t="s">
        <v>454</v>
      </c>
      <c r="B742" t="s">
        <v>1923</v>
      </c>
      <c r="C742" t="s">
        <v>1117</v>
      </c>
      <c r="D742">
        <v>72</v>
      </c>
      <c r="F742">
        <f>OUTPUTAvatarMatResID[[#This Row],[AvatarPartID]]*10000+OUTPUTAvatarMatResID[[#This Row],[SexID]]*1000+AvatarMatResID[[#This Row],[CountIndex]]</f>
        <v>12072</v>
      </c>
      <c r="G742">
        <f>VLOOKUP(AvatarMatResID[[#This Row],[AvatarPart]],AvatarPartID[],2,0)</f>
        <v>1</v>
      </c>
      <c r="H742">
        <f>VLOOKUP(AvatarMatResID[[#This Row],[Sex]],SexID[],2,0)</f>
        <v>2</v>
      </c>
      <c r="I742" t="str">
        <f>AvatarMatResID[[#This Row],[Material]]</f>
        <v>Male Black Barbarian 05 White</v>
      </c>
    </row>
    <row r="743" spans="1:9" x14ac:dyDescent="0.15">
      <c r="A743" t="s">
        <v>454</v>
      </c>
      <c r="B743" t="s">
        <v>1923</v>
      </c>
      <c r="C743" t="s">
        <v>1118</v>
      </c>
      <c r="D743">
        <v>73</v>
      </c>
      <c r="F743">
        <f>OUTPUTAvatarMatResID[[#This Row],[AvatarPartID]]*10000+OUTPUTAvatarMatResID[[#This Row],[SexID]]*1000+AvatarMatResID[[#This Row],[CountIndex]]</f>
        <v>12073</v>
      </c>
      <c r="G743">
        <f>VLOOKUP(AvatarMatResID[[#This Row],[AvatarPart]],AvatarPartID[],2,0)</f>
        <v>1</v>
      </c>
      <c r="H743">
        <f>VLOOKUP(AvatarMatResID[[#This Row],[Sex]],SexID[],2,0)</f>
        <v>2</v>
      </c>
      <c r="I743" t="str">
        <f>AvatarMatResID[[#This Row],[Material]]</f>
        <v>Male Black Barbarian 05 Yellow</v>
      </c>
    </row>
    <row r="744" spans="1:9" x14ac:dyDescent="0.15">
      <c r="A744" t="s">
        <v>454</v>
      </c>
      <c r="B744" t="s">
        <v>1923</v>
      </c>
      <c r="C744" t="s">
        <v>1119</v>
      </c>
      <c r="D744">
        <v>74</v>
      </c>
      <c r="F744">
        <f>OUTPUTAvatarMatResID[[#This Row],[AvatarPartID]]*10000+OUTPUTAvatarMatResID[[#This Row],[SexID]]*1000+AvatarMatResID[[#This Row],[CountIndex]]</f>
        <v>12074</v>
      </c>
      <c r="G744">
        <f>VLOOKUP(AvatarMatResID[[#This Row],[AvatarPart]],AvatarPartID[],2,0)</f>
        <v>1</v>
      </c>
      <c r="H744">
        <f>VLOOKUP(AvatarMatResID[[#This Row],[Sex]],SexID[],2,0)</f>
        <v>2</v>
      </c>
      <c r="I744" t="str">
        <f>AvatarMatResID[[#This Row],[Material]]</f>
        <v>Male Black Barbarian 06 Black</v>
      </c>
    </row>
    <row r="745" spans="1:9" x14ac:dyDescent="0.15">
      <c r="A745" t="s">
        <v>454</v>
      </c>
      <c r="B745" t="s">
        <v>1923</v>
      </c>
      <c r="C745" t="s">
        <v>1120</v>
      </c>
      <c r="D745">
        <v>75</v>
      </c>
      <c r="F745">
        <f>OUTPUTAvatarMatResID[[#This Row],[AvatarPartID]]*10000+OUTPUTAvatarMatResID[[#This Row],[SexID]]*1000+AvatarMatResID[[#This Row],[CountIndex]]</f>
        <v>12075</v>
      </c>
      <c r="G745">
        <f>VLOOKUP(AvatarMatResID[[#This Row],[AvatarPart]],AvatarPartID[],2,0)</f>
        <v>1</v>
      </c>
      <c r="H745">
        <f>VLOOKUP(AvatarMatResID[[#This Row],[Sex]],SexID[],2,0)</f>
        <v>2</v>
      </c>
      <c r="I745" t="str">
        <f>AvatarMatResID[[#This Row],[Material]]</f>
        <v>Male Black Barbarian 06 Blue</v>
      </c>
    </row>
    <row r="746" spans="1:9" x14ac:dyDescent="0.15">
      <c r="A746" t="s">
        <v>454</v>
      </c>
      <c r="B746" t="s">
        <v>1923</v>
      </c>
      <c r="C746" t="s">
        <v>1121</v>
      </c>
      <c r="D746">
        <v>76</v>
      </c>
      <c r="F746">
        <f>OUTPUTAvatarMatResID[[#This Row],[AvatarPartID]]*10000+OUTPUTAvatarMatResID[[#This Row],[SexID]]*1000+AvatarMatResID[[#This Row],[CountIndex]]</f>
        <v>12076</v>
      </c>
      <c r="G746">
        <f>VLOOKUP(AvatarMatResID[[#This Row],[AvatarPart]],AvatarPartID[],2,0)</f>
        <v>1</v>
      </c>
      <c r="H746">
        <f>VLOOKUP(AvatarMatResID[[#This Row],[Sex]],SexID[],2,0)</f>
        <v>2</v>
      </c>
      <c r="I746" t="str">
        <f>AvatarMatResID[[#This Row],[Material]]</f>
        <v>Male Black Barbarian 06 Green</v>
      </c>
    </row>
    <row r="747" spans="1:9" x14ac:dyDescent="0.15">
      <c r="A747" t="s">
        <v>454</v>
      </c>
      <c r="B747" t="s">
        <v>1923</v>
      </c>
      <c r="C747" t="s">
        <v>1122</v>
      </c>
      <c r="D747">
        <v>77</v>
      </c>
      <c r="F747">
        <f>OUTPUTAvatarMatResID[[#This Row],[AvatarPartID]]*10000+OUTPUTAvatarMatResID[[#This Row],[SexID]]*1000+AvatarMatResID[[#This Row],[CountIndex]]</f>
        <v>12077</v>
      </c>
      <c r="G747">
        <f>VLOOKUP(AvatarMatResID[[#This Row],[AvatarPart]],AvatarPartID[],2,0)</f>
        <v>1</v>
      </c>
      <c r="H747">
        <f>VLOOKUP(AvatarMatResID[[#This Row],[Sex]],SexID[],2,0)</f>
        <v>2</v>
      </c>
      <c r="I747" t="str">
        <f>AvatarMatResID[[#This Row],[Material]]</f>
        <v>Male Black Barbarian 06 Magenta</v>
      </c>
    </row>
    <row r="748" spans="1:9" x14ac:dyDescent="0.15">
      <c r="A748" t="s">
        <v>454</v>
      </c>
      <c r="B748" t="s">
        <v>1923</v>
      </c>
      <c r="C748" t="s">
        <v>1123</v>
      </c>
      <c r="D748">
        <v>78</v>
      </c>
      <c r="F748">
        <f>OUTPUTAvatarMatResID[[#This Row],[AvatarPartID]]*10000+OUTPUTAvatarMatResID[[#This Row],[SexID]]*1000+AvatarMatResID[[#This Row],[CountIndex]]</f>
        <v>12078</v>
      </c>
      <c r="G748">
        <f>VLOOKUP(AvatarMatResID[[#This Row],[AvatarPart]],AvatarPartID[],2,0)</f>
        <v>1</v>
      </c>
      <c r="H748">
        <f>VLOOKUP(AvatarMatResID[[#This Row],[Sex]],SexID[],2,0)</f>
        <v>2</v>
      </c>
      <c r="I748" t="str">
        <f>AvatarMatResID[[#This Row],[Material]]</f>
        <v>Male Black Barbarian 06 Purple</v>
      </c>
    </row>
    <row r="749" spans="1:9" x14ac:dyDescent="0.15">
      <c r="A749" t="s">
        <v>454</v>
      </c>
      <c r="B749" t="s">
        <v>1923</v>
      </c>
      <c r="C749" t="s">
        <v>1124</v>
      </c>
      <c r="D749">
        <v>79</v>
      </c>
      <c r="F749">
        <f>OUTPUTAvatarMatResID[[#This Row],[AvatarPartID]]*10000+OUTPUTAvatarMatResID[[#This Row],[SexID]]*1000+AvatarMatResID[[#This Row],[CountIndex]]</f>
        <v>12079</v>
      </c>
      <c r="G749">
        <f>VLOOKUP(AvatarMatResID[[#This Row],[AvatarPart]],AvatarPartID[],2,0)</f>
        <v>1</v>
      </c>
      <c r="H749">
        <f>VLOOKUP(AvatarMatResID[[#This Row],[Sex]],SexID[],2,0)</f>
        <v>2</v>
      </c>
      <c r="I749" t="str">
        <f>AvatarMatResID[[#This Row],[Material]]</f>
        <v>Male Black Barbarian 06 Red</v>
      </c>
    </row>
    <row r="750" spans="1:9" x14ac:dyDescent="0.15">
      <c r="A750" t="s">
        <v>454</v>
      </c>
      <c r="B750" t="s">
        <v>1923</v>
      </c>
      <c r="C750" t="s">
        <v>1125</v>
      </c>
      <c r="D750">
        <v>80</v>
      </c>
      <c r="F750">
        <f>OUTPUTAvatarMatResID[[#This Row],[AvatarPartID]]*10000+OUTPUTAvatarMatResID[[#This Row],[SexID]]*1000+AvatarMatResID[[#This Row],[CountIndex]]</f>
        <v>12080</v>
      </c>
      <c r="G750">
        <f>VLOOKUP(AvatarMatResID[[#This Row],[AvatarPart]],AvatarPartID[],2,0)</f>
        <v>1</v>
      </c>
      <c r="H750">
        <f>VLOOKUP(AvatarMatResID[[#This Row],[Sex]],SexID[],2,0)</f>
        <v>2</v>
      </c>
      <c r="I750" t="str">
        <f>AvatarMatResID[[#This Row],[Material]]</f>
        <v>Male Black Barbarian 06 White</v>
      </c>
    </row>
    <row r="751" spans="1:9" x14ac:dyDescent="0.15">
      <c r="A751" t="s">
        <v>454</v>
      </c>
      <c r="B751" t="s">
        <v>1923</v>
      </c>
      <c r="C751" t="s">
        <v>1126</v>
      </c>
      <c r="D751">
        <v>81</v>
      </c>
      <c r="F751">
        <f>OUTPUTAvatarMatResID[[#This Row],[AvatarPartID]]*10000+OUTPUTAvatarMatResID[[#This Row],[SexID]]*1000+AvatarMatResID[[#This Row],[CountIndex]]</f>
        <v>12081</v>
      </c>
      <c r="G751">
        <f>VLOOKUP(AvatarMatResID[[#This Row],[AvatarPart]],AvatarPartID[],2,0)</f>
        <v>1</v>
      </c>
      <c r="H751">
        <f>VLOOKUP(AvatarMatResID[[#This Row],[Sex]],SexID[],2,0)</f>
        <v>2</v>
      </c>
      <c r="I751" t="str">
        <f>AvatarMatResID[[#This Row],[Material]]</f>
        <v>Male Black Barbarian 06 Yellow</v>
      </c>
    </row>
    <row r="752" spans="1:9" x14ac:dyDescent="0.15">
      <c r="A752" t="s">
        <v>454</v>
      </c>
      <c r="B752" t="s">
        <v>1923</v>
      </c>
      <c r="C752" t="s">
        <v>1127</v>
      </c>
      <c r="D752">
        <v>82</v>
      </c>
      <c r="F752">
        <f>OUTPUTAvatarMatResID[[#This Row],[AvatarPartID]]*10000+OUTPUTAvatarMatResID[[#This Row],[SexID]]*1000+AvatarMatResID[[#This Row],[CountIndex]]</f>
        <v>12082</v>
      </c>
      <c r="G752">
        <f>VLOOKUP(AvatarMatResID[[#This Row],[AvatarPart]],AvatarPartID[],2,0)</f>
        <v>1</v>
      </c>
      <c r="H752">
        <f>VLOOKUP(AvatarMatResID[[#This Row],[Sex]],SexID[],2,0)</f>
        <v>2</v>
      </c>
      <c r="I752" t="str">
        <f>AvatarMatResID[[#This Row],[Material]]</f>
        <v>Male Black Casual 01A</v>
      </c>
    </row>
    <row r="753" spans="1:9" x14ac:dyDescent="0.15">
      <c r="A753" t="s">
        <v>454</v>
      </c>
      <c r="B753" t="s">
        <v>1923</v>
      </c>
      <c r="C753" t="s">
        <v>1128</v>
      </c>
      <c r="D753">
        <v>83</v>
      </c>
      <c r="F753">
        <f>OUTPUTAvatarMatResID[[#This Row],[AvatarPartID]]*10000+OUTPUTAvatarMatResID[[#This Row],[SexID]]*1000+AvatarMatResID[[#This Row],[CountIndex]]</f>
        <v>12083</v>
      </c>
      <c r="G753">
        <f>VLOOKUP(AvatarMatResID[[#This Row],[AvatarPart]],AvatarPartID[],2,0)</f>
        <v>1</v>
      </c>
      <c r="H753">
        <f>VLOOKUP(AvatarMatResID[[#This Row],[Sex]],SexID[],2,0)</f>
        <v>2</v>
      </c>
      <c r="I753" t="str">
        <f>AvatarMatResID[[#This Row],[Material]]</f>
        <v>Male Black Casual 01B</v>
      </c>
    </row>
    <row r="754" spans="1:9" x14ac:dyDescent="0.15">
      <c r="A754" t="s">
        <v>454</v>
      </c>
      <c r="B754" t="s">
        <v>1923</v>
      </c>
      <c r="C754" t="s">
        <v>1129</v>
      </c>
      <c r="D754">
        <v>84</v>
      </c>
      <c r="F754">
        <f>OUTPUTAvatarMatResID[[#This Row],[AvatarPartID]]*10000+OUTPUTAvatarMatResID[[#This Row],[SexID]]*1000+AvatarMatResID[[#This Row],[CountIndex]]</f>
        <v>12084</v>
      </c>
      <c r="G754">
        <f>VLOOKUP(AvatarMatResID[[#This Row],[AvatarPart]],AvatarPartID[],2,0)</f>
        <v>1</v>
      </c>
      <c r="H754">
        <f>VLOOKUP(AvatarMatResID[[#This Row],[Sex]],SexID[],2,0)</f>
        <v>2</v>
      </c>
      <c r="I754" t="str">
        <f>AvatarMatResID[[#This Row],[Material]]</f>
        <v>Male Black Casual 01C</v>
      </c>
    </row>
    <row r="755" spans="1:9" x14ac:dyDescent="0.15">
      <c r="A755" t="s">
        <v>454</v>
      </c>
      <c r="B755" t="s">
        <v>1923</v>
      </c>
      <c r="C755" t="s">
        <v>1130</v>
      </c>
      <c r="D755">
        <v>85</v>
      </c>
      <c r="F755">
        <f>OUTPUTAvatarMatResID[[#This Row],[AvatarPartID]]*10000+OUTPUTAvatarMatResID[[#This Row],[SexID]]*1000+AvatarMatResID[[#This Row],[CountIndex]]</f>
        <v>12085</v>
      </c>
      <c r="G755">
        <f>VLOOKUP(AvatarMatResID[[#This Row],[AvatarPart]],AvatarPartID[],2,0)</f>
        <v>1</v>
      </c>
      <c r="H755">
        <f>VLOOKUP(AvatarMatResID[[#This Row],[Sex]],SexID[],2,0)</f>
        <v>2</v>
      </c>
      <c r="I755" t="str">
        <f>AvatarMatResID[[#This Row],[Material]]</f>
        <v>Male Black Casual 02A</v>
      </c>
    </row>
    <row r="756" spans="1:9" x14ac:dyDescent="0.15">
      <c r="A756" t="s">
        <v>454</v>
      </c>
      <c r="B756" t="s">
        <v>1923</v>
      </c>
      <c r="C756" t="s">
        <v>1131</v>
      </c>
      <c r="D756">
        <v>86</v>
      </c>
      <c r="F756">
        <f>OUTPUTAvatarMatResID[[#This Row],[AvatarPartID]]*10000+OUTPUTAvatarMatResID[[#This Row],[SexID]]*1000+AvatarMatResID[[#This Row],[CountIndex]]</f>
        <v>12086</v>
      </c>
      <c r="G756">
        <f>VLOOKUP(AvatarMatResID[[#This Row],[AvatarPart]],AvatarPartID[],2,0)</f>
        <v>1</v>
      </c>
      <c r="H756">
        <f>VLOOKUP(AvatarMatResID[[#This Row],[Sex]],SexID[],2,0)</f>
        <v>2</v>
      </c>
      <c r="I756" t="str">
        <f>AvatarMatResID[[#This Row],[Material]]</f>
        <v>Male Black Casual 02B</v>
      </c>
    </row>
    <row r="757" spans="1:9" x14ac:dyDescent="0.15">
      <c r="A757" t="s">
        <v>454</v>
      </c>
      <c r="B757" t="s">
        <v>1923</v>
      </c>
      <c r="C757" t="s">
        <v>1132</v>
      </c>
      <c r="D757">
        <v>87</v>
      </c>
      <c r="F757">
        <f>OUTPUTAvatarMatResID[[#This Row],[AvatarPartID]]*10000+OUTPUTAvatarMatResID[[#This Row],[SexID]]*1000+AvatarMatResID[[#This Row],[CountIndex]]</f>
        <v>12087</v>
      </c>
      <c r="G757">
        <f>VLOOKUP(AvatarMatResID[[#This Row],[AvatarPart]],AvatarPartID[],2,0)</f>
        <v>1</v>
      </c>
      <c r="H757">
        <f>VLOOKUP(AvatarMatResID[[#This Row],[Sex]],SexID[],2,0)</f>
        <v>2</v>
      </c>
      <c r="I757" t="str">
        <f>AvatarMatResID[[#This Row],[Material]]</f>
        <v>Male Black Casual 02C</v>
      </c>
    </row>
    <row r="758" spans="1:9" x14ac:dyDescent="0.15">
      <c r="A758" t="s">
        <v>454</v>
      </c>
      <c r="B758" t="s">
        <v>1923</v>
      </c>
      <c r="C758" t="s">
        <v>1133</v>
      </c>
      <c r="D758">
        <v>88</v>
      </c>
      <c r="F758">
        <f>OUTPUTAvatarMatResID[[#This Row],[AvatarPartID]]*10000+OUTPUTAvatarMatResID[[#This Row],[SexID]]*1000+AvatarMatResID[[#This Row],[CountIndex]]</f>
        <v>12088</v>
      </c>
      <c r="G758">
        <f>VLOOKUP(AvatarMatResID[[#This Row],[AvatarPart]],AvatarPartID[],2,0)</f>
        <v>1</v>
      </c>
      <c r="H758">
        <f>VLOOKUP(AvatarMatResID[[#This Row],[Sex]],SexID[],2,0)</f>
        <v>2</v>
      </c>
      <c r="I758" t="str">
        <f>AvatarMatResID[[#This Row],[Material]]</f>
        <v>Male Black Casual 03A</v>
      </c>
    </row>
    <row r="759" spans="1:9" x14ac:dyDescent="0.15">
      <c r="A759" t="s">
        <v>454</v>
      </c>
      <c r="B759" t="s">
        <v>1923</v>
      </c>
      <c r="C759" t="s">
        <v>1134</v>
      </c>
      <c r="D759">
        <v>89</v>
      </c>
      <c r="F759">
        <f>OUTPUTAvatarMatResID[[#This Row],[AvatarPartID]]*10000+OUTPUTAvatarMatResID[[#This Row],[SexID]]*1000+AvatarMatResID[[#This Row],[CountIndex]]</f>
        <v>12089</v>
      </c>
      <c r="G759">
        <f>VLOOKUP(AvatarMatResID[[#This Row],[AvatarPart]],AvatarPartID[],2,0)</f>
        <v>1</v>
      </c>
      <c r="H759">
        <f>VLOOKUP(AvatarMatResID[[#This Row],[Sex]],SexID[],2,0)</f>
        <v>2</v>
      </c>
      <c r="I759" t="str">
        <f>AvatarMatResID[[#This Row],[Material]]</f>
        <v>Male Black Casual 03B</v>
      </c>
    </row>
    <row r="760" spans="1:9" x14ac:dyDescent="0.15">
      <c r="A760" t="s">
        <v>454</v>
      </c>
      <c r="B760" t="s">
        <v>1923</v>
      </c>
      <c r="C760" t="s">
        <v>1135</v>
      </c>
      <c r="D760">
        <v>90</v>
      </c>
      <c r="F760">
        <f>OUTPUTAvatarMatResID[[#This Row],[AvatarPartID]]*10000+OUTPUTAvatarMatResID[[#This Row],[SexID]]*1000+AvatarMatResID[[#This Row],[CountIndex]]</f>
        <v>12090</v>
      </c>
      <c r="G760">
        <f>VLOOKUP(AvatarMatResID[[#This Row],[AvatarPart]],AvatarPartID[],2,0)</f>
        <v>1</v>
      </c>
      <c r="H760">
        <f>VLOOKUP(AvatarMatResID[[#This Row],[Sex]],SexID[],2,0)</f>
        <v>2</v>
      </c>
      <c r="I760" t="str">
        <f>AvatarMatResID[[#This Row],[Material]]</f>
        <v>Male Black Casual 03C</v>
      </c>
    </row>
    <row r="761" spans="1:9" x14ac:dyDescent="0.15">
      <c r="A761" t="s">
        <v>454</v>
      </c>
      <c r="B761" t="s">
        <v>1923</v>
      </c>
      <c r="C761" t="s">
        <v>1136</v>
      </c>
      <c r="D761">
        <v>91</v>
      </c>
      <c r="F761">
        <f>OUTPUTAvatarMatResID[[#This Row],[AvatarPartID]]*10000+OUTPUTAvatarMatResID[[#This Row],[SexID]]*1000+AvatarMatResID[[#This Row],[CountIndex]]</f>
        <v>12091</v>
      </c>
      <c r="G761">
        <f>VLOOKUP(AvatarMatResID[[#This Row],[AvatarPart]],AvatarPartID[],2,0)</f>
        <v>1</v>
      </c>
      <c r="H761">
        <f>VLOOKUP(AvatarMatResID[[#This Row],[Sex]],SexID[],2,0)</f>
        <v>2</v>
      </c>
      <c r="I761" t="str">
        <f>AvatarMatResID[[#This Row],[Material]]</f>
        <v>Male Black Casual 04A</v>
      </c>
    </row>
    <row r="762" spans="1:9" x14ac:dyDescent="0.15">
      <c r="A762" t="s">
        <v>454</v>
      </c>
      <c r="B762" t="s">
        <v>1923</v>
      </c>
      <c r="C762" t="s">
        <v>1137</v>
      </c>
      <c r="D762">
        <v>92</v>
      </c>
      <c r="F762">
        <f>OUTPUTAvatarMatResID[[#This Row],[AvatarPartID]]*10000+OUTPUTAvatarMatResID[[#This Row],[SexID]]*1000+AvatarMatResID[[#This Row],[CountIndex]]</f>
        <v>12092</v>
      </c>
      <c r="G762">
        <f>VLOOKUP(AvatarMatResID[[#This Row],[AvatarPart]],AvatarPartID[],2,0)</f>
        <v>1</v>
      </c>
      <c r="H762">
        <f>VLOOKUP(AvatarMatResID[[#This Row],[Sex]],SexID[],2,0)</f>
        <v>2</v>
      </c>
      <c r="I762" t="str">
        <f>AvatarMatResID[[#This Row],[Material]]</f>
        <v>Male Black Casual 04B</v>
      </c>
    </row>
    <row r="763" spans="1:9" x14ac:dyDescent="0.15">
      <c r="A763" t="s">
        <v>454</v>
      </c>
      <c r="B763" t="s">
        <v>1923</v>
      </c>
      <c r="C763" t="s">
        <v>1138</v>
      </c>
      <c r="D763">
        <v>93</v>
      </c>
      <c r="F763">
        <f>OUTPUTAvatarMatResID[[#This Row],[AvatarPartID]]*10000+OUTPUTAvatarMatResID[[#This Row],[SexID]]*1000+AvatarMatResID[[#This Row],[CountIndex]]</f>
        <v>12093</v>
      </c>
      <c r="G763">
        <f>VLOOKUP(AvatarMatResID[[#This Row],[AvatarPart]],AvatarPartID[],2,0)</f>
        <v>1</v>
      </c>
      <c r="H763">
        <f>VLOOKUP(AvatarMatResID[[#This Row],[Sex]],SexID[],2,0)</f>
        <v>2</v>
      </c>
      <c r="I763" t="str">
        <f>AvatarMatResID[[#This Row],[Material]]</f>
        <v>Male Black Casual 04C</v>
      </c>
    </row>
    <row r="764" spans="1:9" x14ac:dyDescent="0.15">
      <c r="A764" t="s">
        <v>454</v>
      </c>
      <c r="B764" t="s">
        <v>1923</v>
      </c>
      <c r="C764" t="s">
        <v>1139</v>
      </c>
      <c r="D764">
        <v>94</v>
      </c>
      <c r="F764">
        <f>OUTPUTAvatarMatResID[[#This Row],[AvatarPartID]]*10000+OUTPUTAvatarMatResID[[#This Row],[SexID]]*1000+AvatarMatResID[[#This Row],[CountIndex]]</f>
        <v>12094</v>
      </c>
      <c r="G764">
        <f>VLOOKUP(AvatarMatResID[[#This Row],[AvatarPart]],AvatarPartID[],2,0)</f>
        <v>1</v>
      </c>
      <c r="H764">
        <f>VLOOKUP(AvatarMatResID[[#This Row],[Sex]],SexID[],2,0)</f>
        <v>2</v>
      </c>
      <c r="I764" t="str">
        <f>AvatarMatResID[[#This Row],[Material]]</f>
        <v>Male Black Casual 05A</v>
      </c>
    </row>
    <row r="765" spans="1:9" x14ac:dyDescent="0.15">
      <c r="A765" t="s">
        <v>454</v>
      </c>
      <c r="B765" t="s">
        <v>1923</v>
      </c>
      <c r="C765" t="s">
        <v>1140</v>
      </c>
      <c r="D765">
        <v>95</v>
      </c>
      <c r="F765">
        <f>OUTPUTAvatarMatResID[[#This Row],[AvatarPartID]]*10000+OUTPUTAvatarMatResID[[#This Row],[SexID]]*1000+AvatarMatResID[[#This Row],[CountIndex]]</f>
        <v>12095</v>
      </c>
      <c r="G765">
        <f>VLOOKUP(AvatarMatResID[[#This Row],[AvatarPart]],AvatarPartID[],2,0)</f>
        <v>1</v>
      </c>
      <c r="H765">
        <f>VLOOKUP(AvatarMatResID[[#This Row],[Sex]],SexID[],2,0)</f>
        <v>2</v>
      </c>
      <c r="I765" t="str">
        <f>AvatarMatResID[[#This Row],[Material]]</f>
        <v>Male Black Casual 05B</v>
      </c>
    </row>
    <row r="766" spans="1:9" x14ac:dyDescent="0.15">
      <c r="A766" t="s">
        <v>454</v>
      </c>
      <c r="B766" t="s">
        <v>1923</v>
      </c>
      <c r="C766" t="s">
        <v>1141</v>
      </c>
      <c r="D766">
        <v>96</v>
      </c>
      <c r="F766">
        <f>OUTPUTAvatarMatResID[[#This Row],[AvatarPartID]]*10000+OUTPUTAvatarMatResID[[#This Row],[SexID]]*1000+AvatarMatResID[[#This Row],[CountIndex]]</f>
        <v>12096</v>
      </c>
      <c r="G766">
        <f>VLOOKUP(AvatarMatResID[[#This Row],[AvatarPart]],AvatarPartID[],2,0)</f>
        <v>1</v>
      </c>
      <c r="H766">
        <f>VLOOKUP(AvatarMatResID[[#This Row],[Sex]],SexID[],2,0)</f>
        <v>2</v>
      </c>
      <c r="I766" t="str">
        <f>AvatarMatResID[[#This Row],[Material]]</f>
        <v>Male Black Casual 05C</v>
      </c>
    </row>
    <row r="767" spans="1:9" x14ac:dyDescent="0.15">
      <c r="A767" t="s">
        <v>454</v>
      </c>
      <c r="B767" t="s">
        <v>1923</v>
      </c>
      <c r="C767" t="s">
        <v>1142</v>
      </c>
      <c r="D767">
        <v>97</v>
      </c>
      <c r="F767">
        <f>OUTPUTAvatarMatResID[[#This Row],[AvatarPartID]]*10000+OUTPUTAvatarMatResID[[#This Row],[SexID]]*1000+AvatarMatResID[[#This Row],[CountIndex]]</f>
        <v>12097</v>
      </c>
      <c r="G767">
        <f>VLOOKUP(AvatarMatResID[[#This Row],[AvatarPart]],AvatarPartID[],2,0)</f>
        <v>1</v>
      </c>
      <c r="H767">
        <f>VLOOKUP(AvatarMatResID[[#This Row],[Sex]],SexID[],2,0)</f>
        <v>2</v>
      </c>
      <c r="I767" t="str">
        <f>AvatarMatResID[[#This Row],[Material]]</f>
        <v>Male Black Casual 06A</v>
      </c>
    </row>
    <row r="768" spans="1:9" x14ac:dyDescent="0.15">
      <c r="A768" t="s">
        <v>454</v>
      </c>
      <c r="B768" t="s">
        <v>1923</v>
      </c>
      <c r="C768" t="s">
        <v>1143</v>
      </c>
      <c r="D768">
        <v>98</v>
      </c>
      <c r="F768">
        <f>OUTPUTAvatarMatResID[[#This Row],[AvatarPartID]]*10000+OUTPUTAvatarMatResID[[#This Row],[SexID]]*1000+AvatarMatResID[[#This Row],[CountIndex]]</f>
        <v>12098</v>
      </c>
      <c r="G768">
        <f>VLOOKUP(AvatarMatResID[[#This Row],[AvatarPart]],AvatarPartID[],2,0)</f>
        <v>1</v>
      </c>
      <c r="H768">
        <f>VLOOKUP(AvatarMatResID[[#This Row],[Sex]],SexID[],2,0)</f>
        <v>2</v>
      </c>
      <c r="I768" t="str">
        <f>AvatarMatResID[[#This Row],[Material]]</f>
        <v>Male Black Casual 06B</v>
      </c>
    </row>
    <row r="769" spans="1:9" x14ac:dyDescent="0.15">
      <c r="A769" t="s">
        <v>454</v>
      </c>
      <c r="B769" t="s">
        <v>1923</v>
      </c>
      <c r="C769" t="s">
        <v>1144</v>
      </c>
      <c r="D769">
        <v>99</v>
      </c>
      <c r="F769">
        <f>OUTPUTAvatarMatResID[[#This Row],[AvatarPartID]]*10000+OUTPUTAvatarMatResID[[#This Row],[SexID]]*1000+AvatarMatResID[[#This Row],[CountIndex]]</f>
        <v>12099</v>
      </c>
      <c r="G769">
        <f>VLOOKUP(AvatarMatResID[[#This Row],[AvatarPart]],AvatarPartID[],2,0)</f>
        <v>1</v>
      </c>
      <c r="H769">
        <f>VLOOKUP(AvatarMatResID[[#This Row],[Sex]],SexID[],2,0)</f>
        <v>2</v>
      </c>
      <c r="I769" t="str">
        <f>AvatarMatResID[[#This Row],[Material]]</f>
        <v>Male Black Casual 06C</v>
      </c>
    </row>
    <row r="770" spans="1:9" x14ac:dyDescent="0.15">
      <c r="A770" t="s">
        <v>454</v>
      </c>
      <c r="B770" t="s">
        <v>1923</v>
      </c>
      <c r="C770" t="s">
        <v>1145</v>
      </c>
      <c r="D770">
        <v>100</v>
      </c>
      <c r="F770">
        <f>OUTPUTAvatarMatResID[[#This Row],[AvatarPartID]]*10000+OUTPUTAvatarMatResID[[#This Row],[SexID]]*1000+AvatarMatResID[[#This Row],[CountIndex]]</f>
        <v>12100</v>
      </c>
      <c r="G770">
        <f>VLOOKUP(AvatarMatResID[[#This Row],[AvatarPart]],AvatarPartID[],2,0)</f>
        <v>1</v>
      </c>
      <c r="H770">
        <f>VLOOKUP(AvatarMatResID[[#This Row],[Sex]],SexID[],2,0)</f>
        <v>2</v>
      </c>
      <c r="I770" t="str">
        <f>AvatarMatResID[[#This Row],[Material]]</f>
        <v>Male Black Casual 07A</v>
      </c>
    </row>
    <row r="771" spans="1:9" x14ac:dyDescent="0.15">
      <c r="A771" t="s">
        <v>454</v>
      </c>
      <c r="B771" t="s">
        <v>1923</v>
      </c>
      <c r="C771" t="s">
        <v>1146</v>
      </c>
      <c r="D771">
        <v>101</v>
      </c>
      <c r="F771">
        <f>OUTPUTAvatarMatResID[[#This Row],[AvatarPartID]]*10000+OUTPUTAvatarMatResID[[#This Row],[SexID]]*1000+AvatarMatResID[[#This Row],[CountIndex]]</f>
        <v>12101</v>
      </c>
      <c r="G771">
        <f>VLOOKUP(AvatarMatResID[[#This Row],[AvatarPart]],AvatarPartID[],2,0)</f>
        <v>1</v>
      </c>
      <c r="H771">
        <f>VLOOKUP(AvatarMatResID[[#This Row],[Sex]],SexID[],2,0)</f>
        <v>2</v>
      </c>
      <c r="I771" t="str">
        <f>AvatarMatResID[[#This Row],[Material]]</f>
        <v>Male Black Casual 07B</v>
      </c>
    </row>
    <row r="772" spans="1:9" x14ac:dyDescent="0.15">
      <c r="A772" t="s">
        <v>454</v>
      </c>
      <c r="B772" t="s">
        <v>1923</v>
      </c>
      <c r="C772" t="s">
        <v>1147</v>
      </c>
      <c r="D772">
        <v>102</v>
      </c>
      <c r="F772">
        <f>OUTPUTAvatarMatResID[[#This Row],[AvatarPartID]]*10000+OUTPUTAvatarMatResID[[#This Row],[SexID]]*1000+AvatarMatResID[[#This Row],[CountIndex]]</f>
        <v>12102</v>
      </c>
      <c r="G772">
        <f>VLOOKUP(AvatarMatResID[[#This Row],[AvatarPart]],AvatarPartID[],2,0)</f>
        <v>1</v>
      </c>
      <c r="H772">
        <f>VLOOKUP(AvatarMatResID[[#This Row],[Sex]],SexID[],2,0)</f>
        <v>2</v>
      </c>
      <c r="I772" t="str">
        <f>AvatarMatResID[[#This Row],[Material]]</f>
        <v>Male Black Casual 07C</v>
      </c>
    </row>
    <row r="773" spans="1:9" x14ac:dyDescent="0.15">
      <c r="A773" t="s">
        <v>454</v>
      </c>
      <c r="B773" t="s">
        <v>1923</v>
      </c>
      <c r="C773" t="s">
        <v>1148</v>
      </c>
      <c r="D773">
        <v>103</v>
      </c>
      <c r="F773">
        <f>OUTPUTAvatarMatResID[[#This Row],[AvatarPartID]]*10000+OUTPUTAvatarMatResID[[#This Row],[SexID]]*1000+AvatarMatResID[[#This Row],[CountIndex]]</f>
        <v>12103</v>
      </c>
      <c r="G773">
        <f>VLOOKUP(AvatarMatResID[[#This Row],[AvatarPart]],AvatarPartID[],2,0)</f>
        <v>1</v>
      </c>
      <c r="H773">
        <f>VLOOKUP(AvatarMatResID[[#This Row],[Sex]],SexID[],2,0)</f>
        <v>2</v>
      </c>
      <c r="I773" t="str">
        <f>AvatarMatResID[[#This Row],[Material]]</f>
        <v>Male Black Casual 08A</v>
      </c>
    </row>
    <row r="774" spans="1:9" x14ac:dyDescent="0.15">
      <c r="A774" t="s">
        <v>454</v>
      </c>
      <c r="B774" t="s">
        <v>1923</v>
      </c>
      <c r="C774" t="s">
        <v>1149</v>
      </c>
      <c r="D774">
        <v>104</v>
      </c>
      <c r="F774">
        <f>OUTPUTAvatarMatResID[[#This Row],[AvatarPartID]]*10000+OUTPUTAvatarMatResID[[#This Row],[SexID]]*1000+AvatarMatResID[[#This Row],[CountIndex]]</f>
        <v>12104</v>
      </c>
      <c r="G774">
        <f>VLOOKUP(AvatarMatResID[[#This Row],[AvatarPart]],AvatarPartID[],2,0)</f>
        <v>1</v>
      </c>
      <c r="H774">
        <f>VLOOKUP(AvatarMatResID[[#This Row],[Sex]],SexID[],2,0)</f>
        <v>2</v>
      </c>
      <c r="I774" t="str">
        <f>AvatarMatResID[[#This Row],[Material]]</f>
        <v>Male Black Casual 08B</v>
      </c>
    </row>
    <row r="775" spans="1:9" x14ac:dyDescent="0.15">
      <c r="A775" t="s">
        <v>454</v>
      </c>
      <c r="B775" t="s">
        <v>1923</v>
      </c>
      <c r="C775" t="s">
        <v>1150</v>
      </c>
      <c r="D775">
        <v>105</v>
      </c>
      <c r="F775">
        <f>OUTPUTAvatarMatResID[[#This Row],[AvatarPartID]]*10000+OUTPUTAvatarMatResID[[#This Row],[SexID]]*1000+AvatarMatResID[[#This Row],[CountIndex]]</f>
        <v>12105</v>
      </c>
      <c r="G775">
        <f>VLOOKUP(AvatarMatResID[[#This Row],[AvatarPart]],AvatarPartID[],2,0)</f>
        <v>1</v>
      </c>
      <c r="H775">
        <f>VLOOKUP(AvatarMatResID[[#This Row],[Sex]],SexID[],2,0)</f>
        <v>2</v>
      </c>
      <c r="I775" t="str">
        <f>AvatarMatResID[[#This Row],[Material]]</f>
        <v>Male Black Casual 08C</v>
      </c>
    </row>
    <row r="776" spans="1:9" x14ac:dyDescent="0.15">
      <c r="A776" t="s">
        <v>454</v>
      </c>
      <c r="B776" t="s">
        <v>1923</v>
      </c>
      <c r="C776" t="s">
        <v>1151</v>
      </c>
      <c r="D776">
        <v>106</v>
      </c>
      <c r="F776">
        <f>OUTPUTAvatarMatResID[[#This Row],[AvatarPartID]]*10000+OUTPUTAvatarMatResID[[#This Row],[SexID]]*1000+AvatarMatResID[[#This Row],[CountIndex]]</f>
        <v>12106</v>
      </c>
      <c r="G776">
        <f>VLOOKUP(AvatarMatResID[[#This Row],[AvatarPart]],AvatarPartID[],2,0)</f>
        <v>1</v>
      </c>
      <c r="H776">
        <f>VLOOKUP(AvatarMatResID[[#This Row],[Sex]],SexID[],2,0)</f>
        <v>2</v>
      </c>
      <c r="I776" t="str">
        <f>AvatarMatResID[[#This Row],[Material]]</f>
        <v>Male Black King 01 Black</v>
      </c>
    </row>
    <row r="777" spans="1:9" x14ac:dyDescent="0.15">
      <c r="A777" t="s">
        <v>454</v>
      </c>
      <c r="B777" t="s">
        <v>1923</v>
      </c>
      <c r="C777" t="s">
        <v>1152</v>
      </c>
      <c r="D777">
        <v>107</v>
      </c>
      <c r="F777">
        <f>OUTPUTAvatarMatResID[[#This Row],[AvatarPartID]]*10000+OUTPUTAvatarMatResID[[#This Row],[SexID]]*1000+AvatarMatResID[[#This Row],[CountIndex]]</f>
        <v>12107</v>
      </c>
      <c r="G777">
        <f>VLOOKUP(AvatarMatResID[[#This Row],[AvatarPart]],AvatarPartID[],2,0)</f>
        <v>1</v>
      </c>
      <c r="H777">
        <f>VLOOKUP(AvatarMatResID[[#This Row],[Sex]],SexID[],2,0)</f>
        <v>2</v>
      </c>
      <c r="I777" t="str">
        <f>AvatarMatResID[[#This Row],[Material]]</f>
        <v>Male Black King 01 Blue</v>
      </c>
    </row>
    <row r="778" spans="1:9" x14ac:dyDescent="0.15">
      <c r="A778" t="s">
        <v>454</v>
      </c>
      <c r="B778" t="s">
        <v>1923</v>
      </c>
      <c r="C778" t="s">
        <v>1153</v>
      </c>
      <c r="D778">
        <v>108</v>
      </c>
      <c r="F778">
        <f>OUTPUTAvatarMatResID[[#This Row],[AvatarPartID]]*10000+OUTPUTAvatarMatResID[[#This Row],[SexID]]*1000+AvatarMatResID[[#This Row],[CountIndex]]</f>
        <v>12108</v>
      </c>
      <c r="G778">
        <f>VLOOKUP(AvatarMatResID[[#This Row],[AvatarPart]],AvatarPartID[],2,0)</f>
        <v>1</v>
      </c>
      <c r="H778">
        <f>VLOOKUP(AvatarMatResID[[#This Row],[Sex]],SexID[],2,0)</f>
        <v>2</v>
      </c>
      <c r="I778" t="str">
        <f>AvatarMatResID[[#This Row],[Material]]</f>
        <v>Male Black King 01 Green</v>
      </c>
    </row>
    <row r="779" spans="1:9" x14ac:dyDescent="0.15">
      <c r="A779" t="s">
        <v>454</v>
      </c>
      <c r="B779" t="s">
        <v>1923</v>
      </c>
      <c r="C779" t="s">
        <v>1154</v>
      </c>
      <c r="D779">
        <v>109</v>
      </c>
      <c r="F779">
        <f>OUTPUTAvatarMatResID[[#This Row],[AvatarPartID]]*10000+OUTPUTAvatarMatResID[[#This Row],[SexID]]*1000+AvatarMatResID[[#This Row],[CountIndex]]</f>
        <v>12109</v>
      </c>
      <c r="G779">
        <f>VLOOKUP(AvatarMatResID[[#This Row],[AvatarPart]],AvatarPartID[],2,0)</f>
        <v>1</v>
      </c>
      <c r="H779">
        <f>VLOOKUP(AvatarMatResID[[#This Row],[Sex]],SexID[],2,0)</f>
        <v>2</v>
      </c>
      <c r="I779" t="str">
        <f>AvatarMatResID[[#This Row],[Material]]</f>
        <v>Male Black King 01 Magenta</v>
      </c>
    </row>
    <row r="780" spans="1:9" x14ac:dyDescent="0.15">
      <c r="A780" t="s">
        <v>454</v>
      </c>
      <c r="B780" t="s">
        <v>1923</v>
      </c>
      <c r="C780" t="s">
        <v>1155</v>
      </c>
      <c r="D780">
        <v>110</v>
      </c>
      <c r="F780">
        <f>OUTPUTAvatarMatResID[[#This Row],[AvatarPartID]]*10000+OUTPUTAvatarMatResID[[#This Row],[SexID]]*1000+AvatarMatResID[[#This Row],[CountIndex]]</f>
        <v>12110</v>
      </c>
      <c r="G780">
        <f>VLOOKUP(AvatarMatResID[[#This Row],[AvatarPart]],AvatarPartID[],2,0)</f>
        <v>1</v>
      </c>
      <c r="H780">
        <f>VLOOKUP(AvatarMatResID[[#This Row],[Sex]],SexID[],2,0)</f>
        <v>2</v>
      </c>
      <c r="I780" t="str">
        <f>AvatarMatResID[[#This Row],[Material]]</f>
        <v>Male Black King 01 Purple</v>
      </c>
    </row>
    <row r="781" spans="1:9" x14ac:dyDescent="0.15">
      <c r="A781" t="s">
        <v>454</v>
      </c>
      <c r="B781" t="s">
        <v>1923</v>
      </c>
      <c r="C781" t="s">
        <v>1156</v>
      </c>
      <c r="D781">
        <v>111</v>
      </c>
      <c r="F781">
        <f>OUTPUTAvatarMatResID[[#This Row],[AvatarPartID]]*10000+OUTPUTAvatarMatResID[[#This Row],[SexID]]*1000+AvatarMatResID[[#This Row],[CountIndex]]</f>
        <v>12111</v>
      </c>
      <c r="G781">
        <f>VLOOKUP(AvatarMatResID[[#This Row],[AvatarPart]],AvatarPartID[],2,0)</f>
        <v>1</v>
      </c>
      <c r="H781">
        <f>VLOOKUP(AvatarMatResID[[#This Row],[Sex]],SexID[],2,0)</f>
        <v>2</v>
      </c>
      <c r="I781" t="str">
        <f>AvatarMatResID[[#This Row],[Material]]</f>
        <v>Male Black King 01 Red</v>
      </c>
    </row>
    <row r="782" spans="1:9" x14ac:dyDescent="0.15">
      <c r="A782" t="s">
        <v>454</v>
      </c>
      <c r="B782" t="s">
        <v>1923</v>
      </c>
      <c r="C782" t="s">
        <v>1157</v>
      </c>
      <c r="D782">
        <v>112</v>
      </c>
      <c r="F782">
        <f>OUTPUTAvatarMatResID[[#This Row],[AvatarPartID]]*10000+OUTPUTAvatarMatResID[[#This Row],[SexID]]*1000+AvatarMatResID[[#This Row],[CountIndex]]</f>
        <v>12112</v>
      </c>
      <c r="G782">
        <f>VLOOKUP(AvatarMatResID[[#This Row],[AvatarPart]],AvatarPartID[],2,0)</f>
        <v>1</v>
      </c>
      <c r="H782">
        <f>VLOOKUP(AvatarMatResID[[#This Row],[Sex]],SexID[],2,0)</f>
        <v>2</v>
      </c>
      <c r="I782" t="str">
        <f>AvatarMatResID[[#This Row],[Material]]</f>
        <v>Male Black King 01 White</v>
      </c>
    </row>
    <row r="783" spans="1:9" x14ac:dyDescent="0.15">
      <c r="A783" t="s">
        <v>454</v>
      </c>
      <c r="B783" t="s">
        <v>1923</v>
      </c>
      <c r="C783" t="s">
        <v>1158</v>
      </c>
      <c r="D783">
        <v>113</v>
      </c>
      <c r="F783">
        <f>OUTPUTAvatarMatResID[[#This Row],[AvatarPartID]]*10000+OUTPUTAvatarMatResID[[#This Row],[SexID]]*1000+AvatarMatResID[[#This Row],[CountIndex]]</f>
        <v>12113</v>
      </c>
      <c r="G783">
        <f>VLOOKUP(AvatarMatResID[[#This Row],[AvatarPart]],AvatarPartID[],2,0)</f>
        <v>1</v>
      </c>
      <c r="H783">
        <f>VLOOKUP(AvatarMatResID[[#This Row],[Sex]],SexID[],2,0)</f>
        <v>2</v>
      </c>
      <c r="I783" t="str">
        <f>AvatarMatResID[[#This Row],[Material]]</f>
        <v>Male Black King 01 Yellow</v>
      </c>
    </row>
    <row r="784" spans="1:9" x14ac:dyDescent="0.15">
      <c r="A784" t="s">
        <v>454</v>
      </c>
      <c r="B784" t="s">
        <v>1923</v>
      </c>
      <c r="C784" t="s">
        <v>1159</v>
      </c>
      <c r="D784">
        <v>114</v>
      </c>
      <c r="F784">
        <f>OUTPUTAvatarMatResID[[#This Row],[AvatarPartID]]*10000+OUTPUTAvatarMatResID[[#This Row],[SexID]]*1000+AvatarMatResID[[#This Row],[CountIndex]]</f>
        <v>12114</v>
      </c>
      <c r="G784">
        <f>VLOOKUP(AvatarMatResID[[#This Row],[AvatarPart]],AvatarPartID[],2,0)</f>
        <v>1</v>
      </c>
      <c r="H784">
        <f>VLOOKUP(AvatarMatResID[[#This Row],[Sex]],SexID[],2,0)</f>
        <v>2</v>
      </c>
      <c r="I784" t="str">
        <f>AvatarMatResID[[#This Row],[Material]]</f>
        <v>Male Black Knight 01 Black</v>
      </c>
    </row>
    <row r="785" spans="1:9" x14ac:dyDescent="0.15">
      <c r="A785" t="s">
        <v>454</v>
      </c>
      <c r="B785" t="s">
        <v>1923</v>
      </c>
      <c r="C785" t="s">
        <v>1160</v>
      </c>
      <c r="D785">
        <v>115</v>
      </c>
      <c r="F785">
        <f>OUTPUTAvatarMatResID[[#This Row],[AvatarPartID]]*10000+OUTPUTAvatarMatResID[[#This Row],[SexID]]*1000+AvatarMatResID[[#This Row],[CountIndex]]</f>
        <v>12115</v>
      </c>
      <c r="G785">
        <f>VLOOKUP(AvatarMatResID[[#This Row],[AvatarPart]],AvatarPartID[],2,0)</f>
        <v>1</v>
      </c>
      <c r="H785">
        <f>VLOOKUP(AvatarMatResID[[#This Row],[Sex]],SexID[],2,0)</f>
        <v>2</v>
      </c>
      <c r="I785" t="str">
        <f>AvatarMatResID[[#This Row],[Material]]</f>
        <v>Male Black Knight 01 Blue</v>
      </c>
    </row>
    <row r="786" spans="1:9" x14ac:dyDescent="0.15">
      <c r="A786" t="s">
        <v>454</v>
      </c>
      <c r="B786" t="s">
        <v>1923</v>
      </c>
      <c r="C786" t="s">
        <v>1161</v>
      </c>
      <c r="D786">
        <v>116</v>
      </c>
      <c r="F786">
        <f>OUTPUTAvatarMatResID[[#This Row],[AvatarPartID]]*10000+OUTPUTAvatarMatResID[[#This Row],[SexID]]*1000+AvatarMatResID[[#This Row],[CountIndex]]</f>
        <v>12116</v>
      </c>
      <c r="G786">
        <f>VLOOKUP(AvatarMatResID[[#This Row],[AvatarPart]],AvatarPartID[],2,0)</f>
        <v>1</v>
      </c>
      <c r="H786">
        <f>VLOOKUP(AvatarMatResID[[#This Row],[Sex]],SexID[],2,0)</f>
        <v>2</v>
      </c>
      <c r="I786" t="str">
        <f>AvatarMatResID[[#This Row],[Material]]</f>
        <v>Male Black Knight 01 Red</v>
      </c>
    </row>
    <row r="787" spans="1:9" x14ac:dyDescent="0.15">
      <c r="A787" t="s">
        <v>454</v>
      </c>
      <c r="B787" t="s">
        <v>1923</v>
      </c>
      <c r="C787" t="s">
        <v>1162</v>
      </c>
      <c r="D787">
        <v>117</v>
      </c>
      <c r="F787">
        <f>OUTPUTAvatarMatResID[[#This Row],[AvatarPartID]]*10000+OUTPUTAvatarMatResID[[#This Row],[SexID]]*1000+AvatarMatResID[[#This Row],[CountIndex]]</f>
        <v>12117</v>
      </c>
      <c r="G787">
        <f>VLOOKUP(AvatarMatResID[[#This Row],[AvatarPart]],AvatarPartID[],2,0)</f>
        <v>1</v>
      </c>
      <c r="H787">
        <f>VLOOKUP(AvatarMatResID[[#This Row],[Sex]],SexID[],2,0)</f>
        <v>2</v>
      </c>
      <c r="I787" t="str">
        <f>AvatarMatResID[[#This Row],[Material]]</f>
        <v>Male Black Knight 01 White</v>
      </c>
    </row>
    <row r="788" spans="1:9" x14ac:dyDescent="0.15">
      <c r="A788" t="s">
        <v>454</v>
      </c>
      <c r="B788" t="s">
        <v>1923</v>
      </c>
      <c r="C788" t="s">
        <v>1163</v>
      </c>
      <c r="D788">
        <v>118</v>
      </c>
      <c r="F788">
        <f>OUTPUTAvatarMatResID[[#This Row],[AvatarPartID]]*10000+OUTPUTAvatarMatResID[[#This Row],[SexID]]*1000+AvatarMatResID[[#This Row],[CountIndex]]</f>
        <v>12118</v>
      </c>
      <c r="G788">
        <f>VLOOKUP(AvatarMatResID[[#This Row],[AvatarPart]],AvatarPartID[],2,0)</f>
        <v>1</v>
      </c>
      <c r="H788">
        <f>VLOOKUP(AvatarMatResID[[#This Row],[Sex]],SexID[],2,0)</f>
        <v>2</v>
      </c>
      <c r="I788" t="str">
        <f>AvatarMatResID[[#This Row],[Material]]</f>
        <v>Male Black Knight 02 Black</v>
      </c>
    </row>
    <row r="789" spans="1:9" x14ac:dyDescent="0.15">
      <c r="A789" t="s">
        <v>454</v>
      </c>
      <c r="B789" t="s">
        <v>1923</v>
      </c>
      <c r="C789" t="s">
        <v>1164</v>
      </c>
      <c r="D789">
        <v>119</v>
      </c>
      <c r="F789">
        <f>OUTPUTAvatarMatResID[[#This Row],[AvatarPartID]]*10000+OUTPUTAvatarMatResID[[#This Row],[SexID]]*1000+AvatarMatResID[[#This Row],[CountIndex]]</f>
        <v>12119</v>
      </c>
      <c r="G789">
        <f>VLOOKUP(AvatarMatResID[[#This Row],[AvatarPart]],AvatarPartID[],2,0)</f>
        <v>1</v>
      </c>
      <c r="H789">
        <f>VLOOKUP(AvatarMatResID[[#This Row],[Sex]],SexID[],2,0)</f>
        <v>2</v>
      </c>
      <c r="I789" t="str">
        <f>AvatarMatResID[[#This Row],[Material]]</f>
        <v>Male Black Knight 02 Blue</v>
      </c>
    </row>
    <row r="790" spans="1:9" x14ac:dyDescent="0.15">
      <c r="A790" t="s">
        <v>454</v>
      </c>
      <c r="B790" t="s">
        <v>1923</v>
      </c>
      <c r="C790" t="s">
        <v>1165</v>
      </c>
      <c r="D790">
        <v>120</v>
      </c>
      <c r="F790">
        <f>OUTPUTAvatarMatResID[[#This Row],[AvatarPartID]]*10000+OUTPUTAvatarMatResID[[#This Row],[SexID]]*1000+AvatarMatResID[[#This Row],[CountIndex]]</f>
        <v>12120</v>
      </c>
      <c r="G790">
        <f>VLOOKUP(AvatarMatResID[[#This Row],[AvatarPart]],AvatarPartID[],2,0)</f>
        <v>1</v>
      </c>
      <c r="H790">
        <f>VLOOKUP(AvatarMatResID[[#This Row],[Sex]],SexID[],2,0)</f>
        <v>2</v>
      </c>
      <c r="I790" t="str">
        <f>AvatarMatResID[[#This Row],[Material]]</f>
        <v>Male Black Knight 02 Green</v>
      </c>
    </row>
    <row r="791" spans="1:9" x14ac:dyDescent="0.15">
      <c r="A791" t="s">
        <v>454</v>
      </c>
      <c r="B791" t="s">
        <v>1923</v>
      </c>
      <c r="C791" t="s">
        <v>1166</v>
      </c>
      <c r="D791">
        <v>121</v>
      </c>
      <c r="F791">
        <f>OUTPUTAvatarMatResID[[#This Row],[AvatarPartID]]*10000+OUTPUTAvatarMatResID[[#This Row],[SexID]]*1000+AvatarMatResID[[#This Row],[CountIndex]]</f>
        <v>12121</v>
      </c>
      <c r="G791">
        <f>VLOOKUP(AvatarMatResID[[#This Row],[AvatarPart]],AvatarPartID[],2,0)</f>
        <v>1</v>
      </c>
      <c r="H791">
        <f>VLOOKUP(AvatarMatResID[[#This Row],[Sex]],SexID[],2,0)</f>
        <v>2</v>
      </c>
      <c r="I791" t="str">
        <f>AvatarMatResID[[#This Row],[Material]]</f>
        <v>Male Black Knight 02 Purple</v>
      </c>
    </row>
    <row r="792" spans="1:9" x14ac:dyDescent="0.15">
      <c r="A792" t="s">
        <v>454</v>
      </c>
      <c r="B792" t="s">
        <v>1923</v>
      </c>
      <c r="C792" t="s">
        <v>1167</v>
      </c>
      <c r="D792">
        <v>122</v>
      </c>
      <c r="F792">
        <f>OUTPUTAvatarMatResID[[#This Row],[AvatarPartID]]*10000+OUTPUTAvatarMatResID[[#This Row],[SexID]]*1000+AvatarMatResID[[#This Row],[CountIndex]]</f>
        <v>12122</v>
      </c>
      <c r="G792">
        <f>VLOOKUP(AvatarMatResID[[#This Row],[AvatarPart]],AvatarPartID[],2,0)</f>
        <v>1</v>
      </c>
      <c r="H792">
        <f>VLOOKUP(AvatarMatResID[[#This Row],[Sex]],SexID[],2,0)</f>
        <v>2</v>
      </c>
      <c r="I792" t="str">
        <f>AvatarMatResID[[#This Row],[Material]]</f>
        <v>Male Black Knight 02 Red</v>
      </c>
    </row>
    <row r="793" spans="1:9" x14ac:dyDescent="0.15">
      <c r="A793" t="s">
        <v>454</v>
      </c>
      <c r="B793" t="s">
        <v>1923</v>
      </c>
      <c r="C793" t="s">
        <v>1168</v>
      </c>
      <c r="D793">
        <v>123</v>
      </c>
      <c r="F793">
        <f>OUTPUTAvatarMatResID[[#This Row],[AvatarPartID]]*10000+OUTPUTAvatarMatResID[[#This Row],[SexID]]*1000+AvatarMatResID[[#This Row],[CountIndex]]</f>
        <v>12123</v>
      </c>
      <c r="G793">
        <f>VLOOKUP(AvatarMatResID[[#This Row],[AvatarPart]],AvatarPartID[],2,0)</f>
        <v>1</v>
      </c>
      <c r="H793">
        <f>VLOOKUP(AvatarMatResID[[#This Row],[Sex]],SexID[],2,0)</f>
        <v>2</v>
      </c>
      <c r="I793" t="str">
        <f>AvatarMatResID[[#This Row],[Material]]</f>
        <v>Male Black Knight 02 White</v>
      </c>
    </row>
    <row r="794" spans="1:9" x14ac:dyDescent="0.15">
      <c r="A794" t="s">
        <v>454</v>
      </c>
      <c r="B794" t="s">
        <v>1923</v>
      </c>
      <c r="C794" t="s">
        <v>1169</v>
      </c>
      <c r="D794">
        <v>124</v>
      </c>
      <c r="F794">
        <f>OUTPUTAvatarMatResID[[#This Row],[AvatarPartID]]*10000+OUTPUTAvatarMatResID[[#This Row],[SexID]]*1000+AvatarMatResID[[#This Row],[CountIndex]]</f>
        <v>12124</v>
      </c>
      <c r="G794">
        <f>VLOOKUP(AvatarMatResID[[#This Row],[AvatarPart]],AvatarPartID[],2,0)</f>
        <v>1</v>
      </c>
      <c r="H794">
        <f>VLOOKUP(AvatarMatResID[[#This Row],[Sex]],SexID[],2,0)</f>
        <v>2</v>
      </c>
      <c r="I794" t="str">
        <f>AvatarMatResID[[#This Row],[Material]]</f>
        <v>Male Black Knight 03 Black</v>
      </c>
    </row>
    <row r="795" spans="1:9" x14ac:dyDescent="0.15">
      <c r="A795" t="s">
        <v>454</v>
      </c>
      <c r="B795" t="s">
        <v>1923</v>
      </c>
      <c r="C795" t="s">
        <v>1170</v>
      </c>
      <c r="D795">
        <v>125</v>
      </c>
      <c r="F795">
        <f>OUTPUTAvatarMatResID[[#This Row],[AvatarPartID]]*10000+OUTPUTAvatarMatResID[[#This Row],[SexID]]*1000+AvatarMatResID[[#This Row],[CountIndex]]</f>
        <v>12125</v>
      </c>
      <c r="G795">
        <f>VLOOKUP(AvatarMatResID[[#This Row],[AvatarPart]],AvatarPartID[],2,0)</f>
        <v>1</v>
      </c>
      <c r="H795">
        <f>VLOOKUP(AvatarMatResID[[#This Row],[Sex]],SexID[],2,0)</f>
        <v>2</v>
      </c>
      <c r="I795" t="str">
        <f>AvatarMatResID[[#This Row],[Material]]</f>
        <v>Male Black Knight 03 Blue</v>
      </c>
    </row>
    <row r="796" spans="1:9" x14ac:dyDescent="0.15">
      <c r="A796" t="s">
        <v>454</v>
      </c>
      <c r="B796" t="s">
        <v>1923</v>
      </c>
      <c r="C796" t="s">
        <v>1171</v>
      </c>
      <c r="D796">
        <v>126</v>
      </c>
      <c r="F796">
        <f>OUTPUTAvatarMatResID[[#This Row],[AvatarPartID]]*10000+OUTPUTAvatarMatResID[[#This Row],[SexID]]*1000+AvatarMatResID[[#This Row],[CountIndex]]</f>
        <v>12126</v>
      </c>
      <c r="G796">
        <f>VLOOKUP(AvatarMatResID[[#This Row],[AvatarPart]],AvatarPartID[],2,0)</f>
        <v>1</v>
      </c>
      <c r="H796">
        <f>VLOOKUP(AvatarMatResID[[#This Row],[Sex]],SexID[],2,0)</f>
        <v>2</v>
      </c>
      <c r="I796" t="str">
        <f>AvatarMatResID[[#This Row],[Material]]</f>
        <v>Male Black Knight 03 Brown</v>
      </c>
    </row>
    <row r="797" spans="1:9" x14ac:dyDescent="0.15">
      <c r="A797" t="s">
        <v>454</v>
      </c>
      <c r="B797" t="s">
        <v>1923</v>
      </c>
      <c r="C797" t="s">
        <v>1172</v>
      </c>
      <c r="D797">
        <v>127</v>
      </c>
      <c r="F797">
        <f>OUTPUTAvatarMatResID[[#This Row],[AvatarPartID]]*10000+OUTPUTAvatarMatResID[[#This Row],[SexID]]*1000+AvatarMatResID[[#This Row],[CountIndex]]</f>
        <v>12127</v>
      </c>
      <c r="G797">
        <f>VLOOKUP(AvatarMatResID[[#This Row],[AvatarPart]],AvatarPartID[],2,0)</f>
        <v>1</v>
      </c>
      <c r="H797">
        <f>VLOOKUP(AvatarMatResID[[#This Row],[Sex]],SexID[],2,0)</f>
        <v>2</v>
      </c>
      <c r="I797" t="str">
        <f>AvatarMatResID[[#This Row],[Material]]</f>
        <v>Male Black Knight 03 Green</v>
      </c>
    </row>
    <row r="798" spans="1:9" x14ac:dyDescent="0.15">
      <c r="A798" t="s">
        <v>454</v>
      </c>
      <c r="B798" t="s">
        <v>1923</v>
      </c>
      <c r="C798" t="s">
        <v>1173</v>
      </c>
      <c r="D798">
        <v>128</v>
      </c>
      <c r="F798">
        <f>OUTPUTAvatarMatResID[[#This Row],[AvatarPartID]]*10000+OUTPUTAvatarMatResID[[#This Row],[SexID]]*1000+AvatarMatResID[[#This Row],[CountIndex]]</f>
        <v>12128</v>
      </c>
      <c r="G798">
        <f>VLOOKUP(AvatarMatResID[[#This Row],[AvatarPart]],AvatarPartID[],2,0)</f>
        <v>1</v>
      </c>
      <c r="H798">
        <f>VLOOKUP(AvatarMatResID[[#This Row],[Sex]],SexID[],2,0)</f>
        <v>2</v>
      </c>
      <c r="I798" t="str">
        <f>AvatarMatResID[[#This Row],[Material]]</f>
        <v>Male Black Knight 03 Magenta</v>
      </c>
    </row>
    <row r="799" spans="1:9" x14ac:dyDescent="0.15">
      <c r="A799" t="s">
        <v>454</v>
      </c>
      <c r="B799" t="s">
        <v>1923</v>
      </c>
      <c r="C799" t="s">
        <v>1174</v>
      </c>
      <c r="D799">
        <v>129</v>
      </c>
      <c r="F799">
        <f>OUTPUTAvatarMatResID[[#This Row],[AvatarPartID]]*10000+OUTPUTAvatarMatResID[[#This Row],[SexID]]*1000+AvatarMatResID[[#This Row],[CountIndex]]</f>
        <v>12129</v>
      </c>
      <c r="G799">
        <f>VLOOKUP(AvatarMatResID[[#This Row],[AvatarPart]],AvatarPartID[],2,0)</f>
        <v>1</v>
      </c>
      <c r="H799">
        <f>VLOOKUP(AvatarMatResID[[#This Row],[Sex]],SexID[],2,0)</f>
        <v>2</v>
      </c>
      <c r="I799" t="str">
        <f>AvatarMatResID[[#This Row],[Material]]</f>
        <v>Male Black Knight 03 Purple</v>
      </c>
    </row>
    <row r="800" spans="1:9" x14ac:dyDescent="0.15">
      <c r="A800" t="s">
        <v>454</v>
      </c>
      <c r="B800" t="s">
        <v>1923</v>
      </c>
      <c r="C800" t="s">
        <v>1175</v>
      </c>
      <c r="D800">
        <v>130</v>
      </c>
      <c r="F800">
        <f>OUTPUTAvatarMatResID[[#This Row],[AvatarPartID]]*10000+OUTPUTAvatarMatResID[[#This Row],[SexID]]*1000+AvatarMatResID[[#This Row],[CountIndex]]</f>
        <v>12130</v>
      </c>
      <c r="G800">
        <f>VLOOKUP(AvatarMatResID[[#This Row],[AvatarPart]],AvatarPartID[],2,0)</f>
        <v>1</v>
      </c>
      <c r="H800">
        <f>VLOOKUP(AvatarMatResID[[#This Row],[Sex]],SexID[],2,0)</f>
        <v>2</v>
      </c>
      <c r="I800" t="str">
        <f>AvatarMatResID[[#This Row],[Material]]</f>
        <v>Male Black Knight 03 Red</v>
      </c>
    </row>
    <row r="801" spans="1:9" x14ac:dyDescent="0.15">
      <c r="A801" t="s">
        <v>454</v>
      </c>
      <c r="B801" t="s">
        <v>1923</v>
      </c>
      <c r="C801" t="s">
        <v>1176</v>
      </c>
      <c r="D801">
        <v>131</v>
      </c>
      <c r="F801">
        <f>OUTPUTAvatarMatResID[[#This Row],[AvatarPartID]]*10000+OUTPUTAvatarMatResID[[#This Row],[SexID]]*1000+AvatarMatResID[[#This Row],[CountIndex]]</f>
        <v>12131</v>
      </c>
      <c r="G801">
        <f>VLOOKUP(AvatarMatResID[[#This Row],[AvatarPart]],AvatarPartID[],2,0)</f>
        <v>1</v>
      </c>
      <c r="H801">
        <f>VLOOKUP(AvatarMatResID[[#This Row],[Sex]],SexID[],2,0)</f>
        <v>2</v>
      </c>
      <c r="I801" t="str">
        <f>AvatarMatResID[[#This Row],[Material]]</f>
        <v>Male Black Knight 03 White</v>
      </c>
    </row>
    <row r="802" spans="1:9" x14ac:dyDescent="0.15">
      <c r="A802" t="s">
        <v>454</v>
      </c>
      <c r="B802" t="s">
        <v>1923</v>
      </c>
      <c r="C802" t="s">
        <v>1177</v>
      </c>
      <c r="D802">
        <v>132</v>
      </c>
      <c r="F802">
        <f>OUTPUTAvatarMatResID[[#This Row],[AvatarPartID]]*10000+OUTPUTAvatarMatResID[[#This Row],[SexID]]*1000+AvatarMatResID[[#This Row],[CountIndex]]</f>
        <v>12132</v>
      </c>
      <c r="G802">
        <f>VLOOKUP(AvatarMatResID[[#This Row],[AvatarPart]],AvatarPartID[],2,0)</f>
        <v>1</v>
      </c>
      <c r="H802">
        <f>VLOOKUP(AvatarMatResID[[#This Row],[Sex]],SexID[],2,0)</f>
        <v>2</v>
      </c>
      <c r="I802" t="str">
        <f>AvatarMatResID[[#This Row],[Material]]</f>
        <v>Male Black Knight 04 Black</v>
      </c>
    </row>
    <row r="803" spans="1:9" x14ac:dyDescent="0.15">
      <c r="A803" t="s">
        <v>454</v>
      </c>
      <c r="B803" t="s">
        <v>1923</v>
      </c>
      <c r="C803" t="s">
        <v>1178</v>
      </c>
      <c r="D803">
        <v>133</v>
      </c>
      <c r="F803">
        <f>OUTPUTAvatarMatResID[[#This Row],[AvatarPartID]]*10000+OUTPUTAvatarMatResID[[#This Row],[SexID]]*1000+AvatarMatResID[[#This Row],[CountIndex]]</f>
        <v>12133</v>
      </c>
      <c r="G803">
        <f>VLOOKUP(AvatarMatResID[[#This Row],[AvatarPart]],AvatarPartID[],2,0)</f>
        <v>1</v>
      </c>
      <c r="H803">
        <f>VLOOKUP(AvatarMatResID[[#This Row],[Sex]],SexID[],2,0)</f>
        <v>2</v>
      </c>
      <c r="I803" t="str">
        <f>AvatarMatResID[[#This Row],[Material]]</f>
        <v>Male Black Knight 04 Blue</v>
      </c>
    </row>
    <row r="804" spans="1:9" x14ac:dyDescent="0.15">
      <c r="A804" t="s">
        <v>454</v>
      </c>
      <c r="B804" t="s">
        <v>1923</v>
      </c>
      <c r="C804" t="s">
        <v>1179</v>
      </c>
      <c r="D804">
        <v>134</v>
      </c>
      <c r="F804">
        <f>OUTPUTAvatarMatResID[[#This Row],[AvatarPartID]]*10000+OUTPUTAvatarMatResID[[#This Row],[SexID]]*1000+AvatarMatResID[[#This Row],[CountIndex]]</f>
        <v>12134</v>
      </c>
      <c r="G804">
        <f>VLOOKUP(AvatarMatResID[[#This Row],[AvatarPart]],AvatarPartID[],2,0)</f>
        <v>1</v>
      </c>
      <c r="H804">
        <f>VLOOKUP(AvatarMatResID[[#This Row],[Sex]],SexID[],2,0)</f>
        <v>2</v>
      </c>
      <c r="I804" t="str">
        <f>AvatarMatResID[[#This Row],[Material]]</f>
        <v>Male Black Knight 04 Brown</v>
      </c>
    </row>
    <row r="805" spans="1:9" x14ac:dyDescent="0.15">
      <c r="A805" t="s">
        <v>454</v>
      </c>
      <c r="B805" t="s">
        <v>1923</v>
      </c>
      <c r="C805" t="s">
        <v>1180</v>
      </c>
      <c r="D805">
        <v>135</v>
      </c>
      <c r="F805">
        <f>OUTPUTAvatarMatResID[[#This Row],[AvatarPartID]]*10000+OUTPUTAvatarMatResID[[#This Row],[SexID]]*1000+AvatarMatResID[[#This Row],[CountIndex]]</f>
        <v>12135</v>
      </c>
      <c r="G805">
        <f>VLOOKUP(AvatarMatResID[[#This Row],[AvatarPart]],AvatarPartID[],2,0)</f>
        <v>1</v>
      </c>
      <c r="H805">
        <f>VLOOKUP(AvatarMatResID[[#This Row],[Sex]],SexID[],2,0)</f>
        <v>2</v>
      </c>
      <c r="I805" t="str">
        <f>AvatarMatResID[[#This Row],[Material]]</f>
        <v>Male Black Knight 04 Green</v>
      </c>
    </row>
    <row r="806" spans="1:9" x14ac:dyDescent="0.15">
      <c r="A806" t="s">
        <v>454</v>
      </c>
      <c r="B806" t="s">
        <v>1923</v>
      </c>
      <c r="C806" t="s">
        <v>1181</v>
      </c>
      <c r="D806">
        <v>136</v>
      </c>
      <c r="F806">
        <f>OUTPUTAvatarMatResID[[#This Row],[AvatarPartID]]*10000+OUTPUTAvatarMatResID[[#This Row],[SexID]]*1000+AvatarMatResID[[#This Row],[CountIndex]]</f>
        <v>12136</v>
      </c>
      <c r="G806">
        <f>VLOOKUP(AvatarMatResID[[#This Row],[AvatarPart]],AvatarPartID[],2,0)</f>
        <v>1</v>
      </c>
      <c r="H806">
        <f>VLOOKUP(AvatarMatResID[[#This Row],[Sex]],SexID[],2,0)</f>
        <v>2</v>
      </c>
      <c r="I806" t="str">
        <f>AvatarMatResID[[#This Row],[Material]]</f>
        <v>Male Black Knight 04 Magenta</v>
      </c>
    </row>
    <row r="807" spans="1:9" x14ac:dyDescent="0.15">
      <c r="A807" t="s">
        <v>454</v>
      </c>
      <c r="B807" t="s">
        <v>1923</v>
      </c>
      <c r="C807" t="s">
        <v>1182</v>
      </c>
      <c r="D807">
        <v>137</v>
      </c>
      <c r="F807">
        <f>OUTPUTAvatarMatResID[[#This Row],[AvatarPartID]]*10000+OUTPUTAvatarMatResID[[#This Row],[SexID]]*1000+AvatarMatResID[[#This Row],[CountIndex]]</f>
        <v>12137</v>
      </c>
      <c r="G807">
        <f>VLOOKUP(AvatarMatResID[[#This Row],[AvatarPart]],AvatarPartID[],2,0)</f>
        <v>1</v>
      </c>
      <c r="H807">
        <f>VLOOKUP(AvatarMatResID[[#This Row],[Sex]],SexID[],2,0)</f>
        <v>2</v>
      </c>
      <c r="I807" t="str">
        <f>AvatarMatResID[[#This Row],[Material]]</f>
        <v>Male Black Knight 04 Purple</v>
      </c>
    </row>
    <row r="808" spans="1:9" x14ac:dyDescent="0.15">
      <c r="A808" t="s">
        <v>454</v>
      </c>
      <c r="B808" t="s">
        <v>1923</v>
      </c>
      <c r="C808" t="s">
        <v>1183</v>
      </c>
      <c r="D808">
        <v>138</v>
      </c>
      <c r="F808">
        <f>OUTPUTAvatarMatResID[[#This Row],[AvatarPartID]]*10000+OUTPUTAvatarMatResID[[#This Row],[SexID]]*1000+AvatarMatResID[[#This Row],[CountIndex]]</f>
        <v>12138</v>
      </c>
      <c r="G808">
        <f>VLOOKUP(AvatarMatResID[[#This Row],[AvatarPart]],AvatarPartID[],2,0)</f>
        <v>1</v>
      </c>
      <c r="H808">
        <f>VLOOKUP(AvatarMatResID[[#This Row],[Sex]],SexID[],2,0)</f>
        <v>2</v>
      </c>
      <c r="I808" t="str">
        <f>AvatarMatResID[[#This Row],[Material]]</f>
        <v>Male Black Knight 04 Red</v>
      </c>
    </row>
    <row r="809" spans="1:9" x14ac:dyDescent="0.15">
      <c r="A809" t="s">
        <v>454</v>
      </c>
      <c r="B809" t="s">
        <v>1923</v>
      </c>
      <c r="C809" t="s">
        <v>1184</v>
      </c>
      <c r="D809">
        <v>139</v>
      </c>
      <c r="F809">
        <f>OUTPUTAvatarMatResID[[#This Row],[AvatarPartID]]*10000+OUTPUTAvatarMatResID[[#This Row],[SexID]]*1000+AvatarMatResID[[#This Row],[CountIndex]]</f>
        <v>12139</v>
      </c>
      <c r="G809">
        <f>VLOOKUP(AvatarMatResID[[#This Row],[AvatarPart]],AvatarPartID[],2,0)</f>
        <v>1</v>
      </c>
      <c r="H809">
        <f>VLOOKUP(AvatarMatResID[[#This Row],[Sex]],SexID[],2,0)</f>
        <v>2</v>
      </c>
      <c r="I809" t="str">
        <f>AvatarMatResID[[#This Row],[Material]]</f>
        <v>Male Black Knight 04 White</v>
      </c>
    </row>
    <row r="810" spans="1:9" x14ac:dyDescent="0.15">
      <c r="A810" t="s">
        <v>454</v>
      </c>
      <c r="B810" t="s">
        <v>1923</v>
      </c>
      <c r="C810" t="s">
        <v>1185</v>
      </c>
      <c r="D810">
        <v>140</v>
      </c>
      <c r="F810">
        <f>OUTPUTAvatarMatResID[[#This Row],[AvatarPartID]]*10000+OUTPUTAvatarMatResID[[#This Row],[SexID]]*1000+AvatarMatResID[[#This Row],[CountIndex]]</f>
        <v>12140</v>
      </c>
      <c r="G810">
        <f>VLOOKUP(AvatarMatResID[[#This Row],[AvatarPart]],AvatarPartID[],2,0)</f>
        <v>1</v>
      </c>
      <c r="H810">
        <f>VLOOKUP(AvatarMatResID[[#This Row],[Sex]],SexID[],2,0)</f>
        <v>2</v>
      </c>
      <c r="I810" t="str">
        <f>AvatarMatResID[[#This Row],[Material]]</f>
        <v>Male Black Knight 05 Black</v>
      </c>
    </row>
    <row r="811" spans="1:9" x14ac:dyDescent="0.15">
      <c r="A811" t="s">
        <v>454</v>
      </c>
      <c r="B811" t="s">
        <v>1923</v>
      </c>
      <c r="C811" t="s">
        <v>1186</v>
      </c>
      <c r="D811">
        <v>141</v>
      </c>
      <c r="F811">
        <f>OUTPUTAvatarMatResID[[#This Row],[AvatarPartID]]*10000+OUTPUTAvatarMatResID[[#This Row],[SexID]]*1000+AvatarMatResID[[#This Row],[CountIndex]]</f>
        <v>12141</v>
      </c>
      <c r="G811">
        <f>VLOOKUP(AvatarMatResID[[#This Row],[AvatarPart]],AvatarPartID[],2,0)</f>
        <v>1</v>
      </c>
      <c r="H811">
        <f>VLOOKUP(AvatarMatResID[[#This Row],[Sex]],SexID[],2,0)</f>
        <v>2</v>
      </c>
      <c r="I811" t="str">
        <f>AvatarMatResID[[#This Row],[Material]]</f>
        <v>Male Black Knight 05 Blue</v>
      </c>
    </row>
    <row r="812" spans="1:9" x14ac:dyDescent="0.15">
      <c r="A812" t="s">
        <v>454</v>
      </c>
      <c r="B812" t="s">
        <v>1923</v>
      </c>
      <c r="C812" t="s">
        <v>1187</v>
      </c>
      <c r="D812">
        <v>142</v>
      </c>
      <c r="F812">
        <f>OUTPUTAvatarMatResID[[#This Row],[AvatarPartID]]*10000+OUTPUTAvatarMatResID[[#This Row],[SexID]]*1000+AvatarMatResID[[#This Row],[CountIndex]]</f>
        <v>12142</v>
      </c>
      <c r="G812">
        <f>VLOOKUP(AvatarMatResID[[#This Row],[AvatarPart]],AvatarPartID[],2,0)</f>
        <v>1</v>
      </c>
      <c r="H812">
        <f>VLOOKUP(AvatarMatResID[[#This Row],[Sex]],SexID[],2,0)</f>
        <v>2</v>
      </c>
      <c r="I812" t="str">
        <f>AvatarMatResID[[#This Row],[Material]]</f>
        <v>Male Black Knight 05 Brown</v>
      </c>
    </row>
    <row r="813" spans="1:9" x14ac:dyDescent="0.15">
      <c r="A813" t="s">
        <v>454</v>
      </c>
      <c r="B813" t="s">
        <v>1923</v>
      </c>
      <c r="C813" t="s">
        <v>1188</v>
      </c>
      <c r="D813">
        <v>143</v>
      </c>
      <c r="F813">
        <f>OUTPUTAvatarMatResID[[#This Row],[AvatarPartID]]*10000+OUTPUTAvatarMatResID[[#This Row],[SexID]]*1000+AvatarMatResID[[#This Row],[CountIndex]]</f>
        <v>12143</v>
      </c>
      <c r="G813">
        <f>VLOOKUP(AvatarMatResID[[#This Row],[AvatarPart]],AvatarPartID[],2,0)</f>
        <v>1</v>
      </c>
      <c r="H813">
        <f>VLOOKUP(AvatarMatResID[[#This Row],[Sex]],SexID[],2,0)</f>
        <v>2</v>
      </c>
      <c r="I813" t="str">
        <f>AvatarMatResID[[#This Row],[Material]]</f>
        <v>Male Black Knight 05 Green</v>
      </c>
    </row>
    <row r="814" spans="1:9" x14ac:dyDescent="0.15">
      <c r="A814" t="s">
        <v>454</v>
      </c>
      <c r="B814" t="s">
        <v>1923</v>
      </c>
      <c r="C814" t="s">
        <v>1189</v>
      </c>
      <c r="D814">
        <v>144</v>
      </c>
      <c r="F814">
        <f>OUTPUTAvatarMatResID[[#This Row],[AvatarPartID]]*10000+OUTPUTAvatarMatResID[[#This Row],[SexID]]*1000+AvatarMatResID[[#This Row],[CountIndex]]</f>
        <v>12144</v>
      </c>
      <c r="G814">
        <f>VLOOKUP(AvatarMatResID[[#This Row],[AvatarPart]],AvatarPartID[],2,0)</f>
        <v>1</v>
      </c>
      <c r="H814">
        <f>VLOOKUP(AvatarMatResID[[#This Row],[Sex]],SexID[],2,0)</f>
        <v>2</v>
      </c>
      <c r="I814" t="str">
        <f>AvatarMatResID[[#This Row],[Material]]</f>
        <v>Male Black Knight 05 Magenta</v>
      </c>
    </row>
    <row r="815" spans="1:9" x14ac:dyDescent="0.15">
      <c r="A815" t="s">
        <v>454</v>
      </c>
      <c r="B815" t="s">
        <v>1923</v>
      </c>
      <c r="C815" t="s">
        <v>1190</v>
      </c>
      <c r="D815">
        <v>145</v>
      </c>
      <c r="F815">
        <f>OUTPUTAvatarMatResID[[#This Row],[AvatarPartID]]*10000+OUTPUTAvatarMatResID[[#This Row],[SexID]]*1000+AvatarMatResID[[#This Row],[CountIndex]]</f>
        <v>12145</v>
      </c>
      <c r="G815">
        <f>VLOOKUP(AvatarMatResID[[#This Row],[AvatarPart]],AvatarPartID[],2,0)</f>
        <v>1</v>
      </c>
      <c r="H815">
        <f>VLOOKUP(AvatarMatResID[[#This Row],[Sex]],SexID[],2,0)</f>
        <v>2</v>
      </c>
      <c r="I815" t="str">
        <f>AvatarMatResID[[#This Row],[Material]]</f>
        <v>Male Black Knight 05 Purple</v>
      </c>
    </row>
    <row r="816" spans="1:9" x14ac:dyDescent="0.15">
      <c r="A816" t="s">
        <v>454</v>
      </c>
      <c r="B816" t="s">
        <v>1923</v>
      </c>
      <c r="C816" t="s">
        <v>1191</v>
      </c>
      <c r="D816">
        <v>146</v>
      </c>
      <c r="F816">
        <f>OUTPUTAvatarMatResID[[#This Row],[AvatarPartID]]*10000+OUTPUTAvatarMatResID[[#This Row],[SexID]]*1000+AvatarMatResID[[#This Row],[CountIndex]]</f>
        <v>12146</v>
      </c>
      <c r="G816">
        <f>VLOOKUP(AvatarMatResID[[#This Row],[AvatarPart]],AvatarPartID[],2,0)</f>
        <v>1</v>
      </c>
      <c r="H816">
        <f>VLOOKUP(AvatarMatResID[[#This Row],[Sex]],SexID[],2,0)</f>
        <v>2</v>
      </c>
      <c r="I816" t="str">
        <f>AvatarMatResID[[#This Row],[Material]]</f>
        <v>Male Black Knight 05 Red</v>
      </c>
    </row>
    <row r="817" spans="1:9" x14ac:dyDescent="0.15">
      <c r="A817" t="s">
        <v>454</v>
      </c>
      <c r="B817" t="s">
        <v>1923</v>
      </c>
      <c r="C817" t="s">
        <v>1192</v>
      </c>
      <c r="D817">
        <v>147</v>
      </c>
      <c r="F817">
        <f>OUTPUTAvatarMatResID[[#This Row],[AvatarPartID]]*10000+OUTPUTAvatarMatResID[[#This Row],[SexID]]*1000+AvatarMatResID[[#This Row],[CountIndex]]</f>
        <v>12147</v>
      </c>
      <c r="G817">
        <f>VLOOKUP(AvatarMatResID[[#This Row],[AvatarPart]],AvatarPartID[],2,0)</f>
        <v>1</v>
      </c>
      <c r="H817">
        <f>VLOOKUP(AvatarMatResID[[#This Row],[Sex]],SexID[],2,0)</f>
        <v>2</v>
      </c>
      <c r="I817" t="str">
        <f>AvatarMatResID[[#This Row],[Material]]</f>
        <v>Male Black Knight 05 White</v>
      </c>
    </row>
    <row r="818" spans="1:9" x14ac:dyDescent="0.15">
      <c r="A818" t="s">
        <v>454</v>
      </c>
      <c r="B818" t="s">
        <v>1923</v>
      </c>
      <c r="C818" t="s">
        <v>1193</v>
      </c>
      <c r="D818">
        <v>148</v>
      </c>
      <c r="F818">
        <f>OUTPUTAvatarMatResID[[#This Row],[AvatarPartID]]*10000+OUTPUTAvatarMatResID[[#This Row],[SexID]]*1000+AvatarMatResID[[#This Row],[CountIndex]]</f>
        <v>12148</v>
      </c>
      <c r="G818">
        <f>VLOOKUP(AvatarMatResID[[#This Row],[AvatarPart]],AvatarPartID[],2,0)</f>
        <v>1</v>
      </c>
      <c r="H818">
        <f>VLOOKUP(AvatarMatResID[[#This Row],[Sex]],SexID[],2,0)</f>
        <v>2</v>
      </c>
      <c r="I818" t="str">
        <f>AvatarMatResID[[#This Row],[Material]]</f>
        <v>Male Black Knight 06 Black</v>
      </c>
    </row>
    <row r="819" spans="1:9" x14ac:dyDescent="0.15">
      <c r="A819" t="s">
        <v>454</v>
      </c>
      <c r="B819" t="s">
        <v>1923</v>
      </c>
      <c r="C819" t="s">
        <v>1194</v>
      </c>
      <c r="D819">
        <v>149</v>
      </c>
      <c r="F819">
        <f>OUTPUTAvatarMatResID[[#This Row],[AvatarPartID]]*10000+OUTPUTAvatarMatResID[[#This Row],[SexID]]*1000+AvatarMatResID[[#This Row],[CountIndex]]</f>
        <v>12149</v>
      </c>
      <c r="G819">
        <f>VLOOKUP(AvatarMatResID[[#This Row],[AvatarPart]],AvatarPartID[],2,0)</f>
        <v>1</v>
      </c>
      <c r="H819">
        <f>VLOOKUP(AvatarMatResID[[#This Row],[Sex]],SexID[],2,0)</f>
        <v>2</v>
      </c>
      <c r="I819" t="str">
        <f>AvatarMatResID[[#This Row],[Material]]</f>
        <v>Male Black Knight 06 Blue</v>
      </c>
    </row>
    <row r="820" spans="1:9" x14ac:dyDescent="0.15">
      <c r="A820" t="s">
        <v>454</v>
      </c>
      <c r="B820" t="s">
        <v>1923</v>
      </c>
      <c r="C820" t="s">
        <v>1195</v>
      </c>
      <c r="D820">
        <v>150</v>
      </c>
      <c r="F820">
        <f>OUTPUTAvatarMatResID[[#This Row],[AvatarPartID]]*10000+OUTPUTAvatarMatResID[[#This Row],[SexID]]*1000+AvatarMatResID[[#This Row],[CountIndex]]</f>
        <v>12150</v>
      </c>
      <c r="G820">
        <f>VLOOKUP(AvatarMatResID[[#This Row],[AvatarPart]],AvatarPartID[],2,0)</f>
        <v>1</v>
      </c>
      <c r="H820">
        <f>VLOOKUP(AvatarMatResID[[#This Row],[Sex]],SexID[],2,0)</f>
        <v>2</v>
      </c>
      <c r="I820" t="str">
        <f>AvatarMatResID[[#This Row],[Material]]</f>
        <v>Male Black Knight 06 Green</v>
      </c>
    </row>
    <row r="821" spans="1:9" x14ac:dyDescent="0.15">
      <c r="A821" t="s">
        <v>454</v>
      </c>
      <c r="B821" t="s">
        <v>1923</v>
      </c>
      <c r="C821" t="s">
        <v>1196</v>
      </c>
      <c r="D821">
        <v>151</v>
      </c>
      <c r="F821">
        <f>OUTPUTAvatarMatResID[[#This Row],[AvatarPartID]]*10000+OUTPUTAvatarMatResID[[#This Row],[SexID]]*1000+AvatarMatResID[[#This Row],[CountIndex]]</f>
        <v>12151</v>
      </c>
      <c r="G821">
        <f>VLOOKUP(AvatarMatResID[[#This Row],[AvatarPart]],AvatarPartID[],2,0)</f>
        <v>1</v>
      </c>
      <c r="H821">
        <f>VLOOKUP(AvatarMatResID[[#This Row],[Sex]],SexID[],2,0)</f>
        <v>2</v>
      </c>
      <c r="I821" t="str">
        <f>AvatarMatResID[[#This Row],[Material]]</f>
        <v>Male Black Knight 06 Magenta</v>
      </c>
    </row>
    <row r="822" spans="1:9" x14ac:dyDescent="0.15">
      <c r="A822" t="s">
        <v>454</v>
      </c>
      <c r="B822" t="s">
        <v>1923</v>
      </c>
      <c r="C822" t="s">
        <v>1197</v>
      </c>
      <c r="D822">
        <v>152</v>
      </c>
      <c r="F822">
        <f>OUTPUTAvatarMatResID[[#This Row],[AvatarPartID]]*10000+OUTPUTAvatarMatResID[[#This Row],[SexID]]*1000+AvatarMatResID[[#This Row],[CountIndex]]</f>
        <v>12152</v>
      </c>
      <c r="G822">
        <f>VLOOKUP(AvatarMatResID[[#This Row],[AvatarPart]],AvatarPartID[],2,0)</f>
        <v>1</v>
      </c>
      <c r="H822">
        <f>VLOOKUP(AvatarMatResID[[#This Row],[Sex]],SexID[],2,0)</f>
        <v>2</v>
      </c>
      <c r="I822" t="str">
        <f>AvatarMatResID[[#This Row],[Material]]</f>
        <v>Male Black Knight 06 Purple</v>
      </c>
    </row>
    <row r="823" spans="1:9" x14ac:dyDescent="0.15">
      <c r="A823" t="s">
        <v>454</v>
      </c>
      <c r="B823" t="s">
        <v>1923</v>
      </c>
      <c r="C823" t="s">
        <v>1198</v>
      </c>
      <c r="D823">
        <v>153</v>
      </c>
      <c r="F823">
        <f>OUTPUTAvatarMatResID[[#This Row],[AvatarPartID]]*10000+OUTPUTAvatarMatResID[[#This Row],[SexID]]*1000+AvatarMatResID[[#This Row],[CountIndex]]</f>
        <v>12153</v>
      </c>
      <c r="G823">
        <f>VLOOKUP(AvatarMatResID[[#This Row],[AvatarPart]],AvatarPartID[],2,0)</f>
        <v>1</v>
      </c>
      <c r="H823">
        <f>VLOOKUP(AvatarMatResID[[#This Row],[Sex]],SexID[],2,0)</f>
        <v>2</v>
      </c>
      <c r="I823" t="str">
        <f>AvatarMatResID[[#This Row],[Material]]</f>
        <v>Male Black Knight 06 Red</v>
      </c>
    </row>
    <row r="824" spans="1:9" x14ac:dyDescent="0.15">
      <c r="A824" t="s">
        <v>454</v>
      </c>
      <c r="B824" t="s">
        <v>1923</v>
      </c>
      <c r="C824" t="s">
        <v>1199</v>
      </c>
      <c r="D824">
        <v>154</v>
      </c>
      <c r="F824">
        <f>OUTPUTAvatarMatResID[[#This Row],[AvatarPartID]]*10000+OUTPUTAvatarMatResID[[#This Row],[SexID]]*1000+AvatarMatResID[[#This Row],[CountIndex]]</f>
        <v>12154</v>
      </c>
      <c r="G824">
        <f>VLOOKUP(AvatarMatResID[[#This Row],[AvatarPart]],AvatarPartID[],2,0)</f>
        <v>1</v>
      </c>
      <c r="H824">
        <f>VLOOKUP(AvatarMatResID[[#This Row],[Sex]],SexID[],2,0)</f>
        <v>2</v>
      </c>
      <c r="I824" t="str">
        <f>AvatarMatResID[[#This Row],[Material]]</f>
        <v>Male Black Knight 06 White</v>
      </c>
    </row>
    <row r="825" spans="1:9" x14ac:dyDescent="0.15">
      <c r="A825" t="s">
        <v>454</v>
      </c>
      <c r="B825" t="s">
        <v>1923</v>
      </c>
      <c r="C825" t="s">
        <v>1200</v>
      </c>
      <c r="D825">
        <v>155</v>
      </c>
      <c r="F825">
        <f>OUTPUTAvatarMatResID[[#This Row],[AvatarPartID]]*10000+OUTPUTAvatarMatResID[[#This Row],[SexID]]*1000+AvatarMatResID[[#This Row],[CountIndex]]</f>
        <v>12155</v>
      </c>
      <c r="G825">
        <f>VLOOKUP(AvatarMatResID[[#This Row],[AvatarPart]],AvatarPartID[],2,0)</f>
        <v>1</v>
      </c>
      <c r="H825">
        <f>VLOOKUP(AvatarMatResID[[#This Row],[Sex]],SexID[],2,0)</f>
        <v>2</v>
      </c>
      <c r="I825" t="str">
        <f>AvatarMatResID[[#This Row],[Material]]</f>
        <v>Male Black Knight 06 Yellow</v>
      </c>
    </row>
    <row r="826" spans="1:9" x14ac:dyDescent="0.15">
      <c r="A826" t="s">
        <v>454</v>
      </c>
      <c r="B826" t="s">
        <v>1923</v>
      </c>
      <c r="C826" t="s">
        <v>1201</v>
      </c>
      <c r="D826">
        <v>156</v>
      </c>
      <c r="F826">
        <f>OUTPUTAvatarMatResID[[#This Row],[AvatarPartID]]*10000+OUTPUTAvatarMatResID[[#This Row],[SexID]]*1000+AvatarMatResID[[#This Row],[CountIndex]]</f>
        <v>12156</v>
      </c>
      <c r="G826">
        <f>VLOOKUP(AvatarMatResID[[#This Row],[AvatarPart]],AvatarPartID[],2,0)</f>
        <v>1</v>
      </c>
      <c r="H826">
        <f>VLOOKUP(AvatarMatResID[[#This Row],[Sex]],SexID[],2,0)</f>
        <v>2</v>
      </c>
      <c r="I826" t="str">
        <f>AvatarMatResID[[#This Row],[Material]]</f>
        <v>Male Black Knight 07 Black</v>
      </c>
    </row>
    <row r="827" spans="1:9" x14ac:dyDescent="0.15">
      <c r="A827" t="s">
        <v>454</v>
      </c>
      <c r="B827" t="s">
        <v>1923</v>
      </c>
      <c r="C827" t="s">
        <v>1202</v>
      </c>
      <c r="D827">
        <v>157</v>
      </c>
      <c r="F827">
        <f>OUTPUTAvatarMatResID[[#This Row],[AvatarPartID]]*10000+OUTPUTAvatarMatResID[[#This Row],[SexID]]*1000+AvatarMatResID[[#This Row],[CountIndex]]</f>
        <v>12157</v>
      </c>
      <c r="G827">
        <f>VLOOKUP(AvatarMatResID[[#This Row],[AvatarPart]],AvatarPartID[],2,0)</f>
        <v>1</v>
      </c>
      <c r="H827">
        <f>VLOOKUP(AvatarMatResID[[#This Row],[Sex]],SexID[],2,0)</f>
        <v>2</v>
      </c>
      <c r="I827" t="str">
        <f>AvatarMatResID[[#This Row],[Material]]</f>
        <v>Male Black Knight 07 Blue</v>
      </c>
    </row>
    <row r="828" spans="1:9" x14ac:dyDescent="0.15">
      <c r="A828" t="s">
        <v>454</v>
      </c>
      <c r="B828" t="s">
        <v>1923</v>
      </c>
      <c r="C828" t="s">
        <v>1203</v>
      </c>
      <c r="D828">
        <v>158</v>
      </c>
      <c r="F828">
        <f>OUTPUTAvatarMatResID[[#This Row],[AvatarPartID]]*10000+OUTPUTAvatarMatResID[[#This Row],[SexID]]*1000+AvatarMatResID[[#This Row],[CountIndex]]</f>
        <v>12158</v>
      </c>
      <c r="G828">
        <f>VLOOKUP(AvatarMatResID[[#This Row],[AvatarPart]],AvatarPartID[],2,0)</f>
        <v>1</v>
      </c>
      <c r="H828">
        <f>VLOOKUP(AvatarMatResID[[#This Row],[Sex]],SexID[],2,0)</f>
        <v>2</v>
      </c>
      <c r="I828" t="str">
        <f>AvatarMatResID[[#This Row],[Material]]</f>
        <v>Male Black Knight 07 Green</v>
      </c>
    </row>
    <row r="829" spans="1:9" x14ac:dyDescent="0.15">
      <c r="A829" t="s">
        <v>454</v>
      </c>
      <c r="B829" t="s">
        <v>1923</v>
      </c>
      <c r="C829" t="s">
        <v>1204</v>
      </c>
      <c r="D829">
        <v>159</v>
      </c>
      <c r="F829">
        <f>OUTPUTAvatarMatResID[[#This Row],[AvatarPartID]]*10000+OUTPUTAvatarMatResID[[#This Row],[SexID]]*1000+AvatarMatResID[[#This Row],[CountIndex]]</f>
        <v>12159</v>
      </c>
      <c r="G829">
        <f>VLOOKUP(AvatarMatResID[[#This Row],[AvatarPart]],AvatarPartID[],2,0)</f>
        <v>1</v>
      </c>
      <c r="H829">
        <f>VLOOKUP(AvatarMatResID[[#This Row],[Sex]],SexID[],2,0)</f>
        <v>2</v>
      </c>
      <c r="I829" t="str">
        <f>AvatarMatResID[[#This Row],[Material]]</f>
        <v>Male Black Knight 07 Magenta</v>
      </c>
    </row>
    <row r="830" spans="1:9" x14ac:dyDescent="0.15">
      <c r="A830" t="s">
        <v>454</v>
      </c>
      <c r="B830" t="s">
        <v>1923</v>
      </c>
      <c r="C830" t="s">
        <v>1205</v>
      </c>
      <c r="D830">
        <v>160</v>
      </c>
      <c r="F830">
        <f>OUTPUTAvatarMatResID[[#This Row],[AvatarPartID]]*10000+OUTPUTAvatarMatResID[[#This Row],[SexID]]*1000+AvatarMatResID[[#This Row],[CountIndex]]</f>
        <v>12160</v>
      </c>
      <c r="G830">
        <f>VLOOKUP(AvatarMatResID[[#This Row],[AvatarPart]],AvatarPartID[],2,0)</f>
        <v>1</v>
      </c>
      <c r="H830">
        <f>VLOOKUP(AvatarMatResID[[#This Row],[Sex]],SexID[],2,0)</f>
        <v>2</v>
      </c>
      <c r="I830" t="str">
        <f>AvatarMatResID[[#This Row],[Material]]</f>
        <v>Male Black Knight 07 Purple</v>
      </c>
    </row>
    <row r="831" spans="1:9" x14ac:dyDescent="0.15">
      <c r="A831" t="s">
        <v>454</v>
      </c>
      <c r="B831" t="s">
        <v>1923</v>
      </c>
      <c r="C831" t="s">
        <v>1206</v>
      </c>
      <c r="D831">
        <v>161</v>
      </c>
      <c r="F831">
        <f>OUTPUTAvatarMatResID[[#This Row],[AvatarPartID]]*10000+OUTPUTAvatarMatResID[[#This Row],[SexID]]*1000+AvatarMatResID[[#This Row],[CountIndex]]</f>
        <v>12161</v>
      </c>
      <c r="G831">
        <f>VLOOKUP(AvatarMatResID[[#This Row],[AvatarPart]],AvatarPartID[],2,0)</f>
        <v>1</v>
      </c>
      <c r="H831">
        <f>VLOOKUP(AvatarMatResID[[#This Row],[Sex]],SexID[],2,0)</f>
        <v>2</v>
      </c>
      <c r="I831" t="str">
        <f>AvatarMatResID[[#This Row],[Material]]</f>
        <v>Male Black Knight 07 Red</v>
      </c>
    </row>
    <row r="832" spans="1:9" x14ac:dyDescent="0.15">
      <c r="A832" t="s">
        <v>454</v>
      </c>
      <c r="B832" t="s">
        <v>1923</v>
      </c>
      <c r="C832" t="s">
        <v>1207</v>
      </c>
      <c r="D832">
        <v>162</v>
      </c>
      <c r="F832">
        <f>OUTPUTAvatarMatResID[[#This Row],[AvatarPartID]]*10000+OUTPUTAvatarMatResID[[#This Row],[SexID]]*1000+AvatarMatResID[[#This Row],[CountIndex]]</f>
        <v>12162</v>
      </c>
      <c r="G832">
        <f>VLOOKUP(AvatarMatResID[[#This Row],[AvatarPart]],AvatarPartID[],2,0)</f>
        <v>1</v>
      </c>
      <c r="H832">
        <f>VLOOKUP(AvatarMatResID[[#This Row],[Sex]],SexID[],2,0)</f>
        <v>2</v>
      </c>
      <c r="I832" t="str">
        <f>AvatarMatResID[[#This Row],[Material]]</f>
        <v>Male Black Knight 07 White</v>
      </c>
    </row>
    <row r="833" spans="1:9" x14ac:dyDescent="0.15">
      <c r="A833" t="s">
        <v>454</v>
      </c>
      <c r="B833" t="s">
        <v>1923</v>
      </c>
      <c r="C833" t="s">
        <v>1208</v>
      </c>
      <c r="D833">
        <v>163</v>
      </c>
      <c r="F833">
        <f>OUTPUTAvatarMatResID[[#This Row],[AvatarPartID]]*10000+OUTPUTAvatarMatResID[[#This Row],[SexID]]*1000+AvatarMatResID[[#This Row],[CountIndex]]</f>
        <v>12163</v>
      </c>
      <c r="G833">
        <f>VLOOKUP(AvatarMatResID[[#This Row],[AvatarPart]],AvatarPartID[],2,0)</f>
        <v>1</v>
      </c>
      <c r="H833">
        <f>VLOOKUP(AvatarMatResID[[#This Row],[Sex]],SexID[],2,0)</f>
        <v>2</v>
      </c>
      <c r="I833" t="str">
        <f>AvatarMatResID[[#This Row],[Material]]</f>
        <v>Male Black Knight 07 Yellow</v>
      </c>
    </row>
    <row r="834" spans="1:9" x14ac:dyDescent="0.15">
      <c r="A834" t="s">
        <v>454</v>
      </c>
      <c r="B834" t="s">
        <v>1923</v>
      </c>
      <c r="C834" t="s">
        <v>1209</v>
      </c>
      <c r="D834">
        <v>164</v>
      </c>
      <c r="F834">
        <f>OUTPUTAvatarMatResID[[#This Row],[AvatarPartID]]*10000+OUTPUTAvatarMatResID[[#This Row],[SexID]]*1000+AvatarMatResID[[#This Row],[CountIndex]]</f>
        <v>12164</v>
      </c>
      <c r="G834">
        <f>VLOOKUP(AvatarMatResID[[#This Row],[AvatarPart]],AvatarPartID[],2,0)</f>
        <v>1</v>
      </c>
      <c r="H834">
        <f>VLOOKUP(AvatarMatResID[[#This Row],[Sex]],SexID[],2,0)</f>
        <v>2</v>
      </c>
      <c r="I834" t="str">
        <f>AvatarMatResID[[#This Row],[Material]]</f>
        <v>Male Black Knight 08 Black</v>
      </c>
    </row>
    <row r="835" spans="1:9" x14ac:dyDescent="0.15">
      <c r="A835" t="s">
        <v>454</v>
      </c>
      <c r="B835" t="s">
        <v>1923</v>
      </c>
      <c r="C835" t="s">
        <v>1210</v>
      </c>
      <c r="D835">
        <v>165</v>
      </c>
      <c r="F835">
        <f>OUTPUTAvatarMatResID[[#This Row],[AvatarPartID]]*10000+OUTPUTAvatarMatResID[[#This Row],[SexID]]*1000+AvatarMatResID[[#This Row],[CountIndex]]</f>
        <v>12165</v>
      </c>
      <c r="G835">
        <f>VLOOKUP(AvatarMatResID[[#This Row],[AvatarPart]],AvatarPartID[],2,0)</f>
        <v>1</v>
      </c>
      <c r="H835">
        <f>VLOOKUP(AvatarMatResID[[#This Row],[Sex]],SexID[],2,0)</f>
        <v>2</v>
      </c>
      <c r="I835" t="str">
        <f>AvatarMatResID[[#This Row],[Material]]</f>
        <v>Male Black Knight 08 Blue</v>
      </c>
    </row>
    <row r="836" spans="1:9" x14ac:dyDescent="0.15">
      <c r="A836" t="s">
        <v>454</v>
      </c>
      <c r="B836" t="s">
        <v>1923</v>
      </c>
      <c r="C836" t="s">
        <v>1211</v>
      </c>
      <c r="D836">
        <v>166</v>
      </c>
      <c r="F836">
        <f>OUTPUTAvatarMatResID[[#This Row],[AvatarPartID]]*10000+OUTPUTAvatarMatResID[[#This Row],[SexID]]*1000+AvatarMatResID[[#This Row],[CountIndex]]</f>
        <v>12166</v>
      </c>
      <c r="G836">
        <f>VLOOKUP(AvatarMatResID[[#This Row],[AvatarPart]],AvatarPartID[],2,0)</f>
        <v>1</v>
      </c>
      <c r="H836">
        <f>VLOOKUP(AvatarMatResID[[#This Row],[Sex]],SexID[],2,0)</f>
        <v>2</v>
      </c>
      <c r="I836" t="str">
        <f>AvatarMatResID[[#This Row],[Material]]</f>
        <v>Male Black Knight 08 Green</v>
      </c>
    </row>
    <row r="837" spans="1:9" x14ac:dyDescent="0.15">
      <c r="A837" t="s">
        <v>454</v>
      </c>
      <c r="B837" t="s">
        <v>1923</v>
      </c>
      <c r="C837" t="s">
        <v>1212</v>
      </c>
      <c r="D837">
        <v>167</v>
      </c>
      <c r="F837">
        <f>OUTPUTAvatarMatResID[[#This Row],[AvatarPartID]]*10000+OUTPUTAvatarMatResID[[#This Row],[SexID]]*1000+AvatarMatResID[[#This Row],[CountIndex]]</f>
        <v>12167</v>
      </c>
      <c r="G837">
        <f>VLOOKUP(AvatarMatResID[[#This Row],[AvatarPart]],AvatarPartID[],2,0)</f>
        <v>1</v>
      </c>
      <c r="H837">
        <f>VLOOKUP(AvatarMatResID[[#This Row],[Sex]],SexID[],2,0)</f>
        <v>2</v>
      </c>
      <c r="I837" t="str">
        <f>AvatarMatResID[[#This Row],[Material]]</f>
        <v>Male Black Knight 08 Magenta</v>
      </c>
    </row>
    <row r="838" spans="1:9" x14ac:dyDescent="0.15">
      <c r="A838" t="s">
        <v>454</v>
      </c>
      <c r="B838" t="s">
        <v>1923</v>
      </c>
      <c r="C838" t="s">
        <v>1213</v>
      </c>
      <c r="D838">
        <v>168</v>
      </c>
      <c r="F838">
        <f>OUTPUTAvatarMatResID[[#This Row],[AvatarPartID]]*10000+OUTPUTAvatarMatResID[[#This Row],[SexID]]*1000+AvatarMatResID[[#This Row],[CountIndex]]</f>
        <v>12168</v>
      </c>
      <c r="G838">
        <f>VLOOKUP(AvatarMatResID[[#This Row],[AvatarPart]],AvatarPartID[],2,0)</f>
        <v>1</v>
      </c>
      <c r="H838">
        <f>VLOOKUP(AvatarMatResID[[#This Row],[Sex]],SexID[],2,0)</f>
        <v>2</v>
      </c>
      <c r="I838" t="str">
        <f>AvatarMatResID[[#This Row],[Material]]</f>
        <v>Male Black Knight 08 Purple</v>
      </c>
    </row>
    <row r="839" spans="1:9" x14ac:dyDescent="0.15">
      <c r="A839" t="s">
        <v>454</v>
      </c>
      <c r="B839" t="s">
        <v>1923</v>
      </c>
      <c r="C839" t="s">
        <v>1214</v>
      </c>
      <c r="D839">
        <v>169</v>
      </c>
      <c r="F839">
        <f>OUTPUTAvatarMatResID[[#This Row],[AvatarPartID]]*10000+OUTPUTAvatarMatResID[[#This Row],[SexID]]*1000+AvatarMatResID[[#This Row],[CountIndex]]</f>
        <v>12169</v>
      </c>
      <c r="G839">
        <f>VLOOKUP(AvatarMatResID[[#This Row],[AvatarPart]],AvatarPartID[],2,0)</f>
        <v>1</v>
      </c>
      <c r="H839">
        <f>VLOOKUP(AvatarMatResID[[#This Row],[Sex]],SexID[],2,0)</f>
        <v>2</v>
      </c>
      <c r="I839" t="str">
        <f>AvatarMatResID[[#This Row],[Material]]</f>
        <v>Male Black Knight 08 Red</v>
      </c>
    </row>
    <row r="840" spans="1:9" x14ac:dyDescent="0.15">
      <c r="A840" t="s">
        <v>454</v>
      </c>
      <c r="B840" t="s">
        <v>1923</v>
      </c>
      <c r="C840" t="s">
        <v>1215</v>
      </c>
      <c r="D840">
        <v>170</v>
      </c>
      <c r="F840">
        <f>OUTPUTAvatarMatResID[[#This Row],[AvatarPartID]]*10000+OUTPUTAvatarMatResID[[#This Row],[SexID]]*1000+AvatarMatResID[[#This Row],[CountIndex]]</f>
        <v>12170</v>
      </c>
      <c r="G840">
        <f>VLOOKUP(AvatarMatResID[[#This Row],[AvatarPart]],AvatarPartID[],2,0)</f>
        <v>1</v>
      </c>
      <c r="H840">
        <f>VLOOKUP(AvatarMatResID[[#This Row],[Sex]],SexID[],2,0)</f>
        <v>2</v>
      </c>
      <c r="I840" t="str">
        <f>AvatarMatResID[[#This Row],[Material]]</f>
        <v>Male Black Knight 08 White</v>
      </c>
    </row>
    <row r="841" spans="1:9" x14ac:dyDescent="0.15">
      <c r="A841" t="s">
        <v>454</v>
      </c>
      <c r="B841" t="s">
        <v>1923</v>
      </c>
      <c r="C841" t="s">
        <v>1216</v>
      </c>
      <c r="D841">
        <v>171</v>
      </c>
      <c r="F841">
        <f>OUTPUTAvatarMatResID[[#This Row],[AvatarPartID]]*10000+OUTPUTAvatarMatResID[[#This Row],[SexID]]*1000+AvatarMatResID[[#This Row],[CountIndex]]</f>
        <v>12171</v>
      </c>
      <c r="G841">
        <f>VLOOKUP(AvatarMatResID[[#This Row],[AvatarPart]],AvatarPartID[],2,0)</f>
        <v>1</v>
      </c>
      <c r="H841">
        <f>VLOOKUP(AvatarMatResID[[#This Row],[Sex]],SexID[],2,0)</f>
        <v>2</v>
      </c>
      <c r="I841" t="str">
        <f>AvatarMatResID[[#This Row],[Material]]</f>
        <v>Male Black Knight 08 Yellow</v>
      </c>
    </row>
    <row r="842" spans="1:9" x14ac:dyDescent="0.15">
      <c r="A842" t="s">
        <v>454</v>
      </c>
      <c r="B842" t="s">
        <v>1923</v>
      </c>
      <c r="C842" t="s">
        <v>1786</v>
      </c>
      <c r="D842">
        <v>172</v>
      </c>
      <c r="F842">
        <f>OUTPUTAvatarMatResID[[#This Row],[AvatarPartID]]*10000+OUTPUTAvatarMatResID[[#This Row],[SexID]]*1000+AvatarMatResID[[#This Row],[CountIndex]]</f>
        <v>12172</v>
      </c>
      <c r="G842">
        <f>VLOOKUP(AvatarMatResID[[#This Row],[AvatarPart]],AvatarPartID[],2,0)</f>
        <v>1</v>
      </c>
      <c r="H842">
        <f>VLOOKUP(AvatarMatResID[[#This Row],[Sex]],SexID[],2,0)</f>
        <v>2</v>
      </c>
      <c r="I842" t="str">
        <f>AvatarMatResID[[#This Row],[Material]]</f>
        <v>Male Black L Robe 01 Blue</v>
      </c>
    </row>
    <row r="843" spans="1:9" x14ac:dyDescent="0.15">
      <c r="A843" t="s">
        <v>454</v>
      </c>
      <c r="B843" t="s">
        <v>1923</v>
      </c>
      <c r="C843" t="s">
        <v>1787</v>
      </c>
      <c r="D843">
        <v>173</v>
      </c>
      <c r="F843">
        <f>OUTPUTAvatarMatResID[[#This Row],[AvatarPartID]]*10000+OUTPUTAvatarMatResID[[#This Row],[SexID]]*1000+AvatarMatResID[[#This Row],[CountIndex]]</f>
        <v>12173</v>
      </c>
      <c r="G843">
        <f>VLOOKUP(AvatarMatResID[[#This Row],[AvatarPart]],AvatarPartID[],2,0)</f>
        <v>1</v>
      </c>
      <c r="H843">
        <f>VLOOKUP(AvatarMatResID[[#This Row],[Sex]],SexID[],2,0)</f>
        <v>2</v>
      </c>
      <c r="I843" t="str">
        <f>AvatarMatResID[[#This Row],[Material]]</f>
        <v>Male Black L Robe 01 Brown</v>
      </c>
    </row>
    <row r="844" spans="1:9" x14ac:dyDescent="0.15">
      <c r="A844" t="s">
        <v>454</v>
      </c>
      <c r="B844" t="s">
        <v>1923</v>
      </c>
      <c r="C844" t="s">
        <v>1788</v>
      </c>
      <c r="D844">
        <v>174</v>
      </c>
      <c r="F844">
        <f>OUTPUTAvatarMatResID[[#This Row],[AvatarPartID]]*10000+OUTPUTAvatarMatResID[[#This Row],[SexID]]*1000+AvatarMatResID[[#This Row],[CountIndex]]</f>
        <v>12174</v>
      </c>
      <c r="G844">
        <f>VLOOKUP(AvatarMatResID[[#This Row],[AvatarPart]],AvatarPartID[],2,0)</f>
        <v>1</v>
      </c>
      <c r="H844">
        <f>VLOOKUP(AvatarMatResID[[#This Row],[Sex]],SexID[],2,0)</f>
        <v>2</v>
      </c>
      <c r="I844" t="str">
        <f>AvatarMatResID[[#This Row],[Material]]</f>
        <v>Male Black L Robe 01 Green</v>
      </c>
    </row>
    <row r="845" spans="1:9" x14ac:dyDescent="0.15">
      <c r="A845" t="s">
        <v>454</v>
      </c>
      <c r="B845" t="s">
        <v>1923</v>
      </c>
      <c r="C845" t="s">
        <v>1789</v>
      </c>
      <c r="D845">
        <v>175</v>
      </c>
      <c r="F845">
        <f>OUTPUTAvatarMatResID[[#This Row],[AvatarPartID]]*10000+OUTPUTAvatarMatResID[[#This Row],[SexID]]*1000+AvatarMatResID[[#This Row],[CountIndex]]</f>
        <v>12175</v>
      </c>
      <c r="G845">
        <f>VLOOKUP(AvatarMatResID[[#This Row],[AvatarPart]],AvatarPartID[],2,0)</f>
        <v>1</v>
      </c>
      <c r="H845">
        <f>VLOOKUP(AvatarMatResID[[#This Row],[Sex]],SexID[],2,0)</f>
        <v>2</v>
      </c>
      <c r="I845" t="str">
        <f>AvatarMatResID[[#This Row],[Material]]</f>
        <v>Male Black L Robe 01 Purple</v>
      </c>
    </row>
    <row r="846" spans="1:9" x14ac:dyDescent="0.15">
      <c r="A846" t="s">
        <v>454</v>
      </c>
      <c r="B846" t="s">
        <v>1923</v>
      </c>
      <c r="C846" t="s">
        <v>1790</v>
      </c>
      <c r="D846">
        <v>176</v>
      </c>
      <c r="F846">
        <f>OUTPUTAvatarMatResID[[#This Row],[AvatarPartID]]*10000+OUTPUTAvatarMatResID[[#This Row],[SexID]]*1000+AvatarMatResID[[#This Row],[CountIndex]]</f>
        <v>12176</v>
      </c>
      <c r="G846">
        <f>VLOOKUP(AvatarMatResID[[#This Row],[AvatarPart]],AvatarPartID[],2,0)</f>
        <v>1</v>
      </c>
      <c r="H846">
        <f>VLOOKUP(AvatarMatResID[[#This Row],[Sex]],SexID[],2,0)</f>
        <v>2</v>
      </c>
      <c r="I846" t="str">
        <f>AvatarMatResID[[#This Row],[Material]]</f>
        <v>Male Black L Robe 01 Red</v>
      </c>
    </row>
    <row r="847" spans="1:9" x14ac:dyDescent="0.15">
      <c r="A847" t="s">
        <v>454</v>
      </c>
      <c r="B847" t="s">
        <v>1923</v>
      </c>
      <c r="C847" t="s">
        <v>1791</v>
      </c>
      <c r="D847">
        <v>177</v>
      </c>
      <c r="F847">
        <f>OUTPUTAvatarMatResID[[#This Row],[AvatarPartID]]*10000+OUTPUTAvatarMatResID[[#This Row],[SexID]]*1000+AvatarMatResID[[#This Row],[CountIndex]]</f>
        <v>12177</v>
      </c>
      <c r="G847">
        <f>VLOOKUP(AvatarMatResID[[#This Row],[AvatarPart]],AvatarPartID[],2,0)</f>
        <v>1</v>
      </c>
      <c r="H847">
        <f>VLOOKUP(AvatarMatResID[[#This Row],[Sex]],SexID[],2,0)</f>
        <v>2</v>
      </c>
      <c r="I847" t="str">
        <f>AvatarMatResID[[#This Row],[Material]]</f>
        <v>Male Black L Robe 02 Blue</v>
      </c>
    </row>
    <row r="848" spans="1:9" x14ac:dyDescent="0.15">
      <c r="A848" t="s">
        <v>454</v>
      </c>
      <c r="B848" t="s">
        <v>1923</v>
      </c>
      <c r="C848" t="s">
        <v>1792</v>
      </c>
      <c r="D848">
        <v>178</v>
      </c>
      <c r="F848">
        <f>OUTPUTAvatarMatResID[[#This Row],[AvatarPartID]]*10000+OUTPUTAvatarMatResID[[#This Row],[SexID]]*1000+AvatarMatResID[[#This Row],[CountIndex]]</f>
        <v>12178</v>
      </c>
      <c r="G848">
        <f>VLOOKUP(AvatarMatResID[[#This Row],[AvatarPart]],AvatarPartID[],2,0)</f>
        <v>1</v>
      </c>
      <c r="H848">
        <f>VLOOKUP(AvatarMatResID[[#This Row],[Sex]],SexID[],2,0)</f>
        <v>2</v>
      </c>
      <c r="I848" t="str">
        <f>AvatarMatResID[[#This Row],[Material]]</f>
        <v>Male Black L Robe 02 Brown</v>
      </c>
    </row>
    <row r="849" spans="1:9" x14ac:dyDescent="0.15">
      <c r="A849" t="s">
        <v>454</v>
      </c>
      <c r="B849" t="s">
        <v>1923</v>
      </c>
      <c r="C849" t="s">
        <v>1793</v>
      </c>
      <c r="D849">
        <v>179</v>
      </c>
      <c r="F849">
        <f>OUTPUTAvatarMatResID[[#This Row],[AvatarPartID]]*10000+OUTPUTAvatarMatResID[[#This Row],[SexID]]*1000+AvatarMatResID[[#This Row],[CountIndex]]</f>
        <v>12179</v>
      </c>
      <c r="G849">
        <f>VLOOKUP(AvatarMatResID[[#This Row],[AvatarPart]],AvatarPartID[],2,0)</f>
        <v>1</v>
      </c>
      <c r="H849">
        <f>VLOOKUP(AvatarMatResID[[#This Row],[Sex]],SexID[],2,0)</f>
        <v>2</v>
      </c>
      <c r="I849" t="str">
        <f>AvatarMatResID[[#This Row],[Material]]</f>
        <v>Male Black L Robe 02 Green</v>
      </c>
    </row>
    <row r="850" spans="1:9" x14ac:dyDescent="0.15">
      <c r="A850" t="s">
        <v>454</v>
      </c>
      <c r="B850" t="s">
        <v>1923</v>
      </c>
      <c r="C850" t="s">
        <v>1794</v>
      </c>
      <c r="D850">
        <v>180</v>
      </c>
      <c r="F850">
        <f>OUTPUTAvatarMatResID[[#This Row],[AvatarPartID]]*10000+OUTPUTAvatarMatResID[[#This Row],[SexID]]*1000+AvatarMatResID[[#This Row],[CountIndex]]</f>
        <v>12180</v>
      </c>
      <c r="G850">
        <f>VLOOKUP(AvatarMatResID[[#This Row],[AvatarPart]],AvatarPartID[],2,0)</f>
        <v>1</v>
      </c>
      <c r="H850">
        <f>VLOOKUP(AvatarMatResID[[#This Row],[Sex]],SexID[],2,0)</f>
        <v>2</v>
      </c>
      <c r="I850" t="str">
        <f>AvatarMatResID[[#This Row],[Material]]</f>
        <v>Male Black L Robe 02 Purple</v>
      </c>
    </row>
    <row r="851" spans="1:9" x14ac:dyDescent="0.15">
      <c r="A851" t="s">
        <v>454</v>
      </c>
      <c r="B851" t="s">
        <v>1923</v>
      </c>
      <c r="C851" t="s">
        <v>1795</v>
      </c>
      <c r="D851">
        <v>181</v>
      </c>
      <c r="F851">
        <f>OUTPUTAvatarMatResID[[#This Row],[AvatarPartID]]*10000+OUTPUTAvatarMatResID[[#This Row],[SexID]]*1000+AvatarMatResID[[#This Row],[CountIndex]]</f>
        <v>12181</v>
      </c>
      <c r="G851">
        <f>VLOOKUP(AvatarMatResID[[#This Row],[AvatarPart]],AvatarPartID[],2,0)</f>
        <v>1</v>
      </c>
      <c r="H851">
        <f>VLOOKUP(AvatarMatResID[[#This Row],[Sex]],SexID[],2,0)</f>
        <v>2</v>
      </c>
      <c r="I851" t="str">
        <f>AvatarMatResID[[#This Row],[Material]]</f>
        <v>Male Black L Robe 02 Red</v>
      </c>
    </row>
    <row r="852" spans="1:9" x14ac:dyDescent="0.15">
      <c r="A852" t="s">
        <v>454</v>
      </c>
      <c r="B852" t="s">
        <v>1923</v>
      </c>
      <c r="C852" t="s">
        <v>1217</v>
      </c>
      <c r="D852">
        <v>182</v>
      </c>
      <c r="F852">
        <f>OUTPUTAvatarMatResID[[#This Row],[AvatarPartID]]*10000+OUTPUTAvatarMatResID[[#This Row],[SexID]]*1000+AvatarMatResID[[#This Row],[CountIndex]]</f>
        <v>12182</v>
      </c>
      <c r="G852">
        <f>VLOOKUP(AvatarMatResID[[#This Row],[AvatarPart]],AvatarPartID[],2,0)</f>
        <v>1</v>
      </c>
      <c r="H852">
        <f>VLOOKUP(AvatarMatResID[[#This Row],[Sex]],SexID[],2,0)</f>
        <v>2</v>
      </c>
      <c r="I852" t="str">
        <f>AvatarMatResID[[#This Row],[Material]]</f>
        <v>Male Black Naked</v>
      </c>
    </row>
    <row r="853" spans="1:9" x14ac:dyDescent="0.15">
      <c r="A853" t="s">
        <v>454</v>
      </c>
      <c r="B853" t="s">
        <v>1923</v>
      </c>
      <c r="C853" t="s">
        <v>1696</v>
      </c>
      <c r="D853">
        <v>183</v>
      </c>
      <c r="F853">
        <f>OUTPUTAvatarMatResID[[#This Row],[AvatarPartID]]*10000+OUTPUTAvatarMatResID[[#This Row],[SexID]]*1000+AvatarMatResID[[#This Row],[CountIndex]]</f>
        <v>12183</v>
      </c>
      <c r="G853">
        <f>VLOOKUP(AvatarMatResID[[#This Row],[AvatarPart]],AvatarPartID[],2,0)</f>
        <v>1</v>
      </c>
      <c r="H853">
        <f>VLOOKUP(AvatarMatResID[[#This Row],[Sex]],SexID[],2,0)</f>
        <v>2</v>
      </c>
      <c r="I853" t="str">
        <f>AvatarMatResID[[#This Row],[Material]]</f>
        <v>Male Black S Robe 01 Blue</v>
      </c>
    </row>
    <row r="854" spans="1:9" x14ac:dyDescent="0.15">
      <c r="A854" t="s">
        <v>454</v>
      </c>
      <c r="B854" t="s">
        <v>1923</v>
      </c>
      <c r="C854" t="s">
        <v>1697</v>
      </c>
      <c r="D854">
        <v>184</v>
      </c>
      <c r="F854">
        <f>OUTPUTAvatarMatResID[[#This Row],[AvatarPartID]]*10000+OUTPUTAvatarMatResID[[#This Row],[SexID]]*1000+AvatarMatResID[[#This Row],[CountIndex]]</f>
        <v>12184</v>
      </c>
      <c r="G854">
        <f>VLOOKUP(AvatarMatResID[[#This Row],[AvatarPart]],AvatarPartID[],2,0)</f>
        <v>1</v>
      </c>
      <c r="H854">
        <f>VLOOKUP(AvatarMatResID[[#This Row],[Sex]],SexID[],2,0)</f>
        <v>2</v>
      </c>
      <c r="I854" t="str">
        <f>AvatarMatResID[[#This Row],[Material]]</f>
        <v>Male Black S Robe 01 Brown</v>
      </c>
    </row>
    <row r="855" spans="1:9" x14ac:dyDescent="0.15">
      <c r="A855" t="s">
        <v>454</v>
      </c>
      <c r="B855" t="s">
        <v>1923</v>
      </c>
      <c r="C855" t="s">
        <v>1698</v>
      </c>
      <c r="D855">
        <v>185</v>
      </c>
      <c r="F855">
        <f>OUTPUTAvatarMatResID[[#This Row],[AvatarPartID]]*10000+OUTPUTAvatarMatResID[[#This Row],[SexID]]*1000+AvatarMatResID[[#This Row],[CountIndex]]</f>
        <v>12185</v>
      </c>
      <c r="G855">
        <f>VLOOKUP(AvatarMatResID[[#This Row],[AvatarPart]],AvatarPartID[],2,0)</f>
        <v>1</v>
      </c>
      <c r="H855">
        <f>VLOOKUP(AvatarMatResID[[#This Row],[Sex]],SexID[],2,0)</f>
        <v>2</v>
      </c>
      <c r="I855" t="str">
        <f>AvatarMatResID[[#This Row],[Material]]</f>
        <v>Male Black S Robe 01 Green</v>
      </c>
    </row>
    <row r="856" spans="1:9" x14ac:dyDescent="0.15">
      <c r="A856" t="s">
        <v>454</v>
      </c>
      <c r="B856" t="s">
        <v>1923</v>
      </c>
      <c r="C856" t="s">
        <v>1699</v>
      </c>
      <c r="D856">
        <v>186</v>
      </c>
      <c r="F856">
        <f>OUTPUTAvatarMatResID[[#This Row],[AvatarPartID]]*10000+OUTPUTAvatarMatResID[[#This Row],[SexID]]*1000+AvatarMatResID[[#This Row],[CountIndex]]</f>
        <v>12186</v>
      </c>
      <c r="G856">
        <f>VLOOKUP(AvatarMatResID[[#This Row],[AvatarPart]],AvatarPartID[],2,0)</f>
        <v>1</v>
      </c>
      <c r="H856">
        <f>VLOOKUP(AvatarMatResID[[#This Row],[Sex]],SexID[],2,0)</f>
        <v>2</v>
      </c>
      <c r="I856" t="str">
        <f>AvatarMatResID[[#This Row],[Material]]</f>
        <v>Male Black S Robe 01 Purple</v>
      </c>
    </row>
    <row r="857" spans="1:9" x14ac:dyDescent="0.15">
      <c r="A857" t="s">
        <v>454</v>
      </c>
      <c r="B857" t="s">
        <v>1923</v>
      </c>
      <c r="C857" t="s">
        <v>1700</v>
      </c>
      <c r="D857">
        <v>187</v>
      </c>
      <c r="F857">
        <f>OUTPUTAvatarMatResID[[#This Row],[AvatarPartID]]*10000+OUTPUTAvatarMatResID[[#This Row],[SexID]]*1000+AvatarMatResID[[#This Row],[CountIndex]]</f>
        <v>12187</v>
      </c>
      <c r="G857">
        <f>VLOOKUP(AvatarMatResID[[#This Row],[AvatarPart]],AvatarPartID[],2,0)</f>
        <v>1</v>
      </c>
      <c r="H857">
        <f>VLOOKUP(AvatarMatResID[[#This Row],[Sex]],SexID[],2,0)</f>
        <v>2</v>
      </c>
      <c r="I857" t="str">
        <f>AvatarMatResID[[#This Row],[Material]]</f>
        <v>Male Black S Robe 01 Red</v>
      </c>
    </row>
    <row r="858" spans="1:9" x14ac:dyDescent="0.15">
      <c r="A858" t="s">
        <v>454</v>
      </c>
      <c r="B858" t="s">
        <v>1923</v>
      </c>
      <c r="C858" t="s">
        <v>1701</v>
      </c>
      <c r="D858">
        <v>188</v>
      </c>
      <c r="F858">
        <f>OUTPUTAvatarMatResID[[#This Row],[AvatarPartID]]*10000+OUTPUTAvatarMatResID[[#This Row],[SexID]]*1000+AvatarMatResID[[#This Row],[CountIndex]]</f>
        <v>12188</v>
      </c>
      <c r="G858">
        <f>VLOOKUP(AvatarMatResID[[#This Row],[AvatarPart]],AvatarPartID[],2,0)</f>
        <v>1</v>
      </c>
      <c r="H858">
        <f>VLOOKUP(AvatarMatResID[[#This Row],[Sex]],SexID[],2,0)</f>
        <v>2</v>
      </c>
      <c r="I858" t="str">
        <f>AvatarMatResID[[#This Row],[Material]]</f>
        <v>Male Black S Robe 02 Blue</v>
      </c>
    </row>
    <row r="859" spans="1:9" x14ac:dyDescent="0.15">
      <c r="A859" t="s">
        <v>454</v>
      </c>
      <c r="B859" t="s">
        <v>1923</v>
      </c>
      <c r="C859" t="s">
        <v>1702</v>
      </c>
      <c r="D859">
        <v>189</v>
      </c>
      <c r="F859">
        <f>OUTPUTAvatarMatResID[[#This Row],[AvatarPartID]]*10000+OUTPUTAvatarMatResID[[#This Row],[SexID]]*1000+AvatarMatResID[[#This Row],[CountIndex]]</f>
        <v>12189</v>
      </c>
      <c r="G859">
        <f>VLOOKUP(AvatarMatResID[[#This Row],[AvatarPart]],AvatarPartID[],2,0)</f>
        <v>1</v>
      </c>
      <c r="H859">
        <f>VLOOKUP(AvatarMatResID[[#This Row],[Sex]],SexID[],2,0)</f>
        <v>2</v>
      </c>
      <c r="I859" t="str">
        <f>AvatarMatResID[[#This Row],[Material]]</f>
        <v>Male Black S Robe 02 Brown</v>
      </c>
    </row>
    <row r="860" spans="1:9" x14ac:dyDescent="0.15">
      <c r="A860" t="s">
        <v>454</v>
      </c>
      <c r="B860" t="s">
        <v>1923</v>
      </c>
      <c r="C860" t="s">
        <v>1703</v>
      </c>
      <c r="D860">
        <v>190</v>
      </c>
      <c r="F860">
        <f>OUTPUTAvatarMatResID[[#This Row],[AvatarPartID]]*10000+OUTPUTAvatarMatResID[[#This Row],[SexID]]*1000+AvatarMatResID[[#This Row],[CountIndex]]</f>
        <v>12190</v>
      </c>
      <c r="G860">
        <f>VLOOKUP(AvatarMatResID[[#This Row],[AvatarPart]],AvatarPartID[],2,0)</f>
        <v>1</v>
      </c>
      <c r="H860">
        <f>VLOOKUP(AvatarMatResID[[#This Row],[Sex]],SexID[],2,0)</f>
        <v>2</v>
      </c>
      <c r="I860" t="str">
        <f>AvatarMatResID[[#This Row],[Material]]</f>
        <v>Male Black S Robe 02 Green</v>
      </c>
    </row>
    <row r="861" spans="1:9" x14ac:dyDescent="0.15">
      <c r="A861" t="s">
        <v>454</v>
      </c>
      <c r="B861" t="s">
        <v>1923</v>
      </c>
      <c r="C861" t="s">
        <v>1704</v>
      </c>
      <c r="D861">
        <v>191</v>
      </c>
      <c r="F861">
        <f>OUTPUTAvatarMatResID[[#This Row],[AvatarPartID]]*10000+OUTPUTAvatarMatResID[[#This Row],[SexID]]*1000+AvatarMatResID[[#This Row],[CountIndex]]</f>
        <v>12191</v>
      </c>
      <c r="G861">
        <f>VLOOKUP(AvatarMatResID[[#This Row],[AvatarPart]],AvatarPartID[],2,0)</f>
        <v>1</v>
      </c>
      <c r="H861">
        <f>VLOOKUP(AvatarMatResID[[#This Row],[Sex]],SexID[],2,0)</f>
        <v>2</v>
      </c>
      <c r="I861" t="str">
        <f>AvatarMatResID[[#This Row],[Material]]</f>
        <v>Male Black S Robe 02 Purple</v>
      </c>
    </row>
    <row r="862" spans="1:9" x14ac:dyDescent="0.15">
      <c r="A862" t="s">
        <v>454</v>
      </c>
      <c r="B862" t="s">
        <v>1923</v>
      </c>
      <c r="C862" t="s">
        <v>1705</v>
      </c>
      <c r="D862">
        <v>192</v>
      </c>
      <c r="F862">
        <f>OUTPUTAvatarMatResID[[#This Row],[AvatarPartID]]*10000+OUTPUTAvatarMatResID[[#This Row],[SexID]]*1000+AvatarMatResID[[#This Row],[CountIndex]]</f>
        <v>12192</v>
      </c>
      <c r="G862">
        <f>VLOOKUP(AvatarMatResID[[#This Row],[AvatarPart]],AvatarPartID[],2,0)</f>
        <v>1</v>
      </c>
      <c r="H862">
        <f>VLOOKUP(AvatarMatResID[[#This Row],[Sex]],SexID[],2,0)</f>
        <v>2</v>
      </c>
      <c r="I862" t="str">
        <f>AvatarMatResID[[#This Row],[Material]]</f>
        <v>Male Black S Robe 02 Red</v>
      </c>
    </row>
    <row r="863" spans="1:9" x14ac:dyDescent="0.15">
      <c r="A863" t="s">
        <v>454</v>
      </c>
      <c r="B863" t="s">
        <v>1923</v>
      </c>
      <c r="C863" t="s">
        <v>1218</v>
      </c>
      <c r="D863">
        <v>193</v>
      </c>
      <c r="F863">
        <f>OUTPUTAvatarMatResID[[#This Row],[AvatarPartID]]*10000+OUTPUTAvatarMatResID[[#This Row],[SexID]]*1000+AvatarMatResID[[#This Row],[CountIndex]]</f>
        <v>12193</v>
      </c>
      <c r="G863">
        <f>VLOOKUP(AvatarMatResID[[#This Row],[AvatarPart]],AvatarPartID[],2,0)</f>
        <v>1</v>
      </c>
      <c r="H863">
        <f>VLOOKUP(AvatarMatResID[[#This Row],[Sex]],SexID[],2,0)</f>
        <v>2</v>
      </c>
      <c r="I863" t="str">
        <f>AvatarMatResID[[#This Row],[Material]]</f>
        <v>Male Black Santa 01</v>
      </c>
    </row>
    <row r="864" spans="1:9" x14ac:dyDescent="0.15">
      <c r="A864" t="s">
        <v>454</v>
      </c>
      <c r="B864" t="s">
        <v>1923</v>
      </c>
      <c r="C864" t="s">
        <v>1219</v>
      </c>
      <c r="D864">
        <v>194</v>
      </c>
      <c r="F864">
        <f>OUTPUTAvatarMatResID[[#This Row],[AvatarPartID]]*10000+OUTPUTAvatarMatResID[[#This Row],[SexID]]*1000+AvatarMatResID[[#This Row],[CountIndex]]</f>
        <v>12194</v>
      </c>
      <c r="G864">
        <f>VLOOKUP(AvatarMatResID[[#This Row],[AvatarPart]],AvatarPartID[],2,0)</f>
        <v>1</v>
      </c>
      <c r="H864">
        <f>VLOOKUP(AvatarMatResID[[#This Row],[Sex]],SexID[],2,0)</f>
        <v>2</v>
      </c>
      <c r="I864" t="str">
        <f>AvatarMatResID[[#This Row],[Material]]</f>
        <v>Male Black Wizard 01 Black</v>
      </c>
    </row>
    <row r="865" spans="1:9" x14ac:dyDescent="0.15">
      <c r="A865" t="s">
        <v>454</v>
      </c>
      <c r="B865" t="s">
        <v>1923</v>
      </c>
      <c r="C865" t="s">
        <v>1220</v>
      </c>
      <c r="D865">
        <v>195</v>
      </c>
      <c r="F865">
        <f>OUTPUTAvatarMatResID[[#This Row],[AvatarPartID]]*10000+OUTPUTAvatarMatResID[[#This Row],[SexID]]*1000+AvatarMatResID[[#This Row],[CountIndex]]</f>
        <v>12195</v>
      </c>
      <c r="G865">
        <f>VLOOKUP(AvatarMatResID[[#This Row],[AvatarPart]],AvatarPartID[],2,0)</f>
        <v>1</v>
      </c>
      <c r="H865">
        <f>VLOOKUP(AvatarMatResID[[#This Row],[Sex]],SexID[],2,0)</f>
        <v>2</v>
      </c>
      <c r="I865" t="str">
        <f>AvatarMatResID[[#This Row],[Material]]</f>
        <v>Male Black Wizard 01 Blue</v>
      </c>
    </row>
    <row r="866" spans="1:9" x14ac:dyDescent="0.15">
      <c r="A866" t="s">
        <v>454</v>
      </c>
      <c r="B866" t="s">
        <v>1923</v>
      </c>
      <c r="C866" t="s">
        <v>1221</v>
      </c>
      <c r="D866">
        <v>196</v>
      </c>
      <c r="F866">
        <f>OUTPUTAvatarMatResID[[#This Row],[AvatarPartID]]*10000+OUTPUTAvatarMatResID[[#This Row],[SexID]]*1000+AvatarMatResID[[#This Row],[CountIndex]]</f>
        <v>12196</v>
      </c>
      <c r="G866">
        <f>VLOOKUP(AvatarMatResID[[#This Row],[AvatarPart]],AvatarPartID[],2,0)</f>
        <v>1</v>
      </c>
      <c r="H866">
        <f>VLOOKUP(AvatarMatResID[[#This Row],[Sex]],SexID[],2,0)</f>
        <v>2</v>
      </c>
      <c r="I866" t="str">
        <f>AvatarMatResID[[#This Row],[Material]]</f>
        <v>Male Black Wizard 01 Green</v>
      </c>
    </row>
    <row r="867" spans="1:9" x14ac:dyDescent="0.15">
      <c r="A867" t="s">
        <v>454</v>
      </c>
      <c r="B867" t="s">
        <v>1923</v>
      </c>
      <c r="C867" t="s">
        <v>1222</v>
      </c>
      <c r="D867">
        <v>197</v>
      </c>
      <c r="F867">
        <f>OUTPUTAvatarMatResID[[#This Row],[AvatarPartID]]*10000+OUTPUTAvatarMatResID[[#This Row],[SexID]]*1000+AvatarMatResID[[#This Row],[CountIndex]]</f>
        <v>12197</v>
      </c>
      <c r="G867">
        <f>VLOOKUP(AvatarMatResID[[#This Row],[AvatarPart]],AvatarPartID[],2,0)</f>
        <v>1</v>
      </c>
      <c r="H867">
        <f>VLOOKUP(AvatarMatResID[[#This Row],[Sex]],SexID[],2,0)</f>
        <v>2</v>
      </c>
      <c r="I867" t="str">
        <f>AvatarMatResID[[#This Row],[Material]]</f>
        <v>Male Black Wizard 01 Purple</v>
      </c>
    </row>
    <row r="868" spans="1:9" x14ac:dyDescent="0.15">
      <c r="A868" t="s">
        <v>454</v>
      </c>
      <c r="B868" t="s">
        <v>1923</v>
      </c>
      <c r="C868" t="s">
        <v>1223</v>
      </c>
      <c r="D868">
        <v>198</v>
      </c>
      <c r="F868">
        <f>OUTPUTAvatarMatResID[[#This Row],[AvatarPartID]]*10000+OUTPUTAvatarMatResID[[#This Row],[SexID]]*1000+AvatarMatResID[[#This Row],[CountIndex]]</f>
        <v>12198</v>
      </c>
      <c r="G868">
        <f>VLOOKUP(AvatarMatResID[[#This Row],[AvatarPart]],AvatarPartID[],2,0)</f>
        <v>1</v>
      </c>
      <c r="H868">
        <f>VLOOKUP(AvatarMatResID[[#This Row],[Sex]],SexID[],2,0)</f>
        <v>2</v>
      </c>
      <c r="I868" t="str">
        <f>AvatarMatResID[[#This Row],[Material]]</f>
        <v>Male Black Wizard 01 Red</v>
      </c>
    </row>
    <row r="869" spans="1:9" x14ac:dyDescent="0.15">
      <c r="A869" t="s">
        <v>454</v>
      </c>
      <c r="B869" t="s">
        <v>1923</v>
      </c>
      <c r="C869" t="s">
        <v>1224</v>
      </c>
      <c r="D869">
        <v>199</v>
      </c>
      <c r="F869">
        <f>OUTPUTAvatarMatResID[[#This Row],[AvatarPartID]]*10000+OUTPUTAvatarMatResID[[#This Row],[SexID]]*1000+AvatarMatResID[[#This Row],[CountIndex]]</f>
        <v>12199</v>
      </c>
      <c r="G869">
        <f>VLOOKUP(AvatarMatResID[[#This Row],[AvatarPart]],AvatarPartID[],2,0)</f>
        <v>1</v>
      </c>
      <c r="H869">
        <f>VLOOKUP(AvatarMatResID[[#This Row],[Sex]],SexID[],2,0)</f>
        <v>2</v>
      </c>
      <c r="I869" t="str">
        <f>AvatarMatResID[[#This Row],[Material]]</f>
        <v>Male Black Wizard 01 White</v>
      </c>
    </row>
    <row r="870" spans="1:9" x14ac:dyDescent="0.15">
      <c r="A870" t="s">
        <v>454</v>
      </c>
      <c r="B870" t="s">
        <v>1923</v>
      </c>
      <c r="C870" t="s">
        <v>1225</v>
      </c>
      <c r="D870">
        <v>200</v>
      </c>
      <c r="F870">
        <f>OUTPUTAvatarMatResID[[#This Row],[AvatarPartID]]*10000+OUTPUTAvatarMatResID[[#This Row],[SexID]]*1000+AvatarMatResID[[#This Row],[CountIndex]]</f>
        <v>12200</v>
      </c>
      <c r="G870">
        <f>VLOOKUP(AvatarMatResID[[#This Row],[AvatarPart]],AvatarPartID[],2,0)</f>
        <v>1</v>
      </c>
      <c r="H870">
        <f>VLOOKUP(AvatarMatResID[[#This Row],[Sex]],SexID[],2,0)</f>
        <v>2</v>
      </c>
      <c r="I870" t="str">
        <f>AvatarMatResID[[#This Row],[Material]]</f>
        <v>Male Black Wizard 02 Black</v>
      </c>
    </row>
    <row r="871" spans="1:9" x14ac:dyDescent="0.15">
      <c r="A871" t="s">
        <v>454</v>
      </c>
      <c r="B871" t="s">
        <v>1923</v>
      </c>
      <c r="C871" t="s">
        <v>1226</v>
      </c>
      <c r="D871">
        <v>201</v>
      </c>
      <c r="F871">
        <f>OUTPUTAvatarMatResID[[#This Row],[AvatarPartID]]*10000+OUTPUTAvatarMatResID[[#This Row],[SexID]]*1000+AvatarMatResID[[#This Row],[CountIndex]]</f>
        <v>12201</v>
      </c>
      <c r="G871">
        <f>VLOOKUP(AvatarMatResID[[#This Row],[AvatarPart]],AvatarPartID[],2,0)</f>
        <v>1</v>
      </c>
      <c r="H871">
        <f>VLOOKUP(AvatarMatResID[[#This Row],[Sex]],SexID[],2,0)</f>
        <v>2</v>
      </c>
      <c r="I871" t="str">
        <f>AvatarMatResID[[#This Row],[Material]]</f>
        <v>Male Black Wizard 02 Blue</v>
      </c>
    </row>
    <row r="872" spans="1:9" x14ac:dyDescent="0.15">
      <c r="A872" t="s">
        <v>454</v>
      </c>
      <c r="B872" t="s">
        <v>1923</v>
      </c>
      <c r="C872" t="s">
        <v>1227</v>
      </c>
      <c r="D872">
        <v>202</v>
      </c>
      <c r="F872">
        <f>OUTPUTAvatarMatResID[[#This Row],[AvatarPartID]]*10000+OUTPUTAvatarMatResID[[#This Row],[SexID]]*1000+AvatarMatResID[[#This Row],[CountIndex]]</f>
        <v>12202</v>
      </c>
      <c r="G872">
        <f>VLOOKUP(AvatarMatResID[[#This Row],[AvatarPart]],AvatarPartID[],2,0)</f>
        <v>1</v>
      </c>
      <c r="H872">
        <f>VLOOKUP(AvatarMatResID[[#This Row],[Sex]],SexID[],2,0)</f>
        <v>2</v>
      </c>
      <c r="I872" t="str">
        <f>AvatarMatResID[[#This Row],[Material]]</f>
        <v>Male Black Wizard 02 Brown</v>
      </c>
    </row>
    <row r="873" spans="1:9" x14ac:dyDescent="0.15">
      <c r="A873" t="s">
        <v>454</v>
      </c>
      <c r="B873" t="s">
        <v>1923</v>
      </c>
      <c r="C873" t="s">
        <v>1228</v>
      </c>
      <c r="D873">
        <v>203</v>
      </c>
      <c r="F873">
        <f>OUTPUTAvatarMatResID[[#This Row],[AvatarPartID]]*10000+OUTPUTAvatarMatResID[[#This Row],[SexID]]*1000+AvatarMatResID[[#This Row],[CountIndex]]</f>
        <v>12203</v>
      </c>
      <c r="G873">
        <f>VLOOKUP(AvatarMatResID[[#This Row],[AvatarPart]],AvatarPartID[],2,0)</f>
        <v>1</v>
      </c>
      <c r="H873">
        <f>VLOOKUP(AvatarMatResID[[#This Row],[Sex]],SexID[],2,0)</f>
        <v>2</v>
      </c>
      <c r="I873" t="str">
        <f>AvatarMatResID[[#This Row],[Material]]</f>
        <v>Male Black Wizard 02 Green</v>
      </c>
    </row>
    <row r="874" spans="1:9" x14ac:dyDescent="0.15">
      <c r="A874" t="s">
        <v>454</v>
      </c>
      <c r="B874" t="s">
        <v>1923</v>
      </c>
      <c r="C874" t="s">
        <v>1229</v>
      </c>
      <c r="D874">
        <v>204</v>
      </c>
      <c r="F874">
        <f>OUTPUTAvatarMatResID[[#This Row],[AvatarPartID]]*10000+OUTPUTAvatarMatResID[[#This Row],[SexID]]*1000+AvatarMatResID[[#This Row],[CountIndex]]</f>
        <v>12204</v>
      </c>
      <c r="G874">
        <f>VLOOKUP(AvatarMatResID[[#This Row],[AvatarPart]],AvatarPartID[],2,0)</f>
        <v>1</v>
      </c>
      <c r="H874">
        <f>VLOOKUP(AvatarMatResID[[#This Row],[Sex]],SexID[],2,0)</f>
        <v>2</v>
      </c>
      <c r="I874" t="str">
        <f>AvatarMatResID[[#This Row],[Material]]</f>
        <v>Male Black Wizard 02 Purple</v>
      </c>
    </row>
    <row r="875" spans="1:9" x14ac:dyDescent="0.15">
      <c r="A875" t="s">
        <v>454</v>
      </c>
      <c r="B875" t="s">
        <v>1923</v>
      </c>
      <c r="C875" t="s">
        <v>1230</v>
      </c>
      <c r="D875">
        <v>205</v>
      </c>
      <c r="F875">
        <f>OUTPUTAvatarMatResID[[#This Row],[AvatarPartID]]*10000+OUTPUTAvatarMatResID[[#This Row],[SexID]]*1000+AvatarMatResID[[#This Row],[CountIndex]]</f>
        <v>12205</v>
      </c>
      <c r="G875">
        <f>VLOOKUP(AvatarMatResID[[#This Row],[AvatarPart]],AvatarPartID[],2,0)</f>
        <v>1</v>
      </c>
      <c r="H875">
        <f>VLOOKUP(AvatarMatResID[[#This Row],[Sex]],SexID[],2,0)</f>
        <v>2</v>
      </c>
      <c r="I875" t="str">
        <f>AvatarMatResID[[#This Row],[Material]]</f>
        <v>Male Black Wizard 02 Red</v>
      </c>
    </row>
    <row r="876" spans="1:9" x14ac:dyDescent="0.15">
      <c r="A876" t="s">
        <v>454</v>
      </c>
      <c r="B876" t="s">
        <v>1923</v>
      </c>
      <c r="C876" t="s">
        <v>1231</v>
      </c>
      <c r="D876">
        <v>206</v>
      </c>
      <c r="F876">
        <f>OUTPUTAvatarMatResID[[#This Row],[AvatarPartID]]*10000+OUTPUTAvatarMatResID[[#This Row],[SexID]]*1000+AvatarMatResID[[#This Row],[CountIndex]]</f>
        <v>12206</v>
      </c>
      <c r="G876">
        <f>VLOOKUP(AvatarMatResID[[#This Row],[AvatarPart]],AvatarPartID[],2,0)</f>
        <v>1</v>
      </c>
      <c r="H876">
        <f>VLOOKUP(AvatarMatResID[[#This Row],[Sex]],SexID[],2,0)</f>
        <v>2</v>
      </c>
      <c r="I876" t="str">
        <f>AvatarMatResID[[#This Row],[Material]]</f>
        <v>Male Black Wizard 02 White</v>
      </c>
    </row>
    <row r="877" spans="1:9" x14ac:dyDescent="0.15">
      <c r="A877" t="s">
        <v>454</v>
      </c>
      <c r="B877" t="s">
        <v>1923</v>
      </c>
      <c r="C877" t="s">
        <v>1232</v>
      </c>
      <c r="D877">
        <v>207</v>
      </c>
      <c r="F877">
        <f>OUTPUTAvatarMatResID[[#This Row],[AvatarPartID]]*10000+OUTPUTAvatarMatResID[[#This Row],[SexID]]*1000+AvatarMatResID[[#This Row],[CountIndex]]</f>
        <v>12207</v>
      </c>
      <c r="G877">
        <f>VLOOKUP(AvatarMatResID[[#This Row],[AvatarPart]],AvatarPartID[],2,0)</f>
        <v>1</v>
      </c>
      <c r="H877">
        <f>VLOOKUP(AvatarMatResID[[#This Row],[Sex]],SexID[],2,0)</f>
        <v>2</v>
      </c>
      <c r="I877" t="str">
        <f>AvatarMatResID[[#This Row],[Material]]</f>
        <v>Male Black Wizard 03 Black</v>
      </c>
    </row>
    <row r="878" spans="1:9" x14ac:dyDescent="0.15">
      <c r="A878" t="s">
        <v>454</v>
      </c>
      <c r="B878" t="s">
        <v>1923</v>
      </c>
      <c r="C878" t="s">
        <v>1233</v>
      </c>
      <c r="D878">
        <v>208</v>
      </c>
      <c r="F878">
        <f>OUTPUTAvatarMatResID[[#This Row],[AvatarPartID]]*10000+OUTPUTAvatarMatResID[[#This Row],[SexID]]*1000+AvatarMatResID[[#This Row],[CountIndex]]</f>
        <v>12208</v>
      </c>
      <c r="G878">
        <f>VLOOKUP(AvatarMatResID[[#This Row],[AvatarPart]],AvatarPartID[],2,0)</f>
        <v>1</v>
      </c>
      <c r="H878">
        <f>VLOOKUP(AvatarMatResID[[#This Row],[Sex]],SexID[],2,0)</f>
        <v>2</v>
      </c>
      <c r="I878" t="str">
        <f>AvatarMatResID[[#This Row],[Material]]</f>
        <v>Male Black Wizard 03 Blue</v>
      </c>
    </row>
    <row r="879" spans="1:9" x14ac:dyDescent="0.15">
      <c r="A879" t="s">
        <v>454</v>
      </c>
      <c r="B879" t="s">
        <v>1923</v>
      </c>
      <c r="C879" t="s">
        <v>1234</v>
      </c>
      <c r="D879">
        <v>209</v>
      </c>
      <c r="F879">
        <f>OUTPUTAvatarMatResID[[#This Row],[AvatarPartID]]*10000+OUTPUTAvatarMatResID[[#This Row],[SexID]]*1000+AvatarMatResID[[#This Row],[CountIndex]]</f>
        <v>12209</v>
      </c>
      <c r="G879">
        <f>VLOOKUP(AvatarMatResID[[#This Row],[AvatarPart]],AvatarPartID[],2,0)</f>
        <v>1</v>
      </c>
      <c r="H879">
        <f>VLOOKUP(AvatarMatResID[[#This Row],[Sex]],SexID[],2,0)</f>
        <v>2</v>
      </c>
      <c r="I879" t="str">
        <f>AvatarMatResID[[#This Row],[Material]]</f>
        <v>Male Black Wizard 03 Green</v>
      </c>
    </row>
    <row r="880" spans="1:9" x14ac:dyDescent="0.15">
      <c r="A880" t="s">
        <v>454</v>
      </c>
      <c r="B880" t="s">
        <v>1923</v>
      </c>
      <c r="C880" t="s">
        <v>1235</v>
      </c>
      <c r="D880">
        <v>210</v>
      </c>
      <c r="F880">
        <f>OUTPUTAvatarMatResID[[#This Row],[AvatarPartID]]*10000+OUTPUTAvatarMatResID[[#This Row],[SexID]]*1000+AvatarMatResID[[#This Row],[CountIndex]]</f>
        <v>12210</v>
      </c>
      <c r="G880">
        <f>VLOOKUP(AvatarMatResID[[#This Row],[AvatarPart]],AvatarPartID[],2,0)</f>
        <v>1</v>
      </c>
      <c r="H880">
        <f>VLOOKUP(AvatarMatResID[[#This Row],[Sex]],SexID[],2,0)</f>
        <v>2</v>
      </c>
      <c r="I880" t="str">
        <f>AvatarMatResID[[#This Row],[Material]]</f>
        <v>Male Black Wizard 03 Purple</v>
      </c>
    </row>
    <row r="881" spans="1:9" x14ac:dyDescent="0.15">
      <c r="A881" t="s">
        <v>454</v>
      </c>
      <c r="B881" t="s">
        <v>1923</v>
      </c>
      <c r="C881" t="s">
        <v>1236</v>
      </c>
      <c r="D881">
        <v>211</v>
      </c>
      <c r="F881">
        <f>OUTPUTAvatarMatResID[[#This Row],[AvatarPartID]]*10000+OUTPUTAvatarMatResID[[#This Row],[SexID]]*1000+AvatarMatResID[[#This Row],[CountIndex]]</f>
        <v>12211</v>
      </c>
      <c r="G881">
        <f>VLOOKUP(AvatarMatResID[[#This Row],[AvatarPart]],AvatarPartID[],2,0)</f>
        <v>1</v>
      </c>
      <c r="H881">
        <f>VLOOKUP(AvatarMatResID[[#This Row],[Sex]],SexID[],2,0)</f>
        <v>2</v>
      </c>
      <c r="I881" t="str">
        <f>AvatarMatResID[[#This Row],[Material]]</f>
        <v>Male Black Wizard 03 Red</v>
      </c>
    </row>
    <row r="882" spans="1:9" x14ac:dyDescent="0.15">
      <c r="A882" t="s">
        <v>454</v>
      </c>
      <c r="B882" t="s">
        <v>1923</v>
      </c>
      <c r="C882" t="s">
        <v>1237</v>
      </c>
      <c r="D882">
        <v>212</v>
      </c>
      <c r="F882">
        <f>OUTPUTAvatarMatResID[[#This Row],[AvatarPartID]]*10000+OUTPUTAvatarMatResID[[#This Row],[SexID]]*1000+AvatarMatResID[[#This Row],[CountIndex]]</f>
        <v>12212</v>
      </c>
      <c r="G882">
        <f>VLOOKUP(AvatarMatResID[[#This Row],[AvatarPart]],AvatarPartID[],2,0)</f>
        <v>1</v>
      </c>
      <c r="H882">
        <f>VLOOKUP(AvatarMatResID[[#This Row],[Sex]],SexID[],2,0)</f>
        <v>2</v>
      </c>
      <c r="I882" t="str">
        <f>AvatarMatResID[[#This Row],[Material]]</f>
        <v>Male Black Wizard 03 Yellow</v>
      </c>
    </row>
    <row r="883" spans="1:9" x14ac:dyDescent="0.15">
      <c r="A883" t="s">
        <v>454</v>
      </c>
      <c r="B883" t="s">
        <v>1923</v>
      </c>
      <c r="C883" t="s">
        <v>1238</v>
      </c>
      <c r="D883">
        <v>213</v>
      </c>
      <c r="F883">
        <f>OUTPUTAvatarMatResID[[#This Row],[AvatarPartID]]*10000+OUTPUTAvatarMatResID[[#This Row],[SexID]]*1000+AvatarMatResID[[#This Row],[CountIndex]]</f>
        <v>12213</v>
      </c>
      <c r="G883">
        <f>VLOOKUP(AvatarMatResID[[#This Row],[AvatarPart]],AvatarPartID[],2,0)</f>
        <v>1</v>
      </c>
      <c r="H883">
        <f>VLOOKUP(AvatarMatResID[[#This Row],[Sex]],SexID[],2,0)</f>
        <v>2</v>
      </c>
      <c r="I883" t="str">
        <f>AvatarMatResID[[#This Row],[Material]]</f>
        <v>Male Black Wizard 04 Black</v>
      </c>
    </row>
    <row r="884" spans="1:9" x14ac:dyDescent="0.15">
      <c r="A884" t="s">
        <v>454</v>
      </c>
      <c r="B884" t="s">
        <v>1923</v>
      </c>
      <c r="C884" t="s">
        <v>1239</v>
      </c>
      <c r="D884">
        <v>214</v>
      </c>
      <c r="F884">
        <f>OUTPUTAvatarMatResID[[#This Row],[AvatarPartID]]*10000+OUTPUTAvatarMatResID[[#This Row],[SexID]]*1000+AvatarMatResID[[#This Row],[CountIndex]]</f>
        <v>12214</v>
      </c>
      <c r="G884">
        <f>VLOOKUP(AvatarMatResID[[#This Row],[AvatarPart]],AvatarPartID[],2,0)</f>
        <v>1</v>
      </c>
      <c r="H884">
        <f>VLOOKUP(AvatarMatResID[[#This Row],[Sex]],SexID[],2,0)</f>
        <v>2</v>
      </c>
      <c r="I884" t="str">
        <f>AvatarMatResID[[#This Row],[Material]]</f>
        <v>Male Black Wizard 04 Blue</v>
      </c>
    </row>
    <row r="885" spans="1:9" x14ac:dyDescent="0.15">
      <c r="A885" t="s">
        <v>454</v>
      </c>
      <c r="B885" t="s">
        <v>1923</v>
      </c>
      <c r="C885" t="s">
        <v>1240</v>
      </c>
      <c r="D885">
        <v>215</v>
      </c>
      <c r="F885">
        <f>OUTPUTAvatarMatResID[[#This Row],[AvatarPartID]]*10000+OUTPUTAvatarMatResID[[#This Row],[SexID]]*1000+AvatarMatResID[[#This Row],[CountIndex]]</f>
        <v>12215</v>
      </c>
      <c r="G885">
        <f>VLOOKUP(AvatarMatResID[[#This Row],[AvatarPart]],AvatarPartID[],2,0)</f>
        <v>1</v>
      </c>
      <c r="H885">
        <f>VLOOKUP(AvatarMatResID[[#This Row],[Sex]],SexID[],2,0)</f>
        <v>2</v>
      </c>
      <c r="I885" t="str">
        <f>AvatarMatResID[[#This Row],[Material]]</f>
        <v>Male Black Wizard 04 Brown</v>
      </c>
    </row>
    <row r="886" spans="1:9" x14ac:dyDescent="0.15">
      <c r="A886" t="s">
        <v>454</v>
      </c>
      <c r="B886" t="s">
        <v>1923</v>
      </c>
      <c r="C886" t="s">
        <v>1241</v>
      </c>
      <c r="D886">
        <v>216</v>
      </c>
      <c r="F886">
        <f>OUTPUTAvatarMatResID[[#This Row],[AvatarPartID]]*10000+OUTPUTAvatarMatResID[[#This Row],[SexID]]*1000+AvatarMatResID[[#This Row],[CountIndex]]</f>
        <v>12216</v>
      </c>
      <c r="G886">
        <f>VLOOKUP(AvatarMatResID[[#This Row],[AvatarPart]],AvatarPartID[],2,0)</f>
        <v>1</v>
      </c>
      <c r="H886">
        <f>VLOOKUP(AvatarMatResID[[#This Row],[Sex]],SexID[],2,0)</f>
        <v>2</v>
      </c>
      <c r="I886" t="str">
        <f>AvatarMatResID[[#This Row],[Material]]</f>
        <v>Male Black Wizard 04 Green</v>
      </c>
    </row>
    <row r="887" spans="1:9" x14ac:dyDescent="0.15">
      <c r="A887" t="s">
        <v>454</v>
      </c>
      <c r="B887" t="s">
        <v>1923</v>
      </c>
      <c r="C887" t="s">
        <v>1242</v>
      </c>
      <c r="D887">
        <v>217</v>
      </c>
      <c r="F887">
        <f>OUTPUTAvatarMatResID[[#This Row],[AvatarPartID]]*10000+OUTPUTAvatarMatResID[[#This Row],[SexID]]*1000+AvatarMatResID[[#This Row],[CountIndex]]</f>
        <v>12217</v>
      </c>
      <c r="G887">
        <f>VLOOKUP(AvatarMatResID[[#This Row],[AvatarPart]],AvatarPartID[],2,0)</f>
        <v>1</v>
      </c>
      <c r="H887">
        <f>VLOOKUP(AvatarMatResID[[#This Row],[Sex]],SexID[],2,0)</f>
        <v>2</v>
      </c>
      <c r="I887" t="str">
        <f>AvatarMatResID[[#This Row],[Material]]</f>
        <v>Male Black Wizard 04 Magenta</v>
      </c>
    </row>
    <row r="888" spans="1:9" x14ac:dyDescent="0.15">
      <c r="A888" t="s">
        <v>454</v>
      </c>
      <c r="B888" t="s">
        <v>1923</v>
      </c>
      <c r="C888" t="s">
        <v>1243</v>
      </c>
      <c r="D888">
        <v>218</v>
      </c>
      <c r="F888">
        <f>OUTPUTAvatarMatResID[[#This Row],[AvatarPartID]]*10000+OUTPUTAvatarMatResID[[#This Row],[SexID]]*1000+AvatarMatResID[[#This Row],[CountIndex]]</f>
        <v>12218</v>
      </c>
      <c r="G888">
        <f>VLOOKUP(AvatarMatResID[[#This Row],[AvatarPart]],AvatarPartID[],2,0)</f>
        <v>1</v>
      </c>
      <c r="H888">
        <f>VLOOKUP(AvatarMatResID[[#This Row],[Sex]],SexID[],2,0)</f>
        <v>2</v>
      </c>
      <c r="I888" t="str">
        <f>AvatarMatResID[[#This Row],[Material]]</f>
        <v>Male Black Wizard 04 Purple</v>
      </c>
    </row>
    <row r="889" spans="1:9" x14ac:dyDescent="0.15">
      <c r="A889" t="s">
        <v>454</v>
      </c>
      <c r="B889" t="s">
        <v>1923</v>
      </c>
      <c r="C889" t="s">
        <v>1244</v>
      </c>
      <c r="D889">
        <v>219</v>
      </c>
      <c r="F889">
        <f>OUTPUTAvatarMatResID[[#This Row],[AvatarPartID]]*10000+OUTPUTAvatarMatResID[[#This Row],[SexID]]*1000+AvatarMatResID[[#This Row],[CountIndex]]</f>
        <v>12219</v>
      </c>
      <c r="G889">
        <f>VLOOKUP(AvatarMatResID[[#This Row],[AvatarPart]],AvatarPartID[],2,0)</f>
        <v>1</v>
      </c>
      <c r="H889">
        <f>VLOOKUP(AvatarMatResID[[#This Row],[Sex]],SexID[],2,0)</f>
        <v>2</v>
      </c>
      <c r="I889" t="str">
        <f>AvatarMatResID[[#This Row],[Material]]</f>
        <v>Male Black Wizard 04 Red</v>
      </c>
    </row>
    <row r="890" spans="1:9" x14ac:dyDescent="0.15">
      <c r="A890" t="s">
        <v>454</v>
      </c>
      <c r="B890" t="s">
        <v>1923</v>
      </c>
      <c r="C890" t="s">
        <v>1245</v>
      </c>
      <c r="D890">
        <v>220</v>
      </c>
      <c r="F890">
        <f>OUTPUTAvatarMatResID[[#This Row],[AvatarPartID]]*10000+OUTPUTAvatarMatResID[[#This Row],[SexID]]*1000+AvatarMatResID[[#This Row],[CountIndex]]</f>
        <v>12220</v>
      </c>
      <c r="G890">
        <f>VLOOKUP(AvatarMatResID[[#This Row],[AvatarPart]],AvatarPartID[],2,0)</f>
        <v>1</v>
      </c>
      <c r="H890">
        <f>VLOOKUP(AvatarMatResID[[#This Row],[Sex]],SexID[],2,0)</f>
        <v>2</v>
      </c>
      <c r="I890" t="str">
        <f>AvatarMatResID[[#This Row],[Material]]</f>
        <v>Male Black Wizard 04 White</v>
      </c>
    </row>
    <row r="891" spans="1:9" x14ac:dyDescent="0.15">
      <c r="A891" t="s">
        <v>454</v>
      </c>
      <c r="B891" t="s">
        <v>1923</v>
      </c>
      <c r="C891" t="s">
        <v>1246</v>
      </c>
      <c r="D891">
        <v>221</v>
      </c>
      <c r="F891">
        <f>OUTPUTAvatarMatResID[[#This Row],[AvatarPartID]]*10000+OUTPUTAvatarMatResID[[#This Row],[SexID]]*1000+AvatarMatResID[[#This Row],[CountIndex]]</f>
        <v>12221</v>
      </c>
      <c r="G891">
        <f>VLOOKUP(AvatarMatResID[[#This Row],[AvatarPart]],AvatarPartID[],2,0)</f>
        <v>1</v>
      </c>
      <c r="H891">
        <f>VLOOKUP(AvatarMatResID[[#This Row],[Sex]],SexID[],2,0)</f>
        <v>2</v>
      </c>
      <c r="I891" t="str">
        <f>AvatarMatResID[[#This Row],[Material]]</f>
        <v>Male Black Wizard 05 Black</v>
      </c>
    </row>
    <row r="892" spans="1:9" x14ac:dyDescent="0.15">
      <c r="A892" t="s">
        <v>454</v>
      </c>
      <c r="B892" t="s">
        <v>1923</v>
      </c>
      <c r="C892" t="s">
        <v>1247</v>
      </c>
      <c r="D892">
        <v>222</v>
      </c>
      <c r="F892">
        <f>OUTPUTAvatarMatResID[[#This Row],[AvatarPartID]]*10000+OUTPUTAvatarMatResID[[#This Row],[SexID]]*1000+AvatarMatResID[[#This Row],[CountIndex]]</f>
        <v>12222</v>
      </c>
      <c r="G892">
        <f>VLOOKUP(AvatarMatResID[[#This Row],[AvatarPart]],AvatarPartID[],2,0)</f>
        <v>1</v>
      </c>
      <c r="H892">
        <f>VLOOKUP(AvatarMatResID[[#This Row],[Sex]],SexID[],2,0)</f>
        <v>2</v>
      </c>
      <c r="I892" t="str">
        <f>AvatarMatResID[[#This Row],[Material]]</f>
        <v>Male Black Wizard 05 Blue</v>
      </c>
    </row>
    <row r="893" spans="1:9" x14ac:dyDescent="0.15">
      <c r="A893" t="s">
        <v>454</v>
      </c>
      <c r="B893" t="s">
        <v>1923</v>
      </c>
      <c r="C893" t="s">
        <v>1248</v>
      </c>
      <c r="D893">
        <v>223</v>
      </c>
      <c r="F893">
        <f>OUTPUTAvatarMatResID[[#This Row],[AvatarPartID]]*10000+OUTPUTAvatarMatResID[[#This Row],[SexID]]*1000+AvatarMatResID[[#This Row],[CountIndex]]</f>
        <v>12223</v>
      </c>
      <c r="G893">
        <f>VLOOKUP(AvatarMatResID[[#This Row],[AvatarPart]],AvatarPartID[],2,0)</f>
        <v>1</v>
      </c>
      <c r="H893">
        <f>VLOOKUP(AvatarMatResID[[#This Row],[Sex]],SexID[],2,0)</f>
        <v>2</v>
      </c>
      <c r="I893" t="str">
        <f>AvatarMatResID[[#This Row],[Material]]</f>
        <v>Male Black Wizard 05 Brown</v>
      </c>
    </row>
    <row r="894" spans="1:9" x14ac:dyDescent="0.15">
      <c r="A894" t="s">
        <v>454</v>
      </c>
      <c r="B894" t="s">
        <v>1923</v>
      </c>
      <c r="C894" t="s">
        <v>1249</v>
      </c>
      <c r="D894">
        <v>224</v>
      </c>
      <c r="F894">
        <f>OUTPUTAvatarMatResID[[#This Row],[AvatarPartID]]*10000+OUTPUTAvatarMatResID[[#This Row],[SexID]]*1000+AvatarMatResID[[#This Row],[CountIndex]]</f>
        <v>12224</v>
      </c>
      <c r="G894">
        <f>VLOOKUP(AvatarMatResID[[#This Row],[AvatarPart]],AvatarPartID[],2,0)</f>
        <v>1</v>
      </c>
      <c r="H894">
        <f>VLOOKUP(AvatarMatResID[[#This Row],[Sex]],SexID[],2,0)</f>
        <v>2</v>
      </c>
      <c r="I894" t="str">
        <f>AvatarMatResID[[#This Row],[Material]]</f>
        <v>Male Black Wizard 05 Green</v>
      </c>
    </row>
    <row r="895" spans="1:9" x14ac:dyDescent="0.15">
      <c r="A895" t="s">
        <v>454</v>
      </c>
      <c r="B895" t="s">
        <v>1923</v>
      </c>
      <c r="C895" t="s">
        <v>1250</v>
      </c>
      <c r="D895">
        <v>225</v>
      </c>
      <c r="F895">
        <f>OUTPUTAvatarMatResID[[#This Row],[AvatarPartID]]*10000+OUTPUTAvatarMatResID[[#This Row],[SexID]]*1000+AvatarMatResID[[#This Row],[CountIndex]]</f>
        <v>12225</v>
      </c>
      <c r="G895">
        <f>VLOOKUP(AvatarMatResID[[#This Row],[AvatarPart]],AvatarPartID[],2,0)</f>
        <v>1</v>
      </c>
      <c r="H895">
        <f>VLOOKUP(AvatarMatResID[[#This Row],[Sex]],SexID[],2,0)</f>
        <v>2</v>
      </c>
      <c r="I895" t="str">
        <f>AvatarMatResID[[#This Row],[Material]]</f>
        <v>Male Black Wizard 05 Magenta</v>
      </c>
    </row>
    <row r="896" spans="1:9" x14ac:dyDescent="0.15">
      <c r="A896" t="s">
        <v>454</v>
      </c>
      <c r="B896" t="s">
        <v>1923</v>
      </c>
      <c r="C896" t="s">
        <v>1251</v>
      </c>
      <c r="D896">
        <v>226</v>
      </c>
      <c r="F896">
        <f>OUTPUTAvatarMatResID[[#This Row],[AvatarPartID]]*10000+OUTPUTAvatarMatResID[[#This Row],[SexID]]*1000+AvatarMatResID[[#This Row],[CountIndex]]</f>
        <v>12226</v>
      </c>
      <c r="G896">
        <f>VLOOKUP(AvatarMatResID[[#This Row],[AvatarPart]],AvatarPartID[],2,0)</f>
        <v>1</v>
      </c>
      <c r="H896">
        <f>VLOOKUP(AvatarMatResID[[#This Row],[Sex]],SexID[],2,0)</f>
        <v>2</v>
      </c>
      <c r="I896" t="str">
        <f>AvatarMatResID[[#This Row],[Material]]</f>
        <v>Male Black Wizard 05 Purple</v>
      </c>
    </row>
    <row r="897" spans="1:9" x14ac:dyDescent="0.15">
      <c r="A897" t="s">
        <v>454</v>
      </c>
      <c r="B897" t="s">
        <v>1923</v>
      </c>
      <c r="C897" t="s">
        <v>1252</v>
      </c>
      <c r="D897">
        <v>227</v>
      </c>
      <c r="F897">
        <f>OUTPUTAvatarMatResID[[#This Row],[AvatarPartID]]*10000+OUTPUTAvatarMatResID[[#This Row],[SexID]]*1000+AvatarMatResID[[#This Row],[CountIndex]]</f>
        <v>12227</v>
      </c>
      <c r="G897">
        <f>VLOOKUP(AvatarMatResID[[#This Row],[AvatarPart]],AvatarPartID[],2,0)</f>
        <v>1</v>
      </c>
      <c r="H897">
        <f>VLOOKUP(AvatarMatResID[[#This Row],[Sex]],SexID[],2,0)</f>
        <v>2</v>
      </c>
      <c r="I897" t="str">
        <f>AvatarMatResID[[#This Row],[Material]]</f>
        <v>Male Black Wizard 05 Red</v>
      </c>
    </row>
    <row r="898" spans="1:9" x14ac:dyDescent="0.15">
      <c r="A898" t="s">
        <v>454</v>
      </c>
      <c r="B898" t="s">
        <v>1923</v>
      </c>
      <c r="C898" t="s">
        <v>1253</v>
      </c>
      <c r="D898">
        <v>228</v>
      </c>
      <c r="F898">
        <f>OUTPUTAvatarMatResID[[#This Row],[AvatarPartID]]*10000+OUTPUTAvatarMatResID[[#This Row],[SexID]]*1000+AvatarMatResID[[#This Row],[CountIndex]]</f>
        <v>12228</v>
      </c>
      <c r="G898">
        <f>VLOOKUP(AvatarMatResID[[#This Row],[AvatarPart]],AvatarPartID[],2,0)</f>
        <v>1</v>
      </c>
      <c r="H898">
        <f>VLOOKUP(AvatarMatResID[[#This Row],[Sex]],SexID[],2,0)</f>
        <v>2</v>
      </c>
      <c r="I898" t="str">
        <f>AvatarMatResID[[#This Row],[Material]]</f>
        <v>Male Black Wizard 05 White</v>
      </c>
    </row>
    <row r="899" spans="1:9" x14ac:dyDescent="0.15">
      <c r="A899" t="s">
        <v>454</v>
      </c>
      <c r="B899" t="s">
        <v>1923</v>
      </c>
      <c r="C899" t="s">
        <v>1254</v>
      </c>
      <c r="D899">
        <v>229</v>
      </c>
      <c r="F899">
        <f>OUTPUTAvatarMatResID[[#This Row],[AvatarPartID]]*10000+OUTPUTAvatarMatResID[[#This Row],[SexID]]*1000+AvatarMatResID[[#This Row],[CountIndex]]</f>
        <v>12229</v>
      </c>
      <c r="G899">
        <f>VLOOKUP(AvatarMatResID[[#This Row],[AvatarPart]],AvatarPartID[],2,0)</f>
        <v>1</v>
      </c>
      <c r="H899">
        <f>VLOOKUP(AvatarMatResID[[#This Row],[Sex]],SexID[],2,0)</f>
        <v>2</v>
      </c>
      <c r="I899" t="str">
        <f>AvatarMatResID[[#This Row],[Material]]</f>
        <v>Male Black Wizard 06 Black</v>
      </c>
    </row>
    <row r="900" spans="1:9" x14ac:dyDescent="0.15">
      <c r="A900" t="s">
        <v>454</v>
      </c>
      <c r="B900" t="s">
        <v>1923</v>
      </c>
      <c r="C900" t="s">
        <v>1255</v>
      </c>
      <c r="D900">
        <v>230</v>
      </c>
      <c r="F900">
        <f>OUTPUTAvatarMatResID[[#This Row],[AvatarPartID]]*10000+OUTPUTAvatarMatResID[[#This Row],[SexID]]*1000+AvatarMatResID[[#This Row],[CountIndex]]</f>
        <v>12230</v>
      </c>
      <c r="G900">
        <f>VLOOKUP(AvatarMatResID[[#This Row],[AvatarPart]],AvatarPartID[],2,0)</f>
        <v>1</v>
      </c>
      <c r="H900">
        <f>VLOOKUP(AvatarMatResID[[#This Row],[Sex]],SexID[],2,0)</f>
        <v>2</v>
      </c>
      <c r="I900" t="str">
        <f>AvatarMatResID[[#This Row],[Material]]</f>
        <v>Male Black Wizard 06 Blue</v>
      </c>
    </row>
    <row r="901" spans="1:9" x14ac:dyDescent="0.15">
      <c r="A901" t="s">
        <v>454</v>
      </c>
      <c r="B901" t="s">
        <v>1923</v>
      </c>
      <c r="C901" t="s">
        <v>1256</v>
      </c>
      <c r="D901">
        <v>231</v>
      </c>
      <c r="F901">
        <f>OUTPUTAvatarMatResID[[#This Row],[AvatarPartID]]*10000+OUTPUTAvatarMatResID[[#This Row],[SexID]]*1000+AvatarMatResID[[#This Row],[CountIndex]]</f>
        <v>12231</v>
      </c>
      <c r="G901">
        <f>VLOOKUP(AvatarMatResID[[#This Row],[AvatarPart]],AvatarPartID[],2,0)</f>
        <v>1</v>
      </c>
      <c r="H901">
        <f>VLOOKUP(AvatarMatResID[[#This Row],[Sex]],SexID[],2,0)</f>
        <v>2</v>
      </c>
      <c r="I901" t="str">
        <f>AvatarMatResID[[#This Row],[Material]]</f>
        <v>Male Black Wizard 06 Brown</v>
      </c>
    </row>
    <row r="902" spans="1:9" x14ac:dyDescent="0.15">
      <c r="A902" t="s">
        <v>454</v>
      </c>
      <c r="B902" t="s">
        <v>1923</v>
      </c>
      <c r="C902" t="s">
        <v>1257</v>
      </c>
      <c r="D902">
        <v>232</v>
      </c>
      <c r="F902">
        <f>OUTPUTAvatarMatResID[[#This Row],[AvatarPartID]]*10000+OUTPUTAvatarMatResID[[#This Row],[SexID]]*1000+AvatarMatResID[[#This Row],[CountIndex]]</f>
        <v>12232</v>
      </c>
      <c r="G902">
        <f>VLOOKUP(AvatarMatResID[[#This Row],[AvatarPart]],AvatarPartID[],2,0)</f>
        <v>1</v>
      </c>
      <c r="H902">
        <f>VLOOKUP(AvatarMatResID[[#This Row],[Sex]],SexID[],2,0)</f>
        <v>2</v>
      </c>
      <c r="I902" t="str">
        <f>AvatarMatResID[[#This Row],[Material]]</f>
        <v>Male Black Wizard 06 Green</v>
      </c>
    </row>
    <row r="903" spans="1:9" x14ac:dyDescent="0.15">
      <c r="A903" t="s">
        <v>454</v>
      </c>
      <c r="B903" t="s">
        <v>1923</v>
      </c>
      <c r="C903" t="s">
        <v>1258</v>
      </c>
      <c r="D903">
        <v>233</v>
      </c>
      <c r="F903">
        <f>OUTPUTAvatarMatResID[[#This Row],[AvatarPartID]]*10000+OUTPUTAvatarMatResID[[#This Row],[SexID]]*1000+AvatarMatResID[[#This Row],[CountIndex]]</f>
        <v>12233</v>
      </c>
      <c r="G903">
        <f>VLOOKUP(AvatarMatResID[[#This Row],[AvatarPart]],AvatarPartID[],2,0)</f>
        <v>1</v>
      </c>
      <c r="H903">
        <f>VLOOKUP(AvatarMatResID[[#This Row],[Sex]],SexID[],2,0)</f>
        <v>2</v>
      </c>
      <c r="I903" t="str">
        <f>AvatarMatResID[[#This Row],[Material]]</f>
        <v>Male Black Wizard 06 Magenta</v>
      </c>
    </row>
    <row r="904" spans="1:9" x14ac:dyDescent="0.15">
      <c r="A904" t="s">
        <v>454</v>
      </c>
      <c r="B904" t="s">
        <v>1923</v>
      </c>
      <c r="C904" t="s">
        <v>1259</v>
      </c>
      <c r="D904">
        <v>234</v>
      </c>
      <c r="F904">
        <f>OUTPUTAvatarMatResID[[#This Row],[AvatarPartID]]*10000+OUTPUTAvatarMatResID[[#This Row],[SexID]]*1000+AvatarMatResID[[#This Row],[CountIndex]]</f>
        <v>12234</v>
      </c>
      <c r="G904">
        <f>VLOOKUP(AvatarMatResID[[#This Row],[AvatarPart]],AvatarPartID[],2,0)</f>
        <v>1</v>
      </c>
      <c r="H904">
        <f>VLOOKUP(AvatarMatResID[[#This Row],[Sex]],SexID[],2,0)</f>
        <v>2</v>
      </c>
      <c r="I904" t="str">
        <f>AvatarMatResID[[#This Row],[Material]]</f>
        <v>Male Black Wizard 06 Purple</v>
      </c>
    </row>
    <row r="905" spans="1:9" x14ac:dyDescent="0.15">
      <c r="A905" t="s">
        <v>454</v>
      </c>
      <c r="B905" t="s">
        <v>1923</v>
      </c>
      <c r="C905" t="s">
        <v>1260</v>
      </c>
      <c r="D905">
        <v>235</v>
      </c>
      <c r="F905">
        <f>OUTPUTAvatarMatResID[[#This Row],[AvatarPartID]]*10000+OUTPUTAvatarMatResID[[#This Row],[SexID]]*1000+AvatarMatResID[[#This Row],[CountIndex]]</f>
        <v>12235</v>
      </c>
      <c r="G905">
        <f>VLOOKUP(AvatarMatResID[[#This Row],[AvatarPart]],AvatarPartID[],2,0)</f>
        <v>1</v>
      </c>
      <c r="H905">
        <f>VLOOKUP(AvatarMatResID[[#This Row],[Sex]],SexID[],2,0)</f>
        <v>2</v>
      </c>
      <c r="I905" t="str">
        <f>AvatarMatResID[[#This Row],[Material]]</f>
        <v>Male Black Wizard 06 Red</v>
      </c>
    </row>
    <row r="906" spans="1:9" x14ac:dyDescent="0.15">
      <c r="A906" t="s">
        <v>454</v>
      </c>
      <c r="B906" t="s">
        <v>1923</v>
      </c>
      <c r="C906" t="s">
        <v>1261</v>
      </c>
      <c r="D906">
        <v>236</v>
      </c>
      <c r="F906">
        <f>OUTPUTAvatarMatResID[[#This Row],[AvatarPartID]]*10000+OUTPUTAvatarMatResID[[#This Row],[SexID]]*1000+AvatarMatResID[[#This Row],[CountIndex]]</f>
        <v>12236</v>
      </c>
      <c r="G906">
        <f>VLOOKUP(AvatarMatResID[[#This Row],[AvatarPart]],AvatarPartID[],2,0)</f>
        <v>1</v>
      </c>
      <c r="H906">
        <f>VLOOKUP(AvatarMatResID[[#This Row],[Sex]],SexID[],2,0)</f>
        <v>2</v>
      </c>
      <c r="I906" t="str">
        <f>AvatarMatResID[[#This Row],[Material]]</f>
        <v>Male Black Wizard 06 White</v>
      </c>
    </row>
    <row r="907" spans="1:9" x14ac:dyDescent="0.15">
      <c r="A907" t="s">
        <v>454</v>
      </c>
      <c r="B907" t="s">
        <v>1923</v>
      </c>
      <c r="C907" t="s">
        <v>1262</v>
      </c>
      <c r="D907">
        <v>237</v>
      </c>
      <c r="F907">
        <f>OUTPUTAvatarMatResID[[#This Row],[AvatarPartID]]*10000+OUTPUTAvatarMatResID[[#This Row],[SexID]]*1000+AvatarMatResID[[#This Row],[CountIndex]]</f>
        <v>12237</v>
      </c>
      <c r="G907">
        <f>VLOOKUP(AvatarMatResID[[#This Row],[AvatarPart]],AvatarPartID[],2,0)</f>
        <v>1</v>
      </c>
      <c r="H907">
        <f>VLOOKUP(AvatarMatResID[[#This Row],[Sex]],SexID[],2,0)</f>
        <v>2</v>
      </c>
      <c r="I907" t="str">
        <f>AvatarMatResID[[#This Row],[Material]]</f>
        <v>Male Brown Archer 01 Black</v>
      </c>
    </row>
    <row r="908" spans="1:9" x14ac:dyDescent="0.15">
      <c r="A908" t="s">
        <v>454</v>
      </c>
      <c r="B908" t="s">
        <v>1923</v>
      </c>
      <c r="C908" t="s">
        <v>1263</v>
      </c>
      <c r="D908">
        <v>238</v>
      </c>
      <c r="F908">
        <f>OUTPUTAvatarMatResID[[#This Row],[AvatarPartID]]*10000+OUTPUTAvatarMatResID[[#This Row],[SexID]]*1000+AvatarMatResID[[#This Row],[CountIndex]]</f>
        <v>12238</v>
      </c>
      <c r="G908">
        <f>VLOOKUP(AvatarMatResID[[#This Row],[AvatarPart]],AvatarPartID[],2,0)</f>
        <v>1</v>
      </c>
      <c r="H908">
        <f>VLOOKUP(AvatarMatResID[[#This Row],[Sex]],SexID[],2,0)</f>
        <v>2</v>
      </c>
      <c r="I908" t="str">
        <f>AvatarMatResID[[#This Row],[Material]]</f>
        <v>Male Brown Archer 01 Blue</v>
      </c>
    </row>
    <row r="909" spans="1:9" x14ac:dyDescent="0.15">
      <c r="A909" t="s">
        <v>454</v>
      </c>
      <c r="B909" t="s">
        <v>1923</v>
      </c>
      <c r="C909" t="s">
        <v>1264</v>
      </c>
      <c r="D909">
        <v>239</v>
      </c>
      <c r="F909">
        <f>OUTPUTAvatarMatResID[[#This Row],[AvatarPartID]]*10000+OUTPUTAvatarMatResID[[#This Row],[SexID]]*1000+AvatarMatResID[[#This Row],[CountIndex]]</f>
        <v>12239</v>
      </c>
      <c r="G909">
        <f>VLOOKUP(AvatarMatResID[[#This Row],[AvatarPart]],AvatarPartID[],2,0)</f>
        <v>1</v>
      </c>
      <c r="H909">
        <f>VLOOKUP(AvatarMatResID[[#This Row],[Sex]],SexID[],2,0)</f>
        <v>2</v>
      </c>
      <c r="I909" t="str">
        <f>AvatarMatResID[[#This Row],[Material]]</f>
        <v>Male Brown Archer 01 Green</v>
      </c>
    </row>
    <row r="910" spans="1:9" x14ac:dyDescent="0.15">
      <c r="A910" t="s">
        <v>454</v>
      </c>
      <c r="B910" t="s">
        <v>1923</v>
      </c>
      <c r="C910" t="s">
        <v>1265</v>
      </c>
      <c r="D910">
        <v>240</v>
      </c>
      <c r="F910">
        <f>OUTPUTAvatarMatResID[[#This Row],[AvatarPartID]]*10000+OUTPUTAvatarMatResID[[#This Row],[SexID]]*1000+AvatarMatResID[[#This Row],[CountIndex]]</f>
        <v>12240</v>
      </c>
      <c r="G910">
        <f>VLOOKUP(AvatarMatResID[[#This Row],[AvatarPart]],AvatarPartID[],2,0)</f>
        <v>1</v>
      </c>
      <c r="H910">
        <f>VLOOKUP(AvatarMatResID[[#This Row],[Sex]],SexID[],2,0)</f>
        <v>2</v>
      </c>
      <c r="I910" t="str">
        <f>AvatarMatResID[[#This Row],[Material]]</f>
        <v>Male Brown Archer 01 Maroon</v>
      </c>
    </row>
    <row r="911" spans="1:9" x14ac:dyDescent="0.15">
      <c r="A911" t="s">
        <v>454</v>
      </c>
      <c r="B911" t="s">
        <v>1923</v>
      </c>
      <c r="C911" t="s">
        <v>1266</v>
      </c>
      <c r="D911">
        <v>241</v>
      </c>
      <c r="F911">
        <f>OUTPUTAvatarMatResID[[#This Row],[AvatarPartID]]*10000+OUTPUTAvatarMatResID[[#This Row],[SexID]]*1000+AvatarMatResID[[#This Row],[CountIndex]]</f>
        <v>12241</v>
      </c>
      <c r="G911">
        <f>VLOOKUP(AvatarMatResID[[#This Row],[AvatarPart]],AvatarPartID[],2,0)</f>
        <v>1</v>
      </c>
      <c r="H911">
        <f>VLOOKUP(AvatarMatResID[[#This Row],[Sex]],SexID[],2,0)</f>
        <v>2</v>
      </c>
      <c r="I911" t="str">
        <f>AvatarMatResID[[#This Row],[Material]]</f>
        <v>Male Brown Archer 01 Olive</v>
      </c>
    </row>
    <row r="912" spans="1:9" x14ac:dyDescent="0.15">
      <c r="A912" t="s">
        <v>454</v>
      </c>
      <c r="B912" t="s">
        <v>1923</v>
      </c>
      <c r="C912" t="s">
        <v>1267</v>
      </c>
      <c r="D912">
        <v>242</v>
      </c>
      <c r="F912">
        <f>OUTPUTAvatarMatResID[[#This Row],[AvatarPartID]]*10000+OUTPUTAvatarMatResID[[#This Row],[SexID]]*1000+AvatarMatResID[[#This Row],[CountIndex]]</f>
        <v>12242</v>
      </c>
      <c r="G912">
        <f>VLOOKUP(AvatarMatResID[[#This Row],[AvatarPart]],AvatarPartID[],2,0)</f>
        <v>1</v>
      </c>
      <c r="H912">
        <f>VLOOKUP(AvatarMatResID[[#This Row],[Sex]],SexID[],2,0)</f>
        <v>2</v>
      </c>
      <c r="I912" t="str">
        <f>AvatarMatResID[[#This Row],[Material]]</f>
        <v>Male Brown Archer 01 Purple</v>
      </c>
    </row>
    <row r="913" spans="1:9" x14ac:dyDescent="0.15">
      <c r="A913" t="s">
        <v>454</v>
      </c>
      <c r="B913" t="s">
        <v>1923</v>
      </c>
      <c r="C913" t="s">
        <v>1268</v>
      </c>
      <c r="D913">
        <v>243</v>
      </c>
      <c r="F913">
        <f>OUTPUTAvatarMatResID[[#This Row],[AvatarPartID]]*10000+OUTPUTAvatarMatResID[[#This Row],[SexID]]*1000+AvatarMatResID[[#This Row],[CountIndex]]</f>
        <v>12243</v>
      </c>
      <c r="G913">
        <f>VLOOKUP(AvatarMatResID[[#This Row],[AvatarPart]],AvatarPartID[],2,0)</f>
        <v>1</v>
      </c>
      <c r="H913">
        <f>VLOOKUP(AvatarMatResID[[#This Row],[Sex]],SexID[],2,0)</f>
        <v>2</v>
      </c>
      <c r="I913" t="str">
        <f>AvatarMatResID[[#This Row],[Material]]</f>
        <v>Male Brown Archer 01 White</v>
      </c>
    </row>
    <row r="914" spans="1:9" x14ac:dyDescent="0.15">
      <c r="A914" t="s">
        <v>454</v>
      </c>
      <c r="B914" t="s">
        <v>1923</v>
      </c>
      <c r="C914" t="s">
        <v>1269</v>
      </c>
      <c r="D914">
        <v>244</v>
      </c>
      <c r="F914">
        <f>OUTPUTAvatarMatResID[[#This Row],[AvatarPartID]]*10000+OUTPUTAvatarMatResID[[#This Row],[SexID]]*1000+AvatarMatResID[[#This Row],[CountIndex]]</f>
        <v>12244</v>
      </c>
      <c r="G914">
        <f>VLOOKUP(AvatarMatResID[[#This Row],[AvatarPart]],AvatarPartID[],2,0)</f>
        <v>1</v>
      </c>
      <c r="H914">
        <f>VLOOKUP(AvatarMatResID[[#This Row],[Sex]],SexID[],2,0)</f>
        <v>2</v>
      </c>
      <c r="I914" t="str">
        <f>AvatarMatResID[[#This Row],[Material]]</f>
        <v>Male Brown Archer 02 Blue</v>
      </c>
    </row>
    <row r="915" spans="1:9" x14ac:dyDescent="0.15">
      <c r="A915" t="s">
        <v>454</v>
      </c>
      <c r="B915" t="s">
        <v>1923</v>
      </c>
      <c r="C915" t="s">
        <v>1270</v>
      </c>
      <c r="D915">
        <v>245</v>
      </c>
      <c r="F915">
        <f>OUTPUTAvatarMatResID[[#This Row],[AvatarPartID]]*10000+OUTPUTAvatarMatResID[[#This Row],[SexID]]*1000+AvatarMatResID[[#This Row],[CountIndex]]</f>
        <v>12245</v>
      </c>
      <c r="G915">
        <f>VLOOKUP(AvatarMatResID[[#This Row],[AvatarPart]],AvatarPartID[],2,0)</f>
        <v>1</v>
      </c>
      <c r="H915">
        <f>VLOOKUP(AvatarMatResID[[#This Row],[Sex]],SexID[],2,0)</f>
        <v>2</v>
      </c>
      <c r="I915" t="str">
        <f>AvatarMatResID[[#This Row],[Material]]</f>
        <v>Male Brown Archer 02 Green</v>
      </c>
    </row>
    <row r="916" spans="1:9" x14ac:dyDescent="0.15">
      <c r="A916" t="s">
        <v>454</v>
      </c>
      <c r="B916" t="s">
        <v>1923</v>
      </c>
      <c r="C916" t="s">
        <v>1271</v>
      </c>
      <c r="D916">
        <v>246</v>
      </c>
      <c r="F916">
        <f>OUTPUTAvatarMatResID[[#This Row],[AvatarPartID]]*10000+OUTPUTAvatarMatResID[[#This Row],[SexID]]*1000+AvatarMatResID[[#This Row],[CountIndex]]</f>
        <v>12246</v>
      </c>
      <c r="G916">
        <f>VLOOKUP(AvatarMatResID[[#This Row],[AvatarPart]],AvatarPartID[],2,0)</f>
        <v>1</v>
      </c>
      <c r="H916">
        <f>VLOOKUP(AvatarMatResID[[#This Row],[Sex]],SexID[],2,0)</f>
        <v>2</v>
      </c>
      <c r="I916" t="str">
        <f>AvatarMatResID[[#This Row],[Material]]</f>
        <v>Male Brown Archer 02 Olive</v>
      </c>
    </row>
    <row r="917" spans="1:9" x14ac:dyDescent="0.15">
      <c r="A917" t="s">
        <v>454</v>
      </c>
      <c r="B917" t="s">
        <v>1923</v>
      </c>
      <c r="C917" t="s">
        <v>1272</v>
      </c>
      <c r="D917">
        <v>247</v>
      </c>
      <c r="F917">
        <f>OUTPUTAvatarMatResID[[#This Row],[AvatarPartID]]*10000+OUTPUTAvatarMatResID[[#This Row],[SexID]]*1000+AvatarMatResID[[#This Row],[CountIndex]]</f>
        <v>12247</v>
      </c>
      <c r="G917">
        <f>VLOOKUP(AvatarMatResID[[#This Row],[AvatarPart]],AvatarPartID[],2,0)</f>
        <v>1</v>
      </c>
      <c r="H917">
        <f>VLOOKUP(AvatarMatResID[[#This Row],[Sex]],SexID[],2,0)</f>
        <v>2</v>
      </c>
      <c r="I917" t="str">
        <f>AvatarMatResID[[#This Row],[Material]]</f>
        <v>Male Brown Archer 02 Purple</v>
      </c>
    </row>
    <row r="918" spans="1:9" x14ac:dyDescent="0.15">
      <c r="A918" t="s">
        <v>454</v>
      </c>
      <c r="B918" t="s">
        <v>1923</v>
      </c>
      <c r="C918" t="s">
        <v>1273</v>
      </c>
      <c r="D918">
        <v>248</v>
      </c>
      <c r="F918">
        <f>OUTPUTAvatarMatResID[[#This Row],[AvatarPartID]]*10000+OUTPUTAvatarMatResID[[#This Row],[SexID]]*1000+AvatarMatResID[[#This Row],[CountIndex]]</f>
        <v>12248</v>
      </c>
      <c r="G918">
        <f>VLOOKUP(AvatarMatResID[[#This Row],[AvatarPart]],AvatarPartID[],2,0)</f>
        <v>1</v>
      </c>
      <c r="H918">
        <f>VLOOKUP(AvatarMatResID[[#This Row],[Sex]],SexID[],2,0)</f>
        <v>2</v>
      </c>
      <c r="I918" t="str">
        <f>AvatarMatResID[[#This Row],[Material]]</f>
        <v>Male Brown Archer 02 Red</v>
      </c>
    </row>
    <row r="919" spans="1:9" x14ac:dyDescent="0.15">
      <c r="A919" t="s">
        <v>454</v>
      </c>
      <c r="B919" t="s">
        <v>1923</v>
      </c>
      <c r="C919" t="s">
        <v>1274</v>
      </c>
      <c r="D919">
        <v>249</v>
      </c>
      <c r="F919">
        <f>OUTPUTAvatarMatResID[[#This Row],[AvatarPartID]]*10000+OUTPUTAvatarMatResID[[#This Row],[SexID]]*1000+AvatarMatResID[[#This Row],[CountIndex]]</f>
        <v>12249</v>
      </c>
      <c r="G919">
        <f>VLOOKUP(AvatarMatResID[[#This Row],[AvatarPart]],AvatarPartID[],2,0)</f>
        <v>1</v>
      </c>
      <c r="H919">
        <f>VLOOKUP(AvatarMatResID[[#This Row],[Sex]],SexID[],2,0)</f>
        <v>2</v>
      </c>
      <c r="I919" t="str">
        <f>AvatarMatResID[[#This Row],[Material]]</f>
        <v>Male Brown Archer 02 White</v>
      </c>
    </row>
    <row r="920" spans="1:9" x14ac:dyDescent="0.15">
      <c r="A920" t="s">
        <v>454</v>
      </c>
      <c r="B920" t="s">
        <v>1923</v>
      </c>
      <c r="C920" t="s">
        <v>1275</v>
      </c>
      <c r="D920">
        <v>250</v>
      </c>
      <c r="F920">
        <f>OUTPUTAvatarMatResID[[#This Row],[AvatarPartID]]*10000+OUTPUTAvatarMatResID[[#This Row],[SexID]]*1000+AvatarMatResID[[#This Row],[CountIndex]]</f>
        <v>12250</v>
      </c>
      <c r="G920">
        <f>VLOOKUP(AvatarMatResID[[#This Row],[AvatarPart]],AvatarPartID[],2,0)</f>
        <v>1</v>
      </c>
      <c r="H920">
        <f>VLOOKUP(AvatarMatResID[[#This Row],[Sex]],SexID[],2,0)</f>
        <v>2</v>
      </c>
      <c r="I920" t="str">
        <f>AvatarMatResID[[#This Row],[Material]]</f>
        <v>Male Brown Archer 03 Black</v>
      </c>
    </row>
    <row r="921" spans="1:9" x14ac:dyDescent="0.15">
      <c r="A921" t="s">
        <v>454</v>
      </c>
      <c r="B921" t="s">
        <v>1923</v>
      </c>
      <c r="C921" t="s">
        <v>1276</v>
      </c>
      <c r="D921">
        <v>251</v>
      </c>
      <c r="F921">
        <f>OUTPUTAvatarMatResID[[#This Row],[AvatarPartID]]*10000+OUTPUTAvatarMatResID[[#This Row],[SexID]]*1000+AvatarMatResID[[#This Row],[CountIndex]]</f>
        <v>12251</v>
      </c>
      <c r="G921">
        <f>VLOOKUP(AvatarMatResID[[#This Row],[AvatarPart]],AvatarPartID[],2,0)</f>
        <v>1</v>
      </c>
      <c r="H921">
        <f>VLOOKUP(AvatarMatResID[[#This Row],[Sex]],SexID[],2,0)</f>
        <v>2</v>
      </c>
      <c r="I921" t="str">
        <f>AvatarMatResID[[#This Row],[Material]]</f>
        <v>Male Brown Archer 03 Blue</v>
      </c>
    </row>
    <row r="922" spans="1:9" x14ac:dyDescent="0.15">
      <c r="A922" t="s">
        <v>454</v>
      </c>
      <c r="B922" t="s">
        <v>1923</v>
      </c>
      <c r="C922" t="s">
        <v>1277</v>
      </c>
      <c r="D922">
        <v>252</v>
      </c>
      <c r="F922">
        <f>OUTPUTAvatarMatResID[[#This Row],[AvatarPartID]]*10000+OUTPUTAvatarMatResID[[#This Row],[SexID]]*1000+AvatarMatResID[[#This Row],[CountIndex]]</f>
        <v>12252</v>
      </c>
      <c r="G922">
        <f>VLOOKUP(AvatarMatResID[[#This Row],[AvatarPart]],AvatarPartID[],2,0)</f>
        <v>1</v>
      </c>
      <c r="H922">
        <f>VLOOKUP(AvatarMatResID[[#This Row],[Sex]],SexID[],2,0)</f>
        <v>2</v>
      </c>
      <c r="I922" t="str">
        <f>AvatarMatResID[[#This Row],[Material]]</f>
        <v>Male Brown Archer 03 Green</v>
      </c>
    </row>
    <row r="923" spans="1:9" x14ac:dyDescent="0.15">
      <c r="A923" t="s">
        <v>454</v>
      </c>
      <c r="B923" t="s">
        <v>1923</v>
      </c>
      <c r="C923" t="s">
        <v>1278</v>
      </c>
      <c r="D923">
        <v>253</v>
      </c>
      <c r="F923">
        <f>OUTPUTAvatarMatResID[[#This Row],[AvatarPartID]]*10000+OUTPUTAvatarMatResID[[#This Row],[SexID]]*1000+AvatarMatResID[[#This Row],[CountIndex]]</f>
        <v>12253</v>
      </c>
      <c r="G923">
        <f>VLOOKUP(AvatarMatResID[[#This Row],[AvatarPart]],AvatarPartID[],2,0)</f>
        <v>1</v>
      </c>
      <c r="H923">
        <f>VLOOKUP(AvatarMatResID[[#This Row],[Sex]],SexID[],2,0)</f>
        <v>2</v>
      </c>
      <c r="I923" t="str">
        <f>AvatarMatResID[[#This Row],[Material]]</f>
        <v>Male Brown Archer 03 Magenta</v>
      </c>
    </row>
    <row r="924" spans="1:9" x14ac:dyDescent="0.15">
      <c r="A924" t="s">
        <v>454</v>
      </c>
      <c r="B924" t="s">
        <v>1923</v>
      </c>
      <c r="C924" t="s">
        <v>1279</v>
      </c>
      <c r="D924">
        <v>254</v>
      </c>
      <c r="F924">
        <f>OUTPUTAvatarMatResID[[#This Row],[AvatarPartID]]*10000+OUTPUTAvatarMatResID[[#This Row],[SexID]]*1000+AvatarMatResID[[#This Row],[CountIndex]]</f>
        <v>12254</v>
      </c>
      <c r="G924">
        <f>VLOOKUP(AvatarMatResID[[#This Row],[AvatarPart]],AvatarPartID[],2,0)</f>
        <v>1</v>
      </c>
      <c r="H924">
        <f>VLOOKUP(AvatarMatResID[[#This Row],[Sex]],SexID[],2,0)</f>
        <v>2</v>
      </c>
      <c r="I924" t="str">
        <f>AvatarMatResID[[#This Row],[Material]]</f>
        <v>Male Brown Archer 03 Purple</v>
      </c>
    </row>
    <row r="925" spans="1:9" x14ac:dyDescent="0.15">
      <c r="A925" t="s">
        <v>454</v>
      </c>
      <c r="B925" t="s">
        <v>1923</v>
      </c>
      <c r="C925" t="s">
        <v>1280</v>
      </c>
      <c r="D925">
        <v>255</v>
      </c>
      <c r="F925">
        <f>OUTPUTAvatarMatResID[[#This Row],[AvatarPartID]]*10000+OUTPUTAvatarMatResID[[#This Row],[SexID]]*1000+AvatarMatResID[[#This Row],[CountIndex]]</f>
        <v>12255</v>
      </c>
      <c r="G925">
        <f>VLOOKUP(AvatarMatResID[[#This Row],[AvatarPart]],AvatarPartID[],2,0)</f>
        <v>1</v>
      </c>
      <c r="H925">
        <f>VLOOKUP(AvatarMatResID[[#This Row],[Sex]],SexID[],2,0)</f>
        <v>2</v>
      </c>
      <c r="I925" t="str">
        <f>AvatarMatResID[[#This Row],[Material]]</f>
        <v>Male Brown Archer 03 Red</v>
      </c>
    </row>
    <row r="926" spans="1:9" x14ac:dyDescent="0.15">
      <c r="A926" t="s">
        <v>454</v>
      </c>
      <c r="B926" t="s">
        <v>1923</v>
      </c>
      <c r="C926" t="s">
        <v>1281</v>
      </c>
      <c r="D926">
        <v>256</v>
      </c>
      <c r="F926">
        <f>OUTPUTAvatarMatResID[[#This Row],[AvatarPartID]]*10000+OUTPUTAvatarMatResID[[#This Row],[SexID]]*1000+AvatarMatResID[[#This Row],[CountIndex]]</f>
        <v>12256</v>
      </c>
      <c r="G926">
        <f>VLOOKUP(AvatarMatResID[[#This Row],[AvatarPart]],AvatarPartID[],2,0)</f>
        <v>1</v>
      </c>
      <c r="H926">
        <f>VLOOKUP(AvatarMatResID[[#This Row],[Sex]],SexID[],2,0)</f>
        <v>2</v>
      </c>
      <c r="I926" t="str">
        <f>AvatarMatResID[[#This Row],[Material]]</f>
        <v>Male Brown Archer 03 White</v>
      </c>
    </row>
    <row r="927" spans="1:9" x14ac:dyDescent="0.15">
      <c r="A927" t="s">
        <v>454</v>
      </c>
      <c r="B927" t="s">
        <v>1923</v>
      </c>
      <c r="C927" t="s">
        <v>1282</v>
      </c>
      <c r="D927">
        <v>257</v>
      </c>
      <c r="F927">
        <f>OUTPUTAvatarMatResID[[#This Row],[AvatarPartID]]*10000+OUTPUTAvatarMatResID[[#This Row],[SexID]]*1000+AvatarMatResID[[#This Row],[CountIndex]]</f>
        <v>12257</v>
      </c>
      <c r="G927">
        <f>VLOOKUP(AvatarMatResID[[#This Row],[AvatarPart]],AvatarPartID[],2,0)</f>
        <v>1</v>
      </c>
      <c r="H927">
        <f>VLOOKUP(AvatarMatResID[[#This Row],[Sex]],SexID[],2,0)</f>
        <v>2</v>
      </c>
      <c r="I927" t="str">
        <f>AvatarMatResID[[#This Row],[Material]]</f>
        <v>Male Brown Archer 03 Yellow</v>
      </c>
    </row>
    <row r="928" spans="1:9" x14ac:dyDescent="0.15">
      <c r="A928" t="s">
        <v>454</v>
      </c>
      <c r="B928" t="s">
        <v>1923</v>
      </c>
      <c r="C928" t="s">
        <v>1283</v>
      </c>
      <c r="D928">
        <v>258</v>
      </c>
      <c r="F928">
        <f>OUTPUTAvatarMatResID[[#This Row],[AvatarPartID]]*10000+OUTPUTAvatarMatResID[[#This Row],[SexID]]*1000+AvatarMatResID[[#This Row],[CountIndex]]</f>
        <v>12258</v>
      </c>
      <c r="G928">
        <f>VLOOKUP(AvatarMatResID[[#This Row],[AvatarPart]],AvatarPartID[],2,0)</f>
        <v>1</v>
      </c>
      <c r="H928">
        <f>VLOOKUP(AvatarMatResID[[#This Row],[Sex]],SexID[],2,0)</f>
        <v>2</v>
      </c>
      <c r="I928" t="str">
        <f>AvatarMatResID[[#This Row],[Material]]</f>
        <v>Male Brown Archer 04 Black</v>
      </c>
    </row>
    <row r="929" spans="1:9" x14ac:dyDescent="0.15">
      <c r="A929" t="s">
        <v>454</v>
      </c>
      <c r="B929" t="s">
        <v>1923</v>
      </c>
      <c r="C929" t="s">
        <v>1284</v>
      </c>
      <c r="D929">
        <v>259</v>
      </c>
      <c r="F929">
        <f>OUTPUTAvatarMatResID[[#This Row],[AvatarPartID]]*10000+OUTPUTAvatarMatResID[[#This Row],[SexID]]*1000+AvatarMatResID[[#This Row],[CountIndex]]</f>
        <v>12259</v>
      </c>
      <c r="G929">
        <f>VLOOKUP(AvatarMatResID[[#This Row],[AvatarPart]],AvatarPartID[],2,0)</f>
        <v>1</v>
      </c>
      <c r="H929">
        <f>VLOOKUP(AvatarMatResID[[#This Row],[Sex]],SexID[],2,0)</f>
        <v>2</v>
      </c>
      <c r="I929" t="str">
        <f>AvatarMatResID[[#This Row],[Material]]</f>
        <v>Male Brown Archer 04 Blue</v>
      </c>
    </row>
    <row r="930" spans="1:9" x14ac:dyDescent="0.15">
      <c r="A930" t="s">
        <v>454</v>
      </c>
      <c r="B930" t="s">
        <v>1923</v>
      </c>
      <c r="C930" t="s">
        <v>1285</v>
      </c>
      <c r="D930">
        <v>260</v>
      </c>
      <c r="F930">
        <f>OUTPUTAvatarMatResID[[#This Row],[AvatarPartID]]*10000+OUTPUTAvatarMatResID[[#This Row],[SexID]]*1000+AvatarMatResID[[#This Row],[CountIndex]]</f>
        <v>12260</v>
      </c>
      <c r="G930">
        <f>VLOOKUP(AvatarMatResID[[#This Row],[AvatarPart]],AvatarPartID[],2,0)</f>
        <v>1</v>
      </c>
      <c r="H930">
        <f>VLOOKUP(AvatarMatResID[[#This Row],[Sex]],SexID[],2,0)</f>
        <v>2</v>
      </c>
      <c r="I930" t="str">
        <f>AvatarMatResID[[#This Row],[Material]]</f>
        <v>Male Brown Archer 04 Green</v>
      </c>
    </row>
    <row r="931" spans="1:9" x14ac:dyDescent="0.15">
      <c r="A931" t="s">
        <v>454</v>
      </c>
      <c r="B931" t="s">
        <v>1923</v>
      </c>
      <c r="C931" t="s">
        <v>1286</v>
      </c>
      <c r="D931">
        <v>261</v>
      </c>
      <c r="F931">
        <f>OUTPUTAvatarMatResID[[#This Row],[AvatarPartID]]*10000+OUTPUTAvatarMatResID[[#This Row],[SexID]]*1000+AvatarMatResID[[#This Row],[CountIndex]]</f>
        <v>12261</v>
      </c>
      <c r="G931">
        <f>VLOOKUP(AvatarMatResID[[#This Row],[AvatarPart]],AvatarPartID[],2,0)</f>
        <v>1</v>
      </c>
      <c r="H931">
        <f>VLOOKUP(AvatarMatResID[[#This Row],[Sex]],SexID[],2,0)</f>
        <v>2</v>
      </c>
      <c r="I931" t="str">
        <f>AvatarMatResID[[#This Row],[Material]]</f>
        <v>Male Brown Archer 04 Magenta</v>
      </c>
    </row>
    <row r="932" spans="1:9" x14ac:dyDescent="0.15">
      <c r="A932" t="s">
        <v>454</v>
      </c>
      <c r="B932" t="s">
        <v>1923</v>
      </c>
      <c r="C932" t="s">
        <v>1287</v>
      </c>
      <c r="D932">
        <v>262</v>
      </c>
      <c r="F932">
        <f>OUTPUTAvatarMatResID[[#This Row],[AvatarPartID]]*10000+OUTPUTAvatarMatResID[[#This Row],[SexID]]*1000+AvatarMatResID[[#This Row],[CountIndex]]</f>
        <v>12262</v>
      </c>
      <c r="G932">
        <f>VLOOKUP(AvatarMatResID[[#This Row],[AvatarPart]],AvatarPartID[],2,0)</f>
        <v>1</v>
      </c>
      <c r="H932">
        <f>VLOOKUP(AvatarMatResID[[#This Row],[Sex]],SexID[],2,0)</f>
        <v>2</v>
      </c>
      <c r="I932" t="str">
        <f>AvatarMatResID[[#This Row],[Material]]</f>
        <v>Male Brown Archer 04 Purple</v>
      </c>
    </row>
    <row r="933" spans="1:9" x14ac:dyDescent="0.15">
      <c r="A933" t="s">
        <v>454</v>
      </c>
      <c r="B933" t="s">
        <v>1923</v>
      </c>
      <c r="C933" t="s">
        <v>1288</v>
      </c>
      <c r="D933">
        <v>263</v>
      </c>
      <c r="F933">
        <f>OUTPUTAvatarMatResID[[#This Row],[AvatarPartID]]*10000+OUTPUTAvatarMatResID[[#This Row],[SexID]]*1000+AvatarMatResID[[#This Row],[CountIndex]]</f>
        <v>12263</v>
      </c>
      <c r="G933">
        <f>VLOOKUP(AvatarMatResID[[#This Row],[AvatarPart]],AvatarPartID[],2,0)</f>
        <v>1</v>
      </c>
      <c r="H933">
        <f>VLOOKUP(AvatarMatResID[[#This Row],[Sex]],SexID[],2,0)</f>
        <v>2</v>
      </c>
      <c r="I933" t="str">
        <f>AvatarMatResID[[#This Row],[Material]]</f>
        <v>Male Brown Archer 04 Red</v>
      </c>
    </row>
    <row r="934" spans="1:9" x14ac:dyDescent="0.15">
      <c r="A934" t="s">
        <v>454</v>
      </c>
      <c r="B934" t="s">
        <v>1923</v>
      </c>
      <c r="C934" t="s">
        <v>1289</v>
      </c>
      <c r="D934">
        <v>264</v>
      </c>
      <c r="F934">
        <f>OUTPUTAvatarMatResID[[#This Row],[AvatarPartID]]*10000+OUTPUTAvatarMatResID[[#This Row],[SexID]]*1000+AvatarMatResID[[#This Row],[CountIndex]]</f>
        <v>12264</v>
      </c>
      <c r="G934">
        <f>VLOOKUP(AvatarMatResID[[#This Row],[AvatarPart]],AvatarPartID[],2,0)</f>
        <v>1</v>
      </c>
      <c r="H934">
        <f>VLOOKUP(AvatarMatResID[[#This Row],[Sex]],SexID[],2,0)</f>
        <v>2</v>
      </c>
      <c r="I934" t="str">
        <f>AvatarMatResID[[#This Row],[Material]]</f>
        <v>Male Brown Archer 04 White</v>
      </c>
    </row>
    <row r="935" spans="1:9" x14ac:dyDescent="0.15">
      <c r="A935" t="s">
        <v>454</v>
      </c>
      <c r="B935" t="s">
        <v>1923</v>
      </c>
      <c r="C935" t="s">
        <v>1290</v>
      </c>
      <c r="D935">
        <v>265</v>
      </c>
      <c r="F935">
        <f>OUTPUTAvatarMatResID[[#This Row],[AvatarPartID]]*10000+OUTPUTAvatarMatResID[[#This Row],[SexID]]*1000+AvatarMatResID[[#This Row],[CountIndex]]</f>
        <v>12265</v>
      </c>
      <c r="G935">
        <f>VLOOKUP(AvatarMatResID[[#This Row],[AvatarPart]],AvatarPartID[],2,0)</f>
        <v>1</v>
      </c>
      <c r="H935">
        <f>VLOOKUP(AvatarMatResID[[#This Row],[Sex]],SexID[],2,0)</f>
        <v>2</v>
      </c>
      <c r="I935" t="str">
        <f>AvatarMatResID[[#This Row],[Material]]</f>
        <v>Male Brown Archer 04 Yellow</v>
      </c>
    </row>
    <row r="936" spans="1:9" x14ac:dyDescent="0.15">
      <c r="A936" t="s">
        <v>454</v>
      </c>
      <c r="B936" t="s">
        <v>1923</v>
      </c>
      <c r="C936" t="s">
        <v>1291</v>
      </c>
      <c r="D936">
        <v>266</v>
      </c>
      <c r="F936">
        <f>OUTPUTAvatarMatResID[[#This Row],[AvatarPartID]]*10000+OUTPUTAvatarMatResID[[#This Row],[SexID]]*1000+AvatarMatResID[[#This Row],[CountIndex]]</f>
        <v>12266</v>
      </c>
      <c r="G936">
        <f>VLOOKUP(AvatarMatResID[[#This Row],[AvatarPart]],AvatarPartID[],2,0)</f>
        <v>1</v>
      </c>
      <c r="H936">
        <f>VLOOKUP(AvatarMatResID[[#This Row],[Sex]],SexID[],2,0)</f>
        <v>2</v>
      </c>
      <c r="I936" t="str">
        <f>AvatarMatResID[[#This Row],[Material]]</f>
        <v>Male Brown Archer 05 Black</v>
      </c>
    </row>
    <row r="937" spans="1:9" x14ac:dyDescent="0.15">
      <c r="A937" t="s">
        <v>454</v>
      </c>
      <c r="B937" t="s">
        <v>1923</v>
      </c>
      <c r="C937" t="s">
        <v>1292</v>
      </c>
      <c r="D937">
        <v>267</v>
      </c>
      <c r="F937">
        <f>OUTPUTAvatarMatResID[[#This Row],[AvatarPartID]]*10000+OUTPUTAvatarMatResID[[#This Row],[SexID]]*1000+AvatarMatResID[[#This Row],[CountIndex]]</f>
        <v>12267</v>
      </c>
      <c r="G937">
        <f>VLOOKUP(AvatarMatResID[[#This Row],[AvatarPart]],AvatarPartID[],2,0)</f>
        <v>1</v>
      </c>
      <c r="H937">
        <f>VLOOKUP(AvatarMatResID[[#This Row],[Sex]],SexID[],2,0)</f>
        <v>2</v>
      </c>
      <c r="I937" t="str">
        <f>AvatarMatResID[[#This Row],[Material]]</f>
        <v>Male Brown Archer 05 Blue</v>
      </c>
    </row>
    <row r="938" spans="1:9" x14ac:dyDescent="0.15">
      <c r="A938" t="s">
        <v>454</v>
      </c>
      <c r="B938" t="s">
        <v>1923</v>
      </c>
      <c r="C938" t="s">
        <v>1293</v>
      </c>
      <c r="D938">
        <v>268</v>
      </c>
      <c r="F938">
        <f>OUTPUTAvatarMatResID[[#This Row],[AvatarPartID]]*10000+OUTPUTAvatarMatResID[[#This Row],[SexID]]*1000+AvatarMatResID[[#This Row],[CountIndex]]</f>
        <v>12268</v>
      </c>
      <c r="G938">
        <f>VLOOKUP(AvatarMatResID[[#This Row],[AvatarPart]],AvatarPartID[],2,0)</f>
        <v>1</v>
      </c>
      <c r="H938">
        <f>VLOOKUP(AvatarMatResID[[#This Row],[Sex]],SexID[],2,0)</f>
        <v>2</v>
      </c>
      <c r="I938" t="str">
        <f>AvatarMatResID[[#This Row],[Material]]</f>
        <v>Male Brown Archer 05 Green</v>
      </c>
    </row>
    <row r="939" spans="1:9" x14ac:dyDescent="0.15">
      <c r="A939" t="s">
        <v>454</v>
      </c>
      <c r="B939" t="s">
        <v>1923</v>
      </c>
      <c r="C939" t="s">
        <v>1294</v>
      </c>
      <c r="D939">
        <v>269</v>
      </c>
      <c r="F939">
        <f>OUTPUTAvatarMatResID[[#This Row],[AvatarPartID]]*10000+OUTPUTAvatarMatResID[[#This Row],[SexID]]*1000+AvatarMatResID[[#This Row],[CountIndex]]</f>
        <v>12269</v>
      </c>
      <c r="G939">
        <f>VLOOKUP(AvatarMatResID[[#This Row],[AvatarPart]],AvatarPartID[],2,0)</f>
        <v>1</v>
      </c>
      <c r="H939">
        <f>VLOOKUP(AvatarMatResID[[#This Row],[Sex]],SexID[],2,0)</f>
        <v>2</v>
      </c>
      <c r="I939" t="str">
        <f>AvatarMatResID[[#This Row],[Material]]</f>
        <v>Male Brown Archer 05 Magenta</v>
      </c>
    </row>
    <row r="940" spans="1:9" x14ac:dyDescent="0.15">
      <c r="A940" t="s">
        <v>454</v>
      </c>
      <c r="B940" t="s">
        <v>1923</v>
      </c>
      <c r="C940" t="s">
        <v>1295</v>
      </c>
      <c r="D940">
        <v>270</v>
      </c>
      <c r="F940">
        <f>OUTPUTAvatarMatResID[[#This Row],[AvatarPartID]]*10000+OUTPUTAvatarMatResID[[#This Row],[SexID]]*1000+AvatarMatResID[[#This Row],[CountIndex]]</f>
        <v>12270</v>
      </c>
      <c r="G940">
        <f>VLOOKUP(AvatarMatResID[[#This Row],[AvatarPart]],AvatarPartID[],2,0)</f>
        <v>1</v>
      </c>
      <c r="H940">
        <f>VLOOKUP(AvatarMatResID[[#This Row],[Sex]],SexID[],2,0)</f>
        <v>2</v>
      </c>
      <c r="I940" t="str">
        <f>AvatarMatResID[[#This Row],[Material]]</f>
        <v>Male Brown Archer 05 Purple</v>
      </c>
    </row>
    <row r="941" spans="1:9" x14ac:dyDescent="0.15">
      <c r="A941" t="s">
        <v>454</v>
      </c>
      <c r="B941" t="s">
        <v>1923</v>
      </c>
      <c r="C941" t="s">
        <v>1296</v>
      </c>
      <c r="D941">
        <v>271</v>
      </c>
      <c r="F941">
        <f>OUTPUTAvatarMatResID[[#This Row],[AvatarPartID]]*10000+OUTPUTAvatarMatResID[[#This Row],[SexID]]*1000+AvatarMatResID[[#This Row],[CountIndex]]</f>
        <v>12271</v>
      </c>
      <c r="G941">
        <f>VLOOKUP(AvatarMatResID[[#This Row],[AvatarPart]],AvatarPartID[],2,0)</f>
        <v>1</v>
      </c>
      <c r="H941">
        <f>VLOOKUP(AvatarMatResID[[#This Row],[Sex]],SexID[],2,0)</f>
        <v>2</v>
      </c>
      <c r="I941" t="str">
        <f>AvatarMatResID[[#This Row],[Material]]</f>
        <v>Male Brown Archer 05 Red</v>
      </c>
    </row>
    <row r="942" spans="1:9" x14ac:dyDescent="0.15">
      <c r="A942" t="s">
        <v>454</v>
      </c>
      <c r="B942" t="s">
        <v>1923</v>
      </c>
      <c r="C942" t="s">
        <v>1297</v>
      </c>
      <c r="D942">
        <v>272</v>
      </c>
      <c r="F942">
        <f>OUTPUTAvatarMatResID[[#This Row],[AvatarPartID]]*10000+OUTPUTAvatarMatResID[[#This Row],[SexID]]*1000+AvatarMatResID[[#This Row],[CountIndex]]</f>
        <v>12272</v>
      </c>
      <c r="G942">
        <f>VLOOKUP(AvatarMatResID[[#This Row],[AvatarPart]],AvatarPartID[],2,0)</f>
        <v>1</v>
      </c>
      <c r="H942">
        <f>VLOOKUP(AvatarMatResID[[#This Row],[Sex]],SexID[],2,0)</f>
        <v>2</v>
      </c>
      <c r="I942" t="str">
        <f>AvatarMatResID[[#This Row],[Material]]</f>
        <v>Male Brown Archer 05 White</v>
      </c>
    </row>
    <row r="943" spans="1:9" x14ac:dyDescent="0.15">
      <c r="A943" t="s">
        <v>454</v>
      </c>
      <c r="B943" t="s">
        <v>1923</v>
      </c>
      <c r="C943" t="s">
        <v>1298</v>
      </c>
      <c r="D943">
        <v>273</v>
      </c>
      <c r="F943">
        <f>OUTPUTAvatarMatResID[[#This Row],[AvatarPartID]]*10000+OUTPUTAvatarMatResID[[#This Row],[SexID]]*1000+AvatarMatResID[[#This Row],[CountIndex]]</f>
        <v>12273</v>
      </c>
      <c r="G943">
        <f>VLOOKUP(AvatarMatResID[[#This Row],[AvatarPart]],AvatarPartID[],2,0)</f>
        <v>1</v>
      </c>
      <c r="H943">
        <f>VLOOKUP(AvatarMatResID[[#This Row],[Sex]],SexID[],2,0)</f>
        <v>2</v>
      </c>
      <c r="I943" t="str">
        <f>AvatarMatResID[[#This Row],[Material]]</f>
        <v>Male Brown Archer 05 Yellow</v>
      </c>
    </row>
    <row r="944" spans="1:9" x14ac:dyDescent="0.15">
      <c r="A944" t="s">
        <v>454</v>
      </c>
      <c r="B944" t="s">
        <v>1923</v>
      </c>
      <c r="C944" t="s">
        <v>1299</v>
      </c>
      <c r="D944">
        <v>274</v>
      </c>
      <c r="F944">
        <f>OUTPUTAvatarMatResID[[#This Row],[AvatarPartID]]*10000+OUTPUTAvatarMatResID[[#This Row],[SexID]]*1000+AvatarMatResID[[#This Row],[CountIndex]]</f>
        <v>12274</v>
      </c>
      <c r="G944">
        <f>VLOOKUP(AvatarMatResID[[#This Row],[AvatarPart]],AvatarPartID[],2,0)</f>
        <v>1</v>
      </c>
      <c r="H944">
        <f>VLOOKUP(AvatarMatResID[[#This Row],[Sex]],SexID[],2,0)</f>
        <v>2</v>
      </c>
      <c r="I944" t="str">
        <f>AvatarMatResID[[#This Row],[Material]]</f>
        <v>Male Brown Barbarian 01 Blue</v>
      </c>
    </row>
    <row r="945" spans="1:9" x14ac:dyDescent="0.15">
      <c r="A945" t="s">
        <v>454</v>
      </c>
      <c r="B945" t="s">
        <v>1923</v>
      </c>
      <c r="C945" t="s">
        <v>1300</v>
      </c>
      <c r="D945">
        <v>275</v>
      </c>
      <c r="F945">
        <f>OUTPUTAvatarMatResID[[#This Row],[AvatarPartID]]*10000+OUTPUTAvatarMatResID[[#This Row],[SexID]]*1000+AvatarMatResID[[#This Row],[CountIndex]]</f>
        <v>12275</v>
      </c>
      <c r="G945">
        <f>VLOOKUP(AvatarMatResID[[#This Row],[AvatarPart]],AvatarPartID[],2,0)</f>
        <v>1</v>
      </c>
      <c r="H945">
        <f>VLOOKUP(AvatarMatResID[[#This Row],[Sex]],SexID[],2,0)</f>
        <v>2</v>
      </c>
      <c r="I945" t="str">
        <f>AvatarMatResID[[#This Row],[Material]]</f>
        <v>Male Brown Barbarian 01 Green</v>
      </c>
    </row>
    <row r="946" spans="1:9" x14ac:dyDescent="0.15">
      <c r="A946" t="s">
        <v>454</v>
      </c>
      <c r="B946" t="s">
        <v>1923</v>
      </c>
      <c r="C946" t="s">
        <v>1301</v>
      </c>
      <c r="D946">
        <v>276</v>
      </c>
      <c r="F946">
        <f>OUTPUTAvatarMatResID[[#This Row],[AvatarPartID]]*10000+OUTPUTAvatarMatResID[[#This Row],[SexID]]*1000+AvatarMatResID[[#This Row],[CountIndex]]</f>
        <v>12276</v>
      </c>
      <c r="G946">
        <f>VLOOKUP(AvatarMatResID[[#This Row],[AvatarPart]],AvatarPartID[],2,0)</f>
        <v>1</v>
      </c>
      <c r="H946">
        <f>VLOOKUP(AvatarMatResID[[#This Row],[Sex]],SexID[],2,0)</f>
        <v>2</v>
      </c>
      <c r="I946" t="str">
        <f>AvatarMatResID[[#This Row],[Material]]</f>
        <v>Male Brown Barbarian 01 Purple</v>
      </c>
    </row>
    <row r="947" spans="1:9" x14ac:dyDescent="0.15">
      <c r="A947" t="s">
        <v>454</v>
      </c>
      <c r="B947" t="s">
        <v>1923</v>
      </c>
      <c r="C947" t="s">
        <v>1302</v>
      </c>
      <c r="D947">
        <v>277</v>
      </c>
      <c r="F947">
        <f>OUTPUTAvatarMatResID[[#This Row],[AvatarPartID]]*10000+OUTPUTAvatarMatResID[[#This Row],[SexID]]*1000+AvatarMatResID[[#This Row],[CountIndex]]</f>
        <v>12277</v>
      </c>
      <c r="G947">
        <f>VLOOKUP(AvatarMatResID[[#This Row],[AvatarPart]],AvatarPartID[],2,0)</f>
        <v>1</v>
      </c>
      <c r="H947">
        <f>VLOOKUP(AvatarMatResID[[#This Row],[Sex]],SexID[],2,0)</f>
        <v>2</v>
      </c>
      <c r="I947" t="str">
        <f>AvatarMatResID[[#This Row],[Material]]</f>
        <v>Male Brown Barbarian 01 Red</v>
      </c>
    </row>
    <row r="948" spans="1:9" x14ac:dyDescent="0.15">
      <c r="A948" t="s">
        <v>454</v>
      </c>
      <c r="B948" t="s">
        <v>1923</v>
      </c>
      <c r="C948" t="s">
        <v>1303</v>
      </c>
      <c r="D948">
        <v>278</v>
      </c>
      <c r="F948">
        <f>OUTPUTAvatarMatResID[[#This Row],[AvatarPartID]]*10000+OUTPUTAvatarMatResID[[#This Row],[SexID]]*1000+AvatarMatResID[[#This Row],[CountIndex]]</f>
        <v>12278</v>
      </c>
      <c r="G948">
        <f>VLOOKUP(AvatarMatResID[[#This Row],[AvatarPart]],AvatarPartID[],2,0)</f>
        <v>1</v>
      </c>
      <c r="H948">
        <f>VLOOKUP(AvatarMatResID[[#This Row],[Sex]],SexID[],2,0)</f>
        <v>2</v>
      </c>
      <c r="I948" t="str">
        <f>AvatarMatResID[[#This Row],[Material]]</f>
        <v>Male Brown Barbarian 02 Black</v>
      </c>
    </row>
    <row r="949" spans="1:9" x14ac:dyDescent="0.15">
      <c r="A949" t="s">
        <v>454</v>
      </c>
      <c r="B949" t="s">
        <v>1923</v>
      </c>
      <c r="C949" t="s">
        <v>1304</v>
      </c>
      <c r="D949">
        <v>279</v>
      </c>
      <c r="F949">
        <f>OUTPUTAvatarMatResID[[#This Row],[AvatarPartID]]*10000+OUTPUTAvatarMatResID[[#This Row],[SexID]]*1000+AvatarMatResID[[#This Row],[CountIndex]]</f>
        <v>12279</v>
      </c>
      <c r="G949">
        <f>VLOOKUP(AvatarMatResID[[#This Row],[AvatarPart]],AvatarPartID[],2,0)</f>
        <v>1</v>
      </c>
      <c r="H949">
        <f>VLOOKUP(AvatarMatResID[[#This Row],[Sex]],SexID[],2,0)</f>
        <v>2</v>
      </c>
      <c r="I949" t="str">
        <f>AvatarMatResID[[#This Row],[Material]]</f>
        <v>Male Brown Barbarian 02 Blue</v>
      </c>
    </row>
    <row r="950" spans="1:9" x14ac:dyDescent="0.15">
      <c r="A950" t="s">
        <v>454</v>
      </c>
      <c r="B950" t="s">
        <v>1923</v>
      </c>
      <c r="C950" t="s">
        <v>1305</v>
      </c>
      <c r="D950">
        <v>280</v>
      </c>
      <c r="F950">
        <f>OUTPUTAvatarMatResID[[#This Row],[AvatarPartID]]*10000+OUTPUTAvatarMatResID[[#This Row],[SexID]]*1000+AvatarMatResID[[#This Row],[CountIndex]]</f>
        <v>12280</v>
      </c>
      <c r="G950">
        <f>VLOOKUP(AvatarMatResID[[#This Row],[AvatarPart]],AvatarPartID[],2,0)</f>
        <v>1</v>
      </c>
      <c r="H950">
        <f>VLOOKUP(AvatarMatResID[[#This Row],[Sex]],SexID[],2,0)</f>
        <v>2</v>
      </c>
      <c r="I950" t="str">
        <f>AvatarMatResID[[#This Row],[Material]]</f>
        <v>Male Brown Barbarian 02 Brown</v>
      </c>
    </row>
    <row r="951" spans="1:9" x14ac:dyDescent="0.15">
      <c r="A951" t="s">
        <v>454</v>
      </c>
      <c r="B951" t="s">
        <v>1923</v>
      </c>
      <c r="C951" t="s">
        <v>1306</v>
      </c>
      <c r="D951">
        <v>281</v>
      </c>
      <c r="F951">
        <f>OUTPUTAvatarMatResID[[#This Row],[AvatarPartID]]*10000+OUTPUTAvatarMatResID[[#This Row],[SexID]]*1000+AvatarMatResID[[#This Row],[CountIndex]]</f>
        <v>12281</v>
      </c>
      <c r="G951">
        <f>VLOOKUP(AvatarMatResID[[#This Row],[AvatarPart]],AvatarPartID[],2,0)</f>
        <v>1</v>
      </c>
      <c r="H951">
        <f>VLOOKUP(AvatarMatResID[[#This Row],[Sex]],SexID[],2,0)</f>
        <v>2</v>
      </c>
      <c r="I951" t="str">
        <f>AvatarMatResID[[#This Row],[Material]]</f>
        <v>Male Brown Barbarian 02 Green</v>
      </c>
    </row>
    <row r="952" spans="1:9" x14ac:dyDescent="0.15">
      <c r="A952" t="s">
        <v>454</v>
      </c>
      <c r="B952" t="s">
        <v>1923</v>
      </c>
      <c r="C952" t="s">
        <v>1307</v>
      </c>
      <c r="D952">
        <v>282</v>
      </c>
      <c r="F952">
        <f>OUTPUTAvatarMatResID[[#This Row],[AvatarPartID]]*10000+OUTPUTAvatarMatResID[[#This Row],[SexID]]*1000+AvatarMatResID[[#This Row],[CountIndex]]</f>
        <v>12282</v>
      </c>
      <c r="G952">
        <f>VLOOKUP(AvatarMatResID[[#This Row],[AvatarPart]],AvatarPartID[],2,0)</f>
        <v>1</v>
      </c>
      <c r="H952">
        <f>VLOOKUP(AvatarMatResID[[#This Row],[Sex]],SexID[],2,0)</f>
        <v>2</v>
      </c>
      <c r="I952" t="str">
        <f>AvatarMatResID[[#This Row],[Material]]</f>
        <v>Male Brown Barbarian 02 Purple</v>
      </c>
    </row>
    <row r="953" spans="1:9" x14ac:dyDescent="0.15">
      <c r="A953" t="s">
        <v>454</v>
      </c>
      <c r="B953" t="s">
        <v>1923</v>
      </c>
      <c r="C953" t="s">
        <v>1308</v>
      </c>
      <c r="D953">
        <v>283</v>
      </c>
      <c r="F953">
        <f>OUTPUTAvatarMatResID[[#This Row],[AvatarPartID]]*10000+OUTPUTAvatarMatResID[[#This Row],[SexID]]*1000+AvatarMatResID[[#This Row],[CountIndex]]</f>
        <v>12283</v>
      </c>
      <c r="G953">
        <f>VLOOKUP(AvatarMatResID[[#This Row],[AvatarPart]],AvatarPartID[],2,0)</f>
        <v>1</v>
      </c>
      <c r="H953">
        <f>VLOOKUP(AvatarMatResID[[#This Row],[Sex]],SexID[],2,0)</f>
        <v>2</v>
      </c>
      <c r="I953" t="str">
        <f>AvatarMatResID[[#This Row],[Material]]</f>
        <v>Male Brown Barbarian 02 White</v>
      </c>
    </row>
    <row r="954" spans="1:9" x14ac:dyDescent="0.15">
      <c r="A954" t="s">
        <v>454</v>
      </c>
      <c r="B954" t="s">
        <v>1923</v>
      </c>
      <c r="C954" t="s">
        <v>1309</v>
      </c>
      <c r="D954">
        <v>284</v>
      </c>
      <c r="F954">
        <f>OUTPUTAvatarMatResID[[#This Row],[AvatarPartID]]*10000+OUTPUTAvatarMatResID[[#This Row],[SexID]]*1000+AvatarMatResID[[#This Row],[CountIndex]]</f>
        <v>12284</v>
      </c>
      <c r="G954">
        <f>VLOOKUP(AvatarMatResID[[#This Row],[AvatarPart]],AvatarPartID[],2,0)</f>
        <v>1</v>
      </c>
      <c r="H954">
        <f>VLOOKUP(AvatarMatResID[[#This Row],[Sex]],SexID[],2,0)</f>
        <v>2</v>
      </c>
      <c r="I954" t="str">
        <f>AvatarMatResID[[#This Row],[Material]]</f>
        <v>Male Brown Barbarian 03 Black</v>
      </c>
    </row>
    <row r="955" spans="1:9" x14ac:dyDescent="0.15">
      <c r="A955" t="s">
        <v>454</v>
      </c>
      <c r="B955" t="s">
        <v>1923</v>
      </c>
      <c r="C955" t="s">
        <v>1310</v>
      </c>
      <c r="D955">
        <v>285</v>
      </c>
      <c r="F955">
        <f>OUTPUTAvatarMatResID[[#This Row],[AvatarPartID]]*10000+OUTPUTAvatarMatResID[[#This Row],[SexID]]*1000+AvatarMatResID[[#This Row],[CountIndex]]</f>
        <v>12285</v>
      </c>
      <c r="G955">
        <f>VLOOKUP(AvatarMatResID[[#This Row],[AvatarPart]],AvatarPartID[],2,0)</f>
        <v>1</v>
      </c>
      <c r="H955">
        <f>VLOOKUP(AvatarMatResID[[#This Row],[Sex]],SexID[],2,0)</f>
        <v>2</v>
      </c>
      <c r="I955" t="str">
        <f>AvatarMatResID[[#This Row],[Material]]</f>
        <v>Male Brown Barbarian 03 Blue</v>
      </c>
    </row>
    <row r="956" spans="1:9" x14ac:dyDescent="0.15">
      <c r="A956" t="s">
        <v>454</v>
      </c>
      <c r="B956" t="s">
        <v>1923</v>
      </c>
      <c r="C956" t="s">
        <v>1311</v>
      </c>
      <c r="D956">
        <v>286</v>
      </c>
      <c r="F956">
        <f>OUTPUTAvatarMatResID[[#This Row],[AvatarPartID]]*10000+OUTPUTAvatarMatResID[[#This Row],[SexID]]*1000+AvatarMatResID[[#This Row],[CountIndex]]</f>
        <v>12286</v>
      </c>
      <c r="G956">
        <f>VLOOKUP(AvatarMatResID[[#This Row],[AvatarPart]],AvatarPartID[],2,0)</f>
        <v>1</v>
      </c>
      <c r="H956">
        <f>VLOOKUP(AvatarMatResID[[#This Row],[Sex]],SexID[],2,0)</f>
        <v>2</v>
      </c>
      <c r="I956" t="str">
        <f>AvatarMatResID[[#This Row],[Material]]</f>
        <v>Male Brown Barbarian 03 Brown</v>
      </c>
    </row>
    <row r="957" spans="1:9" x14ac:dyDescent="0.15">
      <c r="A957" t="s">
        <v>454</v>
      </c>
      <c r="B957" t="s">
        <v>1923</v>
      </c>
      <c r="C957" t="s">
        <v>1312</v>
      </c>
      <c r="D957">
        <v>287</v>
      </c>
      <c r="F957">
        <f>OUTPUTAvatarMatResID[[#This Row],[AvatarPartID]]*10000+OUTPUTAvatarMatResID[[#This Row],[SexID]]*1000+AvatarMatResID[[#This Row],[CountIndex]]</f>
        <v>12287</v>
      </c>
      <c r="G957">
        <f>VLOOKUP(AvatarMatResID[[#This Row],[AvatarPart]],AvatarPartID[],2,0)</f>
        <v>1</v>
      </c>
      <c r="H957">
        <f>VLOOKUP(AvatarMatResID[[#This Row],[Sex]],SexID[],2,0)</f>
        <v>2</v>
      </c>
      <c r="I957" t="str">
        <f>AvatarMatResID[[#This Row],[Material]]</f>
        <v>Male Brown Barbarian 03 Green</v>
      </c>
    </row>
    <row r="958" spans="1:9" x14ac:dyDescent="0.15">
      <c r="A958" t="s">
        <v>454</v>
      </c>
      <c r="B958" t="s">
        <v>1923</v>
      </c>
      <c r="C958" t="s">
        <v>1313</v>
      </c>
      <c r="D958">
        <v>288</v>
      </c>
      <c r="F958">
        <f>OUTPUTAvatarMatResID[[#This Row],[AvatarPartID]]*10000+OUTPUTAvatarMatResID[[#This Row],[SexID]]*1000+AvatarMatResID[[#This Row],[CountIndex]]</f>
        <v>12288</v>
      </c>
      <c r="G958">
        <f>VLOOKUP(AvatarMatResID[[#This Row],[AvatarPart]],AvatarPartID[],2,0)</f>
        <v>1</v>
      </c>
      <c r="H958">
        <f>VLOOKUP(AvatarMatResID[[#This Row],[Sex]],SexID[],2,0)</f>
        <v>2</v>
      </c>
      <c r="I958" t="str">
        <f>AvatarMatResID[[#This Row],[Material]]</f>
        <v>Male Brown Barbarian 03 Magenta</v>
      </c>
    </row>
    <row r="959" spans="1:9" x14ac:dyDescent="0.15">
      <c r="A959" t="s">
        <v>454</v>
      </c>
      <c r="B959" t="s">
        <v>1923</v>
      </c>
      <c r="C959" t="s">
        <v>1314</v>
      </c>
      <c r="D959">
        <v>289</v>
      </c>
      <c r="F959">
        <f>OUTPUTAvatarMatResID[[#This Row],[AvatarPartID]]*10000+OUTPUTAvatarMatResID[[#This Row],[SexID]]*1000+AvatarMatResID[[#This Row],[CountIndex]]</f>
        <v>12289</v>
      </c>
      <c r="G959">
        <f>VLOOKUP(AvatarMatResID[[#This Row],[AvatarPart]],AvatarPartID[],2,0)</f>
        <v>1</v>
      </c>
      <c r="H959">
        <f>VLOOKUP(AvatarMatResID[[#This Row],[Sex]],SexID[],2,0)</f>
        <v>2</v>
      </c>
      <c r="I959" t="str">
        <f>AvatarMatResID[[#This Row],[Material]]</f>
        <v>Male Brown Barbarian 03 Purple</v>
      </c>
    </row>
    <row r="960" spans="1:9" x14ac:dyDescent="0.15">
      <c r="A960" t="s">
        <v>454</v>
      </c>
      <c r="B960" t="s">
        <v>1923</v>
      </c>
      <c r="C960" t="s">
        <v>1315</v>
      </c>
      <c r="D960">
        <v>290</v>
      </c>
      <c r="F960">
        <f>OUTPUTAvatarMatResID[[#This Row],[AvatarPartID]]*10000+OUTPUTAvatarMatResID[[#This Row],[SexID]]*1000+AvatarMatResID[[#This Row],[CountIndex]]</f>
        <v>12290</v>
      </c>
      <c r="G960">
        <f>VLOOKUP(AvatarMatResID[[#This Row],[AvatarPart]],AvatarPartID[],2,0)</f>
        <v>1</v>
      </c>
      <c r="H960">
        <f>VLOOKUP(AvatarMatResID[[#This Row],[Sex]],SexID[],2,0)</f>
        <v>2</v>
      </c>
      <c r="I960" t="str">
        <f>AvatarMatResID[[#This Row],[Material]]</f>
        <v>Male Brown Barbarian 03 Red</v>
      </c>
    </row>
    <row r="961" spans="1:9" x14ac:dyDescent="0.15">
      <c r="A961" t="s">
        <v>454</v>
      </c>
      <c r="B961" t="s">
        <v>1923</v>
      </c>
      <c r="C961" t="s">
        <v>1316</v>
      </c>
      <c r="D961">
        <v>291</v>
      </c>
      <c r="F961">
        <f>OUTPUTAvatarMatResID[[#This Row],[AvatarPartID]]*10000+OUTPUTAvatarMatResID[[#This Row],[SexID]]*1000+AvatarMatResID[[#This Row],[CountIndex]]</f>
        <v>12291</v>
      </c>
      <c r="G961">
        <f>VLOOKUP(AvatarMatResID[[#This Row],[AvatarPart]],AvatarPartID[],2,0)</f>
        <v>1</v>
      </c>
      <c r="H961">
        <f>VLOOKUP(AvatarMatResID[[#This Row],[Sex]],SexID[],2,0)</f>
        <v>2</v>
      </c>
      <c r="I961" t="str">
        <f>AvatarMatResID[[#This Row],[Material]]</f>
        <v>Male Brown Barbarian 04 Black</v>
      </c>
    </row>
    <row r="962" spans="1:9" x14ac:dyDescent="0.15">
      <c r="A962" t="s">
        <v>454</v>
      </c>
      <c r="B962" t="s">
        <v>1923</v>
      </c>
      <c r="C962" t="s">
        <v>1317</v>
      </c>
      <c r="D962">
        <v>292</v>
      </c>
      <c r="F962">
        <f>OUTPUTAvatarMatResID[[#This Row],[AvatarPartID]]*10000+OUTPUTAvatarMatResID[[#This Row],[SexID]]*1000+AvatarMatResID[[#This Row],[CountIndex]]</f>
        <v>12292</v>
      </c>
      <c r="G962">
        <f>VLOOKUP(AvatarMatResID[[#This Row],[AvatarPart]],AvatarPartID[],2,0)</f>
        <v>1</v>
      </c>
      <c r="H962">
        <f>VLOOKUP(AvatarMatResID[[#This Row],[Sex]],SexID[],2,0)</f>
        <v>2</v>
      </c>
      <c r="I962" t="str">
        <f>AvatarMatResID[[#This Row],[Material]]</f>
        <v>Male Brown Barbarian 04 Blue</v>
      </c>
    </row>
    <row r="963" spans="1:9" x14ac:dyDescent="0.15">
      <c r="A963" t="s">
        <v>454</v>
      </c>
      <c r="B963" t="s">
        <v>1923</v>
      </c>
      <c r="C963" t="s">
        <v>1318</v>
      </c>
      <c r="D963">
        <v>293</v>
      </c>
      <c r="F963">
        <f>OUTPUTAvatarMatResID[[#This Row],[AvatarPartID]]*10000+OUTPUTAvatarMatResID[[#This Row],[SexID]]*1000+AvatarMatResID[[#This Row],[CountIndex]]</f>
        <v>12293</v>
      </c>
      <c r="G963">
        <f>VLOOKUP(AvatarMatResID[[#This Row],[AvatarPart]],AvatarPartID[],2,0)</f>
        <v>1</v>
      </c>
      <c r="H963">
        <f>VLOOKUP(AvatarMatResID[[#This Row],[Sex]],SexID[],2,0)</f>
        <v>2</v>
      </c>
      <c r="I963" t="str">
        <f>AvatarMatResID[[#This Row],[Material]]</f>
        <v>Male Brown Barbarian 04 Green</v>
      </c>
    </row>
    <row r="964" spans="1:9" x14ac:dyDescent="0.15">
      <c r="A964" t="s">
        <v>454</v>
      </c>
      <c r="B964" t="s">
        <v>1923</v>
      </c>
      <c r="C964" t="s">
        <v>1319</v>
      </c>
      <c r="D964">
        <v>294</v>
      </c>
      <c r="F964">
        <f>OUTPUTAvatarMatResID[[#This Row],[AvatarPartID]]*10000+OUTPUTAvatarMatResID[[#This Row],[SexID]]*1000+AvatarMatResID[[#This Row],[CountIndex]]</f>
        <v>12294</v>
      </c>
      <c r="G964">
        <f>VLOOKUP(AvatarMatResID[[#This Row],[AvatarPart]],AvatarPartID[],2,0)</f>
        <v>1</v>
      </c>
      <c r="H964">
        <f>VLOOKUP(AvatarMatResID[[#This Row],[Sex]],SexID[],2,0)</f>
        <v>2</v>
      </c>
      <c r="I964" t="str">
        <f>AvatarMatResID[[#This Row],[Material]]</f>
        <v>Male Brown Barbarian 04 Magenta</v>
      </c>
    </row>
    <row r="965" spans="1:9" x14ac:dyDescent="0.15">
      <c r="A965" t="s">
        <v>454</v>
      </c>
      <c r="B965" t="s">
        <v>1923</v>
      </c>
      <c r="C965" t="s">
        <v>1320</v>
      </c>
      <c r="D965">
        <v>295</v>
      </c>
      <c r="F965">
        <f>OUTPUTAvatarMatResID[[#This Row],[AvatarPartID]]*10000+OUTPUTAvatarMatResID[[#This Row],[SexID]]*1000+AvatarMatResID[[#This Row],[CountIndex]]</f>
        <v>12295</v>
      </c>
      <c r="G965">
        <f>VLOOKUP(AvatarMatResID[[#This Row],[AvatarPart]],AvatarPartID[],2,0)</f>
        <v>1</v>
      </c>
      <c r="H965">
        <f>VLOOKUP(AvatarMatResID[[#This Row],[Sex]],SexID[],2,0)</f>
        <v>2</v>
      </c>
      <c r="I965" t="str">
        <f>AvatarMatResID[[#This Row],[Material]]</f>
        <v>Male Brown Barbarian 04 Purple</v>
      </c>
    </row>
    <row r="966" spans="1:9" x14ac:dyDescent="0.15">
      <c r="A966" t="s">
        <v>454</v>
      </c>
      <c r="B966" t="s">
        <v>1923</v>
      </c>
      <c r="C966" t="s">
        <v>1321</v>
      </c>
      <c r="D966">
        <v>296</v>
      </c>
      <c r="F966">
        <f>OUTPUTAvatarMatResID[[#This Row],[AvatarPartID]]*10000+OUTPUTAvatarMatResID[[#This Row],[SexID]]*1000+AvatarMatResID[[#This Row],[CountIndex]]</f>
        <v>12296</v>
      </c>
      <c r="G966">
        <f>VLOOKUP(AvatarMatResID[[#This Row],[AvatarPart]],AvatarPartID[],2,0)</f>
        <v>1</v>
      </c>
      <c r="H966">
        <f>VLOOKUP(AvatarMatResID[[#This Row],[Sex]],SexID[],2,0)</f>
        <v>2</v>
      </c>
      <c r="I966" t="str">
        <f>AvatarMatResID[[#This Row],[Material]]</f>
        <v>Male Brown Barbarian 04 Red</v>
      </c>
    </row>
    <row r="967" spans="1:9" x14ac:dyDescent="0.15">
      <c r="A967" t="s">
        <v>454</v>
      </c>
      <c r="B967" t="s">
        <v>1923</v>
      </c>
      <c r="C967" t="s">
        <v>1322</v>
      </c>
      <c r="D967">
        <v>297</v>
      </c>
      <c r="F967">
        <f>OUTPUTAvatarMatResID[[#This Row],[AvatarPartID]]*10000+OUTPUTAvatarMatResID[[#This Row],[SexID]]*1000+AvatarMatResID[[#This Row],[CountIndex]]</f>
        <v>12297</v>
      </c>
      <c r="G967">
        <f>VLOOKUP(AvatarMatResID[[#This Row],[AvatarPart]],AvatarPartID[],2,0)</f>
        <v>1</v>
      </c>
      <c r="H967">
        <f>VLOOKUP(AvatarMatResID[[#This Row],[Sex]],SexID[],2,0)</f>
        <v>2</v>
      </c>
      <c r="I967" t="str">
        <f>AvatarMatResID[[#This Row],[Material]]</f>
        <v>Male Brown Barbarian 04 White</v>
      </c>
    </row>
    <row r="968" spans="1:9" x14ac:dyDescent="0.15">
      <c r="A968" t="s">
        <v>454</v>
      </c>
      <c r="B968" t="s">
        <v>1923</v>
      </c>
      <c r="C968" t="s">
        <v>1323</v>
      </c>
      <c r="D968">
        <v>298</v>
      </c>
      <c r="F968">
        <f>OUTPUTAvatarMatResID[[#This Row],[AvatarPartID]]*10000+OUTPUTAvatarMatResID[[#This Row],[SexID]]*1000+AvatarMatResID[[#This Row],[CountIndex]]</f>
        <v>12298</v>
      </c>
      <c r="G968">
        <f>VLOOKUP(AvatarMatResID[[#This Row],[AvatarPart]],AvatarPartID[],2,0)</f>
        <v>1</v>
      </c>
      <c r="H968">
        <f>VLOOKUP(AvatarMatResID[[#This Row],[Sex]],SexID[],2,0)</f>
        <v>2</v>
      </c>
      <c r="I968" t="str">
        <f>AvatarMatResID[[#This Row],[Material]]</f>
        <v>Male Brown Barbarian 04 Yellow</v>
      </c>
    </row>
    <row r="969" spans="1:9" x14ac:dyDescent="0.15">
      <c r="A969" t="s">
        <v>454</v>
      </c>
      <c r="B969" t="s">
        <v>1923</v>
      </c>
      <c r="C969" t="s">
        <v>1324</v>
      </c>
      <c r="D969">
        <v>299</v>
      </c>
      <c r="F969">
        <f>OUTPUTAvatarMatResID[[#This Row],[AvatarPartID]]*10000+OUTPUTAvatarMatResID[[#This Row],[SexID]]*1000+AvatarMatResID[[#This Row],[CountIndex]]</f>
        <v>12299</v>
      </c>
      <c r="G969">
        <f>VLOOKUP(AvatarMatResID[[#This Row],[AvatarPart]],AvatarPartID[],2,0)</f>
        <v>1</v>
      </c>
      <c r="H969">
        <f>VLOOKUP(AvatarMatResID[[#This Row],[Sex]],SexID[],2,0)</f>
        <v>2</v>
      </c>
      <c r="I969" t="str">
        <f>AvatarMatResID[[#This Row],[Material]]</f>
        <v>Male Brown Barbarian 05 Black</v>
      </c>
    </row>
    <row r="970" spans="1:9" x14ac:dyDescent="0.15">
      <c r="A970" t="s">
        <v>454</v>
      </c>
      <c r="B970" t="s">
        <v>1923</v>
      </c>
      <c r="C970" t="s">
        <v>1325</v>
      </c>
      <c r="D970">
        <v>300</v>
      </c>
      <c r="F970">
        <f>OUTPUTAvatarMatResID[[#This Row],[AvatarPartID]]*10000+OUTPUTAvatarMatResID[[#This Row],[SexID]]*1000+AvatarMatResID[[#This Row],[CountIndex]]</f>
        <v>12300</v>
      </c>
      <c r="G970">
        <f>VLOOKUP(AvatarMatResID[[#This Row],[AvatarPart]],AvatarPartID[],2,0)</f>
        <v>1</v>
      </c>
      <c r="H970">
        <f>VLOOKUP(AvatarMatResID[[#This Row],[Sex]],SexID[],2,0)</f>
        <v>2</v>
      </c>
      <c r="I970" t="str">
        <f>AvatarMatResID[[#This Row],[Material]]</f>
        <v>Male Brown Barbarian 05 Blue</v>
      </c>
    </row>
    <row r="971" spans="1:9" x14ac:dyDescent="0.15">
      <c r="A971" t="s">
        <v>454</v>
      </c>
      <c r="B971" t="s">
        <v>1923</v>
      </c>
      <c r="C971" t="s">
        <v>1326</v>
      </c>
      <c r="D971">
        <v>301</v>
      </c>
      <c r="F971">
        <f>OUTPUTAvatarMatResID[[#This Row],[AvatarPartID]]*10000+OUTPUTAvatarMatResID[[#This Row],[SexID]]*1000+AvatarMatResID[[#This Row],[CountIndex]]</f>
        <v>12301</v>
      </c>
      <c r="G971">
        <f>VLOOKUP(AvatarMatResID[[#This Row],[AvatarPart]],AvatarPartID[],2,0)</f>
        <v>1</v>
      </c>
      <c r="H971">
        <f>VLOOKUP(AvatarMatResID[[#This Row],[Sex]],SexID[],2,0)</f>
        <v>2</v>
      </c>
      <c r="I971" t="str">
        <f>AvatarMatResID[[#This Row],[Material]]</f>
        <v>Male Brown Barbarian 05 Green</v>
      </c>
    </row>
    <row r="972" spans="1:9" x14ac:dyDescent="0.15">
      <c r="A972" t="s">
        <v>454</v>
      </c>
      <c r="B972" t="s">
        <v>1923</v>
      </c>
      <c r="C972" t="s">
        <v>1327</v>
      </c>
      <c r="D972">
        <v>302</v>
      </c>
      <c r="F972">
        <f>OUTPUTAvatarMatResID[[#This Row],[AvatarPartID]]*10000+OUTPUTAvatarMatResID[[#This Row],[SexID]]*1000+AvatarMatResID[[#This Row],[CountIndex]]</f>
        <v>12302</v>
      </c>
      <c r="G972">
        <f>VLOOKUP(AvatarMatResID[[#This Row],[AvatarPart]],AvatarPartID[],2,0)</f>
        <v>1</v>
      </c>
      <c r="H972">
        <f>VLOOKUP(AvatarMatResID[[#This Row],[Sex]],SexID[],2,0)</f>
        <v>2</v>
      </c>
      <c r="I972" t="str">
        <f>AvatarMatResID[[#This Row],[Material]]</f>
        <v>Male Brown Barbarian 05 Magenta</v>
      </c>
    </row>
    <row r="973" spans="1:9" x14ac:dyDescent="0.15">
      <c r="A973" t="s">
        <v>454</v>
      </c>
      <c r="B973" t="s">
        <v>1923</v>
      </c>
      <c r="C973" t="s">
        <v>1328</v>
      </c>
      <c r="D973">
        <v>303</v>
      </c>
      <c r="F973">
        <f>OUTPUTAvatarMatResID[[#This Row],[AvatarPartID]]*10000+OUTPUTAvatarMatResID[[#This Row],[SexID]]*1000+AvatarMatResID[[#This Row],[CountIndex]]</f>
        <v>12303</v>
      </c>
      <c r="G973">
        <f>VLOOKUP(AvatarMatResID[[#This Row],[AvatarPart]],AvatarPartID[],2,0)</f>
        <v>1</v>
      </c>
      <c r="H973">
        <f>VLOOKUP(AvatarMatResID[[#This Row],[Sex]],SexID[],2,0)</f>
        <v>2</v>
      </c>
      <c r="I973" t="str">
        <f>AvatarMatResID[[#This Row],[Material]]</f>
        <v>Male Brown Barbarian 05 Purple</v>
      </c>
    </row>
    <row r="974" spans="1:9" x14ac:dyDescent="0.15">
      <c r="A974" t="s">
        <v>454</v>
      </c>
      <c r="B974" t="s">
        <v>1923</v>
      </c>
      <c r="C974" t="s">
        <v>1329</v>
      </c>
      <c r="D974">
        <v>304</v>
      </c>
      <c r="F974">
        <f>OUTPUTAvatarMatResID[[#This Row],[AvatarPartID]]*10000+OUTPUTAvatarMatResID[[#This Row],[SexID]]*1000+AvatarMatResID[[#This Row],[CountIndex]]</f>
        <v>12304</v>
      </c>
      <c r="G974">
        <f>VLOOKUP(AvatarMatResID[[#This Row],[AvatarPart]],AvatarPartID[],2,0)</f>
        <v>1</v>
      </c>
      <c r="H974">
        <f>VLOOKUP(AvatarMatResID[[#This Row],[Sex]],SexID[],2,0)</f>
        <v>2</v>
      </c>
      <c r="I974" t="str">
        <f>AvatarMatResID[[#This Row],[Material]]</f>
        <v>Male Brown Barbarian 05 Red</v>
      </c>
    </row>
    <row r="975" spans="1:9" x14ac:dyDescent="0.15">
      <c r="A975" t="s">
        <v>454</v>
      </c>
      <c r="B975" t="s">
        <v>1923</v>
      </c>
      <c r="C975" t="s">
        <v>1330</v>
      </c>
      <c r="D975">
        <v>305</v>
      </c>
      <c r="F975">
        <f>OUTPUTAvatarMatResID[[#This Row],[AvatarPartID]]*10000+OUTPUTAvatarMatResID[[#This Row],[SexID]]*1000+AvatarMatResID[[#This Row],[CountIndex]]</f>
        <v>12305</v>
      </c>
      <c r="G975">
        <f>VLOOKUP(AvatarMatResID[[#This Row],[AvatarPart]],AvatarPartID[],2,0)</f>
        <v>1</v>
      </c>
      <c r="H975">
        <f>VLOOKUP(AvatarMatResID[[#This Row],[Sex]],SexID[],2,0)</f>
        <v>2</v>
      </c>
      <c r="I975" t="str">
        <f>AvatarMatResID[[#This Row],[Material]]</f>
        <v>Male Brown Barbarian 05 White</v>
      </c>
    </row>
    <row r="976" spans="1:9" x14ac:dyDescent="0.15">
      <c r="A976" t="s">
        <v>454</v>
      </c>
      <c r="B976" t="s">
        <v>1923</v>
      </c>
      <c r="C976" t="s">
        <v>1331</v>
      </c>
      <c r="D976">
        <v>306</v>
      </c>
      <c r="F976">
        <f>OUTPUTAvatarMatResID[[#This Row],[AvatarPartID]]*10000+OUTPUTAvatarMatResID[[#This Row],[SexID]]*1000+AvatarMatResID[[#This Row],[CountIndex]]</f>
        <v>12306</v>
      </c>
      <c r="G976">
        <f>VLOOKUP(AvatarMatResID[[#This Row],[AvatarPart]],AvatarPartID[],2,0)</f>
        <v>1</v>
      </c>
      <c r="H976">
        <f>VLOOKUP(AvatarMatResID[[#This Row],[Sex]],SexID[],2,0)</f>
        <v>2</v>
      </c>
      <c r="I976" t="str">
        <f>AvatarMatResID[[#This Row],[Material]]</f>
        <v>Male Brown Barbarian 05 Yellow</v>
      </c>
    </row>
    <row r="977" spans="1:9" x14ac:dyDescent="0.15">
      <c r="A977" t="s">
        <v>454</v>
      </c>
      <c r="B977" t="s">
        <v>1923</v>
      </c>
      <c r="C977" t="s">
        <v>1332</v>
      </c>
      <c r="D977">
        <v>307</v>
      </c>
      <c r="F977">
        <f>OUTPUTAvatarMatResID[[#This Row],[AvatarPartID]]*10000+OUTPUTAvatarMatResID[[#This Row],[SexID]]*1000+AvatarMatResID[[#This Row],[CountIndex]]</f>
        <v>12307</v>
      </c>
      <c r="G977">
        <f>VLOOKUP(AvatarMatResID[[#This Row],[AvatarPart]],AvatarPartID[],2,0)</f>
        <v>1</v>
      </c>
      <c r="H977">
        <f>VLOOKUP(AvatarMatResID[[#This Row],[Sex]],SexID[],2,0)</f>
        <v>2</v>
      </c>
      <c r="I977" t="str">
        <f>AvatarMatResID[[#This Row],[Material]]</f>
        <v>Male Brown Barbarian 06 Black</v>
      </c>
    </row>
    <row r="978" spans="1:9" x14ac:dyDescent="0.15">
      <c r="A978" t="s">
        <v>454</v>
      </c>
      <c r="B978" t="s">
        <v>1923</v>
      </c>
      <c r="C978" t="s">
        <v>1333</v>
      </c>
      <c r="D978">
        <v>308</v>
      </c>
      <c r="F978">
        <f>OUTPUTAvatarMatResID[[#This Row],[AvatarPartID]]*10000+OUTPUTAvatarMatResID[[#This Row],[SexID]]*1000+AvatarMatResID[[#This Row],[CountIndex]]</f>
        <v>12308</v>
      </c>
      <c r="G978">
        <f>VLOOKUP(AvatarMatResID[[#This Row],[AvatarPart]],AvatarPartID[],2,0)</f>
        <v>1</v>
      </c>
      <c r="H978">
        <f>VLOOKUP(AvatarMatResID[[#This Row],[Sex]],SexID[],2,0)</f>
        <v>2</v>
      </c>
      <c r="I978" t="str">
        <f>AvatarMatResID[[#This Row],[Material]]</f>
        <v>Male Brown Barbarian 06 Blue</v>
      </c>
    </row>
    <row r="979" spans="1:9" x14ac:dyDescent="0.15">
      <c r="A979" t="s">
        <v>454</v>
      </c>
      <c r="B979" t="s">
        <v>1923</v>
      </c>
      <c r="C979" t="s">
        <v>1334</v>
      </c>
      <c r="D979">
        <v>309</v>
      </c>
      <c r="F979">
        <f>OUTPUTAvatarMatResID[[#This Row],[AvatarPartID]]*10000+OUTPUTAvatarMatResID[[#This Row],[SexID]]*1000+AvatarMatResID[[#This Row],[CountIndex]]</f>
        <v>12309</v>
      </c>
      <c r="G979">
        <f>VLOOKUP(AvatarMatResID[[#This Row],[AvatarPart]],AvatarPartID[],2,0)</f>
        <v>1</v>
      </c>
      <c r="H979">
        <f>VLOOKUP(AvatarMatResID[[#This Row],[Sex]],SexID[],2,0)</f>
        <v>2</v>
      </c>
      <c r="I979" t="str">
        <f>AvatarMatResID[[#This Row],[Material]]</f>
        <v>Male Brown Barbarian 06 Green</v>
      </c>
    </row>
    <row r="980" spans="1:9" x14ac:dyDescent="0.15">
      <c r="A980" t="s">
        <v>454</v>
      </c>
      <c r="B980" t="s">
        <v>1923</v>
      </c>
      <c r="C980" t="s">
        <v>1335</v>
      </c>
      <c r="D980">
        <v>310</v>
      </c>
      <c r="F980">
        <f>OUTPUTAvatarMatResID[[#This Row],[AvatarPartID]]*10000+OUTPUTAvatarMatResID[[#This Row],[SexID]]*1000+AvatarMatResID[[#This Row],[CountIndex]]</f>
        <v>12310</v>
      </c>
      <c r="G980">
        <f>VLOOKUP(AvatarMatResID[[#This Row],[AvatarPart]],AvatarPartID[],2,0)</f>
        <v>1</v>
      </c>
      <c r="H980">
        <f>VLOOKUP(AvatarMatResID[[#This Row],[Sex]],SexID[],2,0)</f>
        <v>2</v>
      </c>
      <c r="I980" t="str">
        <f>AvatarMatResID[[#This Row],[Material]]</f>
        <v>Male Brown Barbarian 06 Magenta</v>
      </c>
    </row>
    <row r="981" spans="1:9" x14ac:dyDescent="0.15">
      <c r="A981" t="s">
        <v>454</v>
      </c>
      <c r="B981" t="s">
        <v>1923</v>
      </c>
      <c r="C981" t="s">
        <v>1336</v>
      </c>
      <c r="D981">
        <v>311</v>
      </c>
      <c r="F981">
        <f>OUTPUTAvatarMatResID[[#This Row],[AvatarPartID]]*10000+OUTPUTAvatarMatResID[[#This Row],[SexID]]*1000+AvatarMatResID[[#This Row],[CountIndex]]</f>
        <v>12311</v>
      </c>
      <c r="G981">
        <f>VLOOKUP(AvatarMatResID[[#This Row],[AvatarPart]],AvatarPartID[],2,0)</f>
        <v>1</v>
      </c>
      <c r="H981">
        <f>VLOOKUP(AvatarMatResID[[#This Row],[Sex]],SexID[],2,0)</f>
        <v>2</v>
      </c>
      <c r="I981" t="str">
        <f>AvatarMatResID[[#This Row],[Material]]</f>
        <v>Male Brown Barbarian 06 Purple</v>
      </c>
    </row>
    <row r="982" spans="1:9" x14ac:dyDescent="0.15">
      <c r="A982" t="s">
        <v>454</v>
      </c>
      <c r="B982" t="s">
        <v>1923</v>
      </c>
      <c r="C982" t="s">
        <v>1337</v>
      </c>
      <c r="D982">
        <v>312</v>
      </c>
      <c r="F982">
        <f>OUTPUTAvatarMatResID[[#This Row],[AvatarPartID]]*10000+OUTPUTAvatarMatResID[[#This Row],[SexID]]*1000+AvatarMatResID[[#This Row],[CountIndex]]</f>
        <v>12312</v>
      </c>
      <c r="G982">
        <f>VLOOKUP(AvatarMatResID[[#This Row],[AvatarPart]],AvatarPartID[],2,0)</f>
        <v>1</v>
      </c>
      <c r="H982">
        <f>VLOOKUP(AvatarMatResID[[#This Row],[Sex]],SexID[],2,0)</f>
        <v>2</v>
      </c>
      <c r="I982" t="str">
        <f>AvatarMatResID[[#This Row],[Material]]</f>
        <v>Male Brown Barbarian 06 Red</v>
      </c>
    </row>
    <row r="983" spans="1:9" x14ac:dyDescent="0.15">
      <c r="A983" t="s">
        <v>454</v>
      </c>
      <c r="B983" t="s">
        <v>1923</v>
      </c>
      <c r="C983" t="s">
        <v>1338</v>
      </c>
      <c r="D983">
        <v>313</v>
      </c>
      <c r="F983">
        <f>OUTPUTAvatarMatResID[[#This Row],[AvatarPartID]]*10000+OUTPUTAvatarMatResID[[#This Row],[SexID]]*1000+AvatarMatResID[[#This Row],[CountIndex]]</f>
        <v>12313</v>
      </c>
      <c r="G983">
        <f>VLOOKUP(AvatarMatResID[[#This Row],[AvatarPart]],AvatarPartID[],2,0)</f>
        <v>1</v>
      </c>
      <c r="H983">
        <f>VLOOKUP(AvatarMatResID[[#This Row],[Sex]],SexID[],2,0)</f>
        <v>2</v>
      </c>
      <c r="I983" t="str">
        <f>AvatarMatResID[[#This Row],[Material]]</f>
        <v>Male Brown Barbarian 06 White</v>
      </c>
    </row>
    <row r="984" spans="1:9" x14ac:dyDescent="0.15">
      <c r="A984" t="s">
        <v>454</v>
      </c>
      <c r="B984" t="s">
        <v>1923</v>
      </c>
      <c r="C984" t="s">
        <v>1339</v>
      </c>
      <c r="D984">
        <v>314</v>
      </c>
      <c r="F984">
        <f>OUTPUTAvatarMatResID[[#This Row],[AvatarPartID]]*10000+OUTPUTAvatarMatResID[[#This Row],[SexID]]*1000+AvatarMatResID[[#This Row],[CountIndex]]</f>
        <v>12314</v>
      </c>
      <c r="G984">
        <f>VLOOKUP(AvatarMatResID[[#This Row],[AvatarPart]],AvatarPartID[],2,0)</f>
        <v>1</v>
      </c>
      <c r="H984">
        <f>VLOOKUP(AvatarMatResID[[#This Row],[Sex]],SexID[],2,0)</f>
        <v>2</v>
      </c>
      <c r="I984" t="str">
        <f>AvatarMatResID[[#This Row],[Material]]</f>
        <v>Male Brown Barbarian 06 Yellow</v>
      </c>
    </row>
    <row r="985" spans="1:9" x14ac:dyDescent="0.15">
      <c r="A985" t="s">
        <v>454</v>
      </c>
      <c r="B985" t="s">
        <v>1923</v>
      </c>
      <c r="C985" t="s">
        <v>1340</v>
      </c>
      <c r="D985">
        <v>315</v>
      </c>
      <c r="F985">
        <f>OUTPUTAvatarMatResID[[#This Row],[AvatarPartID]]*10000+OUTPUTAvatarMatResID[[#This Row],[SexID]]*1000+AvatarMatResID[[#This Row],[CountIndex]]</f>
        <v>12315</v>
      </c>
      <c r="G985">
        <f>VLOOKUP(AvatarMatResID[[#This Row],[AvatarPart]],AvatarPartID[],2,0)</f>
        <v>1</v>
      </c>
      <c r="H985">
        <f>VLOOKUP(AvatarMatResID[[#This Row],[Sex]],SexID[],2,0)</f>
        <v>2</v>
      </c>
      <c r="I985" t="str">
        <f>AvatarMatResID[[#This Row],[Material]]</f>
        <v>Male Brown Casual 01A</v>
      </c>
    </row>
    <row r="986" spans="1:9" x14ac:dyDescent="0.15">
      <c r="A986" t="s">
        <v>454</v>
      </c>
      <c r="B986" t="s">
        <v>1923</v>
      </c>
      <c r="C986" t="s">
        <v>1341</v>
      </c>
      <c r="D986">
        <v>316</v>
      </c>
      <c r="F986">
        <f>OUTPUTAvatarMatResID[[#This Row],[AvatarPartID]]*10000+OUTPUTAvatarMatResID[[#This Row],[SexID]]*1000+AvatarMatResID[[#This Row],[CountIndex]]</f>
        <v>12316</v>
      </c>
      <c r="G986">
        <f>VLOOKUP(AvatarMatResID[[#This Row],[AvatarPart]],AvatarPartID[],2,0)</f>
        <v>1</v>
      </c>
      <c r="H986">
        <f>VLOOKUP(AvatarMatResID[[#This Row],[Sex]],SexID[],2,0)</f>
        <v>2</v>
      </c>
      <c r="I986" t="str">
        <f>AvatarMatResID[[#This Row],[Material]]</f>
        <v>Male Brown Casual 01B</v>
      </c>
    </row>
    <row r="987" spans="1:9" x14ac:dyDescent="0.15">
      <c r="A987" t="s">
        <v>454</v>
      </c>
      <c r="B987" t="s">
        <v>1923</v>
      </c>
      <c r="C987" t="s">
        <v>1342</v>
      </c>
      <c r="D987">
        <v>317</v>
      </c>
      <c r="F987">
        <f>OUTPUTAvatarMatResID[[#This Row],[AvatarPartID]]*10000+OUTPUTAvatarMatResID[[#This Row],[SexID]]*1000+AvatarMatResID[[#This Row],[CountIndex]]</f>
        <v>12317</v>
      </c>
      <c r="G987">
        <f>VLOOKUP(AvatarMatResID[[#This Row],[AvatarPart]],AvatarPartID[],2,0)</f>
        <v>1</v>
      </c>
      <c r="H987">
        <f>VLOOKUP(AvatarMatResID[[#This Row],[Sex]],SexID[],2,0)</f>
        <v>2</v>
      </c>
      <c r="I987" t="str">
        <f>AvatarMatResID[[#This Row],[Material]]</f>
        <v>Male Brown Casual 01C</v>
      </c>
    </row>
    <row r="988" spans="1:9" x14ac:dyDescent="0.15">
      <c r="A988" t="s">
        <v>454</v>
      </c>
      <c r="B988" t="s">
        <v>1923</v>
      </c>
      <c r="C988" t="s">
        <v>1343</v>
      </c>
      <c r="D988">
        <v>318</v>
      </c>
      <c r="F988">
        <f>OUTPUTAvatarMatResID[[#This Row],[AvatarPartID]]*10000+OUTPUTAvatarMatResID[[#This Row],[SexID]]*1000+AvatarMatResID[[#This Row],[CountIndex]]</f>
        <v>12318</v>
      </c>
      <c r="G988">
        <f>VLOOKUP(AvatarMatResID[[#This Row],[AvatarPart]],AvatarPartID[],2,0)</f>
        <v>1</v>
      </c>
      <c r="H988">
        <f>VLOOKUP(AvatarMatResID[[#This Row],[Sex]],SexID[],2,0)</f>
        <v>2</v>
      </c>
      <c r="I988" t="str">
        <f>AvatarMatResID[[#This Row],[Material]]</f>
        <v>Male Brown Casual 02A</v>
      </c>
    </row>
    <row r="989" spans="1:9" x14ac:dyDescent="0.15">
      <c r="A989" t="s">
        <v>454</v>
      </c>
      <c r="B989" t="s">
        <v>1923</v>
      </c>
      <c r="C989" t="s">
        <v>1344</v>
      </c>
      <c r="D989">
        <v>319</v>
      </c>
      <c r="F989">
        <f>OUTPUTAvatarMatResID[[#This Row],[AvatarPartID]]*10000+OUTPUTAvatarMatResID[[#This Row],[SexID]]*1000+AvatarMatResID[[#This Row],[CountIndex]]</f>
        <v>12319</v>
      </c>
      <c r="G989">
        <f>VLOOKUP(AvatarMatResID[[#This Row],[AvatarPart]],AvatarPartID[],2,0)</f>
        <v>1</v>
      </c>
      <c r="H989">
        <f>VLOOKUP(AvatarMatResID[[#This Row],[Sex]],SexID[],2,0)</f>
        <v>2</v>
      </c>
      <c r="I989" t="str">
        <f>AvatarMatResID[[#This Row],[Material]]</f>
        <v>Male Brown Casual 02B</v>
      </c>
    </row>
    <row r="990" spans="1:9" x14ac:dyDescent="0.15">
      <c r="A990" t="s">
        <v>454</v>
      </c>
      <c r="B990" t="s">
        <v>1923</v>
      </c>
      <c r="C990" t="s">
        <v>1345</v>
      </c>
      <c r="D990">
        <v>320</v>
      </c>
      <c r="F990">
        <f>OUTPUTAvatarMatResID[[#This Row],[AvatarPartID]]*10000+OUTPUTAvatarMatResID[[#This Row],[SexID]]*1000+AvatarMatResID[[#This Row],[CountIndex]]</f>
        <v>12320</v>
      </c>
      <c r="G990">
        <f>VLOOKUP(AvatarMatResID[[#This Row],[AvatarPart]],AvatarPartID[],2,0)</f>
        <v>1</v>
      </c>
      <c r="H990">
        <f>VLOOKUP(AvatarMatResID[[#This Row],[Sex]],SexID[],2,0)</f>
        <v>2</v>
      </c>
      <c r="I990" t="str">
        <f>AvatarMatResID[[#This Row],[Material]]</f>
        <v>Male Brown Casual 02C</v>
      </c>
    </row>
    <row r="991" spans="1:9" x14ac:dyDescent="0.15">
      <c r="A991" t="s">
        <v>454</v>
      </c>
      <c r="B991" t="s">
        <v>1923</v>
      </c>
      <c r="C991" t="s">
        <v>1346</v>
      </c>
      <c r="D991">
        <v>321</v>
      </c>
      <c r="F991">
        <f>OUTPUTAvatarMatResID[[#This Row],[AvatarPartID]]*10000+OUTPUTAvatarMatResID[[#This Row],[SexID]]*1000+AvatarMatResID[[#This Row],[CountIndex]]</f>
        <v>12321</v>
      </c>
      <c r="G991">
        <f>VLOOKUP(AvatarMatResID[[#This Row],[AvatarPart]],AvatarPartID[],2,0)</f>
        <v>1</v>
      </c>
      <c r="H991">
        <f>VLOOKUP(AvatarMatResID[[#This Row],[Sex]],SexID[],2,0)</f>
        <v>2</v>
      </c>
      <c r="I991" t="str">
        <f>AvatarMatResID[[#This Row],[Material]]</f>
        <v>Male Brown Casual 03A</v>
      </c>
    </row>
    <row r="992" spans="1:9" x14ac:dyDescent="0.15">
      <c r="A992" t="s">
        <v>454</v>
      </c>
      <c r="B992" t="s">
        <v>1923</v>
      </c>
      <c r="C992" t="s">
        <v>1347</v>
      </c>
      <c r="D992">
        <v>322</v>
      </c>
      <c r="F992">
        <f>OUTPUTAvatarMatResID[[#This Row],[AvatarPartID]]*10000+OUTPUTAvatarMatResID[[#This Row],[SexID]]*1000+AvatarMatResID[[#This Row],[CountIndex]]</f>
        <v>12322</v>
      </c>
      <c r="G992">
        <f>VLOOKUP(AvatarMatResID[[#This Row],[AvatarPart]],AvatarPartID[],2,0)</f>
        <v>1</v>
      </c>
      <c r="H992">
        <f>VLOOKUP(AvatarMatResID[[#This Row],[Sex]],SexID[],2,0)</f>
        <v>2</v>
      </c>
      <c r="I992" t="str">
        <f>AvatarMatResID[[#This Row],[Material]]</f>
        <v>Male Brown Casual 03B</v>
      </c>
    </row>
    <row r="993" spans="1:9" x14ac:dyDescent="0.15">
      <c r="A993" t="s">
        <v>454</v>
      </c>
      <c r="B993" t="s">
        <v>1923</v>
      </c>
      <c r="C993" t="s">
        <v>1348</v>
      </c>
      <c r="D993">
        <v>323</v>
      </c>
      <c r="F993">
        <f>OUTPUTAvatarMatResID[[#This Row],[AvatarPartID]]*10000+OUTPUTAvatarMatResID[[#This Row],[SexID]]*1000+AvatarMatResID[[#This Row],[CountIndex]]</f>
        <v>12323</v>
      </c>
      <c r="G993">
        <f>VLOOKUP(AvatarMatResID[[#This Row],[AvatarPart]],AvatarPartID[],2,0)</f>
        <v>1</v>
      </c>
      <c r="H993">
        <f>VLOOKUP(AvatarMatResID[[#This Row],[Sex]],SexID[],2,0)</f>
        <v>2</v>
      </c>
      <c r="I993" t="str">
        <f>AvatarMatResID[[#This Row],[Material]]</f>
        <v>Male Brown Casual 03C</v>
      </c>
    </row>
    <row r="994" spans="1:9" x14ac:dyDescent="0.15">
      <c r="A994" t="s">
        <v>454</v>
      </c>
      <c r="B994" t="s">
        <v>1923</v>
      </c>
      <c r="C994" t="s">
        <v>1349</v>
      </c>
      <c r="D994">
        <v>324</v>
      </c>
      <c r="F994">
        <f>OUTPUTAvatarMatResID[[#This Row],[AvatarPartID]]*10000+OUTPUTAvatarMatResID[[#This Row],[SexID]]*1000+AvatarMatResID[[#This Row],[CountIndex]]</f>
        <v>12324</v>
      </c>
      <c r="G994">
        <f>VLOOKUP(AvatarMatResID[[#This Row],[AvatarPart]],AvatarPartID[],2,0)</f>
        <v>1</v>
      </c>
      <c r="H994">
        <f>VLOOKUP(AvatarMatResID[[#This Row],[Sex]],SexID[],2,0)</f>
        <v>2</v>
      </c>
      <c r="I994" t="str">
        <f>AvatarMatResID[[#This Row],[Material]]</f>
        <v>Male Brown Casual 04A</v>
      </c>
    </row>
    <row r="995" spans="1:9" x14ac:dyDescent="0.15">
      <c r="A995" t="s">
        <v>454</v>
      </c>
      <c r="B995" t="s">
        <v>1923</v>
      </c>
      <c r="C995" t="s">
        <v>1350</v>
      </c>
      <c r="D995">
        <v>325</v>
      </c>
      <c r="F995">
        <f>OUTPUTAvatarMatResID[[#This Row],[AvatarPartID]]*10000+OUTPUTAvatarMatResID[[#This Row],[SexID]]*1000+AvatarMatResID[[#This Row],[CountIndex]]</f>
        <v>12325</v>
      </c>
      <c r="G995">
        <f>VLOOKUP(AvatarMatResID[[#This Row],[AvatarPart]],AvatarPartID[],2,0)</f>
        <v>1</v>
      </c>
      <c r="H995">
        <f>VLOOKUP(AvatarMatResID[[#This Row],[Sex]],SexID[],2,0)</f>
        <v>2</v>
      </c>
      <c r="I995" t="str">
        <f>AvatarMatResID[[#This Row],[Material]]</f>
        <v>Male Brown Casual 04B</v>
      </c>
    </row>
    <row r="996" spans="1:9" x14ac:dyDescent="0.15">
      <c r="A996" t="s">
        <v>454</v>
      </c>
      <c r="B996" t="s">
        <v>1923</v>
      </c>
      <c r="C996" t="s">
        <v>1351</v>
      </c>
      <c r="D996">
        <v>326</v>
      </c>
      <c r="F996">
        <f>OUTPUTAvatarMatResID[[#This Row],[AvatarPartID]]*10000+OUTPUTAvatarMatResID[[#This Row],[SexID]]*1000+AvatarMatResID[[#This Row],[CountIndex]]</f>
        <v>12326</v>
      </c>
      <c r="G996">
        <f>VLOOKUP(AvatarMatResID[[#This Row],[AvatarPart]],AvatarPartID[],2,0)</f>
        <v>1</v>
      </c>
      <c r="H996">
        <f>VLOOKUP(AvatarMatResID[[#This Row],[Sex]],SexID[],2,0)</f>
        <v>2</v>
      </c>
      <c r="I996" t="str">
        <f>AvatarMatResID[[#This Row],[Material]]</f>
        <v>Male Brown Casual 04C</v>
      </c>
    </row>
    <row r="997" spans="1:9" x14ac:dyDescent="0.15">
      <c r="A997" t="s">
        <v>454</v>
      </c>
      <c r="B997" t="s">
        <v>1923</v>
      </c>
      <c r="C997" t="s">
        <v>1352</v>
      </c>
      <c r="D997">
        <v>327</v>
      </c>
      <c r="F997">
        <f>OUTPUTAvatarMatResID[[#This Row],[AvatarPartID]]*10000+OUTPUTAvatarMatResID[[#This Row],[SexID]]*1000+AvatarMatResID[[#This Row],[CountIndex]]</f>
        <v>12327</v>
      </c>
      <c r="G997">
        <f>VLOOKUP(AvatarMatResID[[#This Row],[AvatarPart]],AvatarPartID[],2,0)</f>
        <v>1</v>
      </c>
      <c r="H997">
        <f>VLOOKUP(AvatarMatResID[[#This Row],[Sex]],SexID[],2,0)</f>
        <v>2</v>
      </c>
      <c r="I997" t="str">
        <f>AvatarMatResID[[#This Row],[Material]]</f>
        <v>Male Brown Casual 05A</v>
      </c>
    </row>
    <row r="998" spans="1:9" x14ac:dyDescent="0.15">
      <c r="A998" t="s">
        <v>454</v>
      </c>
      <c r="B998" t="s">
        <v>1923</v>
      </c>
      <c r="C998" t="s">
        <v>1353</v>
      </c>
      <c r="D998">
        <v>328</v>
      </c>
      <c r="F998">
        <f>OUTPUTAvatarMatResID[[#This Row],[AvatarPartID]]*10000+OUTPUTAvatarMatResID[[#This Row],[SexID]]*1000+AvatarMatResID[[#This Row],[CountIndex]]</f>
        <v>12328</v>
      </c>
      <c r="G998">
        <f>VLOOKUP(AvatarMatResID[[#This Row],[AvatarPart]],AvatarPartID[],2,0)</f>
        <v>1</v>
      </c>
      <c r="H998">
        <f>VLOOKUP(AvatarMatResID[[#This Row],[Sex]],SexID[],2,0)</f>
        <v>2</v>
      </c>
      <c r="I998" t="str">
        <f>AvatarMatResID[[#This Row],[Material]]</f>
        <v>Male Brown Casual 05B</v>
      </c>
    </row>
    <row r="999" spans="1:9" x14ac:dyDescent="0.15">
      <c r="A999" t="s">
        <v>454</v>
      </c>
      <c r="B999" t="s">
        <v>1923</v>
      </c>
      <c r="C999" t="s">
        <v>1354</v>
      </c>
      <c r="D999">
        <v>329</v>
      </c>
      <c r="F999">
        <f>OUTPUTAvatarMatResID[[#This Row],[AvatarPartID]]*10000+OUTPUTAvatarMatResID[[#This Row],[SexID]]*1000+AvatarMatResID[[#This Row],[CountIndex]]</f>
        <v>12329</v>
      </c>
      <c r="G999">
        <f>VLOOKUP(AvatarMatResID[[#This Row],[AvatarPart]],AvatarPartID[],2,0)</f>
        <v>1</v>
      </c>
      <c r="H999">
        <f>VLOOKUP(AvatarMatResID[[#This Row],[Sex]],SexID[],2,0)</f>
        <v>2</v>
      </c>
      <c r="I999" t="str">
        <f>AvatarMatResID[[#This Row],[Material]]</f>
        <v>Male Brown Casual 05C</v>
      </c>
    </row>
    <row r="1000" spans="1:9" x14ac:dyDescent="0.15">
      <c r="A1000" t="s">
        <v>454</v>
      </c>
      <c r="B1000" t="s">
        <v>1923</v>
      </c>
      <c r="C1000" t="s">
        <v>1355</v>
      </c>
      <c r="D1000">
        <v>330</v>
      </c>
      <c r="F1000">
        <f>OUTPUTAvatarMatResID[[#This Row],[AvatarPartID]]*10000+OUTPUTAvatarMatResID[[#This Row],[SexID]]*1000+AvatarMatResID[[#This Row],[CountIndex]]</f>
        <v>12330</v>
      </c>
      <c r="G1000">
        <f>VLOOKUP(AvatarMatResID[[#This Row],[AvatarPart]],AvatarPartID[],2,0)</f>
        <v>1</v>
      </c>
      <c r="H1000">
        <f>VLOOKUP(AvatarMatResID[[#This Row],[Sex]],SexID[],2,0)</f>
        <v>2</v>
      </c>
      <c r="I1000" t="str">
        <f>AvatarMatResID[[#This Row],[Material]]</f>
        <v>Male Brown Casual 06A</v>
      </c>
    </row>
    <row r="1001" spans="1:9" x14ac:dyDescent="0.15">
      <c r="A1001" t="s">
        <v>454</v>
      </c>
      <c r="B1001" t="s">
        <v>1923</v>
      </c>
      <c r="C1001" t="s">
        <v>1356</v>
      </c>
      <c r="D1001">
        <v>331</v>
      </c>
      <c r="F1001">
        <f>OUTPUTAvatarMatResID[[#This Row],[AvatarPartID]]*10000+OUTPUTAvatarMatResID[[#This Row],[SexID]]*1000+AvatarMatResID[[#This Row],[CountIndex]]</f>
        <v>12331</v>
      </c>
      <c r="G1001">
        <f>VLOOKUP(AvatarMatResID[[#This Row],[AvatarPart]],AvatarPartID[],2,0)</f>
        <v>1</v>
      </c>
      <c r="H1001">
        <f>VLOOKUP(AvatarMatResID[[#This Row],[Sex]],SexID[],2,0)</f>
        <v>2</v>
      </c>
      <c r="I1001" t="str">
        <f>AvatarMatResID[[#This Row],[Material]]</f>
        <v>Male Brown Casual 06B</v>
      </c>
    </row>
    <row r="1002" spans="1:9" x14ac:dyDescent="0.15">
      <c r="A1002" t="s">
        <v>454</v>
      </c>
      <c r="B1002" t="s">
        <v>1923</v>
      </c>
      <c r="C1002" t="s">
        <v>1357</v>
      </c>
      <c r="D1002">
        <v>332</v>
      </c>
      <c r="F1002">
        <f>OUTPUTAvatarMatResID[[#This Row],[AvatarPartID]]*10000+OUTPUTAvatarMatResID[[#This Row],[SexID]]*1000+AvatarMatResID[[#This Row],[CountIndex]]</f>
        <v>12332</v>
      </c>
      <c r="G1002">
        <f>VLOOKUP(AvatarMatResID[[#This Row],[AvatarPart]],AvatarPartID[],2,0)</f>
        <v>1</v>
      </c>
      <c r="H1002">
        <f>VLOOKUP(AvatarMatResID[[#This Row],[Sex]],SexID[],2,0)</f>
        <v>2</v>
      </c>
      <c r="I1002" t="str">
        <f>AvatarMatResID[[#This Row],[Material]]</f>
        <v>Male Brown Casual 06C</v>
      </c>
    </row>
    <row r="1003" spans="1:9" x14ac:dyDescent="0.15">
      <c r="A1003" t="s">
        <v>454</v>
      </c>
      <c r="B1003" t="s">
        <v>1923</v>
      </c>
      <c r="C1003" t="s">
        <v>1358</v>
      </c>
      <c r="D1003">
        <v>333</v>
      </c>
      <c r="F1003">
        <f>OUTPUTAvatarMatResID[[#This Row],[AvatarPartID]]*10000+OUTPUTAvatarMatResID[[#This Row],[SexID]]*1000+AvatarMatResID[[#This Row],[CountIndex]]</f>
        <v>12333</v>
      </c>
      <c r="G1003">
        <f>VLOOKUP(AvatarMatResID[[#This Row],[AvatarPart]],AvatarPartID[],2,0)</f>
        <v>1</v>
      </c>
      <c r="H1003">
        <f>VLOOKUP(AvatarMatResID[[#This Row],[Sex]],SexID[],2,0)</f>
        <v>2</v>
      </c>
      <c r="I1003" t="str">
        <f>AvatarMatResID[[#This Row],[Material]]</f>
        <v>Male Brown Casual 07A</v>
      </c>
    </row>
    <row r="1004" spans="1:9" x14ac:dyDescent="0.15">
      <c r="A1004" t="s">
        <v>454</v>
      </c>
      <c r="B1004" t="s">
        <v>1923</v>
      </c>
      <c r="C1004" t="s">
        <v>1359</v>
      </c>
      <c r="D1004">
        <v>334</v>
      </c>
      <c r="F1004">
        <f>OUTPUTAvatarMatResID[[#This Row],[AvatarPartID]]*10000+OUTPUTAvatarMatResID[[#This Row],[SexID]]*1000+AvatarMatResID[[#This Row],[CountIndex]]</f>
        <v>12334</v>
      </c>
      <c r="G1004">
        <f>VLOOKUP(AvatarMatResID[[#This Row],[AvatarPart]],AvatarPartID[],2,0)</f>
        <v>1</v>
      </c>
      <c r="H1004">
        <f>VLOOKUP(AvatarMatResID[[#This Row],[Sex]],SexID[],2,0)</f>
        <v>2</v>
      </c>
      <c r="I1004" t="str">
        <f>AvatarMatResID[[#This Row],[Material]]</f>
        <v>Male Brown Casual 07B</v>
      </c>
    </row>
    <row r="1005" spans="1:9" x14ac:dyDescent="0.15">
      <c r="A1005" t="s">
        <v>454</v>
      </c>
      <c r="B1005" t="s">
        <v>1923</v>
      </c>
      <c r="C1005" t="s">
        <v>1360</v>
      </c>
      <c r="D1005">
        <v>335</v>
      </c>
      <c r="F1005">
        <f>OUTPUTAvatarMatResID[[#This Row],[AvatarPartID]]*10000+OUTPUTAvatarMatResID[[#This Row],[SexID]]*1000+AvatarMatResID[[#This Row],[CountIndex]]</f>
        <v>12335</v>
      </c>
      <c r="G1005">
        <f>VLOOKUP(AvatarMatResID[[#This Row],[AvatarPart]],AvatarPartID[],2,0)</f>
        <v>1</v>
      </c>
      <c r="H1005">
        <f>VLOOKUP(AvatarMatResID[[#This Row],[Sex]],SexID[],2,0)</f>
        <v>2</v>
      </c>
      <c r="I1005" t="str">
        <f>AvatarMatResID[[#This Row],[Material]]</f>
        <v>Male Brown Casual 07C</v>
      </c>
    </row>
    <row r="1006" spans="1:9" x14ac:dyDescent="0.15">
      <c r="A1006" t="s">
        <v>454</v>
      </c>
      <c r="B1006" t="s">
        <v>1923</v>
      </c>
      <c r="C1006" t="s">
        <v>1361</v>
      </c>
      <c r="D1006">
        <v>336</v>
      </c>
      <c r="F1006">
        <f>OUTPUTAvatarMatResID[[#This Row],[AvatarPartID]]*10000+OUTPUTAvatarMatResID[[#This Row],[SexID]]*1000+AvatarMatResID[[#This Row],[CountIndex]]</f>
        <v>12336</v>
      </c>
      <c r="G1006">
        <f>VLOOKUP(AvatarMatResID[[#This Row],[AvatarPart]],AvatarPartID[],2,0)</f>
        <v>1</v>
      </c>
      <c r="H1006">
        <f>VLOOKUP(AvatarMatResID[[#This Row],[Sex]],SexID[],2,0)</f>
        <v>2</v>
      </c>
      <c r="I1006" t="str">
        <f>AvatarMatResID[[#This Row],[Material]]</f>
        <v>Male Brown Casual 08A</v>
      </c>
    </row>
    <row r="1007" spans="1:9" x14ac:dyDescent="0.15">
      <c r="A1007" t="s">
        <v>454</v>
      </c>
      <c r="B1007" t="s">
        <v>1923</v>
      </c>
      <c r="C1007" t="s">
        <v>1362</v>
      </c>
      <c r="D1007">
        <v>337</v>
      </c>
      <c r="F1007">
        <f>OUTPUTAvatarMatResID[[#This Row],[AvatarPartID]]*10000+OUTPUTAvatarMatResID[[#This Row],[SexID]]*1000+AvatarMatResID[[#This Row],[CountIndex]]</f>
        <v>12337</v>
      </c>
      <c r="G1007">
        <f>VLOOKUP(AvatarMatResID[[#This Row],[AvatarPart]],AvatarPartID[],2,0)</f>
        <v>1</v>
      </c>
      <c r="H1007">
        <f>VLOOKUP(AvatarMatResID[[#This Row],[Sex]],SexID[],2,0)</f>
        <v>2</v>
      </c>
      <c r="I1007" t="str">
        <f>AvatarMatResID[[#This Row],[Material]]</f>
        <v>Male Brown Casual 08B</v>
      </c>
    </row>
    <row r="1008" spans="1:9" x14ac:dyDescent="0.15">
      <c r="A1008" t="s">
        <v>454</v>
      </c>
      <c r="B1008" t="s">
        <v>1923</v>
      </c>
      <c r="C1008" t="s">
        <v>1363</v>
      </c>
      <c r="D1008">
        <v>338</v>
      </c>
      <c r="F1008">
        <f>OUTPUTAvatarMatResID[[#This Row],[AvatarPartID]]*10000+OUTPUTAvatarMatResID[[#This Row],[SexID]]*1000+AvatarMatResID[[#This Row],[CountIndex]]</f>
        <v>12338</v>
      </c>
      <c r="G1008">
        <f>VLOOKUP(AvatarMatResID[[#This Row],[AvatarPart]],AvatarPartID[],2,0)</f>
        <v>1</v>
      </c>
      <c r="H1008">
        <f>VLOOKUP(AvatarMatResID[[#This Row],[Sex]],SexID[],2,0)</f>
        <v>2</v>
      </c>
      <c r="I1008" t="str">
        <f>AvatarMatResID[[#This Row],[Material]]</f>
        <v>Male Brown Casual 08C</v>
      </c>
    </row>
    <row r="1009" spans="1:9" x14ac:dyDescent="0.15">
      <c r="A1009" t="s">
        <v>454</v>
      </c>
      <c r="B1009" t="s">
        <v>1923</v>
      </c>
      <c r="C1009" t="s">
        <v>1364</v>
      </c>
      <c r="D1009">
        <v>339</v>
      </c>
      <c r="F1009">
        <f>OUTPUTAvatarMatResID[[#This Row],[AvatarPartID]]*10000+OUTPUTAvatarMatResID[[#This Row],[SexID]]*1000+AvatarMatResID[[#This Row],[CountIndex]]</f>
        <v>12339</v>
      </c>
      <c r="G1009">
        <f>VLOOKUP(AvatarMatResID[[#This Row],[AvatarPart]],AvatarPartID[],2,0)</f>
        <v>1</v>
      </c>
      <c r="H1009">
        <f>VLOOKUP(AvatarMatResID[[#This Row],[Sex]],SexID[],2,0)</f>
        <v>2</v>
      </c>
      <c r="I1009" t="str">
        <f>AvatarMatResID[[#This Row],[Material]]</f>
        <v>Male Brown King 01 Black</v>
      </c>
    </row>
    <row r="1010" spans="1:9" x14ac:dyDescent="0.15">
      <c r="A1010" t="s">
        <v>454</v>
      </c>
      <c r="B1010" t="s">
        <v>1923</v>
      </c>
      <c r="C1010" t="s">
        <v>1365</v>
      </c>
      <c r="D1010">
        <v>340</v>
      </c>
      <c r="F1010">
        <f>OUTPUTAvatarMatResID[[#This Row],[AvatarPartID]]*10000+OUTPUTAvatarMatResID[[#This Row],[SexID]]*1000+AvatarMatResID[[#This Row],[CountIndex]]</f>
        <v>12340</v>
      </c>
      <c r="G1010">
        <f>VLOOKUP(AvatarMatResID[[#This Row],[AvatarPart]],AvatarPartID[],2,0)</f>
        <v>1</v>
      </c>
      <c r="H1010">
        <f>VLOOKUP(AvatarMatResID[[#This Row],[Sex]],SexID[],2,0)</f>
        <v>2</v>
      </c>
      <c r="I1010" t="str">
        <f>AvatarMatResID[[#This Row],[Material]]</f>
        <v>Male Brown King 01 Blue</v>
      </c>
    </row>
    <row r="1011" spans="1:9" x14ac:dyDescent="0.15">
      <c r="A1011" t="s">
        <v>454</v>
      </c>
      <c r="B1011" t="s">
        <v>1923</v>
      </c>
      <c r="C1011" t="s">
        <v>1366</v>
      </c>
      <c r="D1011">
        <v>341</v>
      </c>
      <c r="F1011">
        <f>OUTPUTAvatarMatResID[[#This Row],[AvatarPartID]]*10000+OUTPUTAvatarMatResID[[#This Row],[SexID]]*1000+AvatarMatResID[[#This Row],[CountIndex]]</f>
        <v>12341</v>
      </c>
      <c r="G1011">
        <f>VLOOKUP(AvatarMatResID[[#This Row],[AvatarPart]],AvatarPartID[],2,0)</f>
        <v>1</v>
      </c>
      <c r="H1011">
        <f>VLOOKUP(AvatarMatResID[[#This Row],[Sex]],SexID[],2,0)</f>
        <v>2</v>
      </c>
      <c r="I1011" t="str">
        <f>AvatarMatResID[[#This Row],[Material]]</f>
        <v>Male Brown King 01 Green</v>
      </c>
    </row>
    <row r="1012" spans="1:9" x14ac:dyDescent="0.15">
      <c r="A1012" t="s">
        <v>454</v>
      </c>
      <c r="B1012" t="s">
        <v>1923</v>
      </c>
      <c r="C1012" t="s">
        <v>1367</v>
      </c>
      <c r="D1012">
        <v>342</v>
      </c>
      <c r="F1012">
        <f>OUTPUTAvatarMatResID[[#This Row],[AvatarPartID]]*10000+OUTPUTAvatarMatResID[[#This Row],[SexID]]*1000+AvatarMatResID[[#This Row],[CountIndex]]</f>
        <v>12342</v>
      </c>
      <c r="G1012">
        <f>VLOOKUP(AvatarMatResID[[#This Row],[AvatarPart]],AvatarPartID[],2,0)</f>
        <v>1</v>
      </c>
      <c r="H1012">
        <f>VLOOKUP(AvatarMatResID[[#This Row],[Sex]],SexID[],2,0)</f>
        <v>2</v>
      </c>
      <c r="I1012" t="str">
        <f>AvatarMatResID[[#This Row],[Material]]</f>
        <v>Male Brown King 01 Magenta</v>
      </c>
    </row>
    <row r="1013" spans="1:9" x14ac:dyDescent="0.15">
      <c r="A1013" t="s">
        <v>454</v>
      </c>
      <c r="B1013" t="s">
        <v>1923</v>
      </c>
      <c r="C1013" t="s">
        <v>1368</v>
      </c>
      <c r="D1013">
        <v>343</v>
      </c>
      <c r="F1013">
        <f>OUTPUTAvatarMatResID[[#This Row],[AvatarPartID]]*10000+OUTPUTAvatarMatResID[[#This Row],[SexID]]*1000+AvatarMatResID[[#This Row],[CountIndex]]</f>
        <v>12343</v>
      </c>
      <c r="G1013">
        <f>VLOOKUP(AvatarMatResID[[#This Row],[AvatarPart]],AvatarPartID[],2,0)</f>
        <v>1</v>
      </c>
      <c r="H1013">
        <f>VLOOKUP(AvatarMatResID[[#This Row],[Sex]],SexID[],2,0)</f>
        <v>2</v>
      </c>
      <c r="I1013" t="str">
        <f>AvatarMatResID[[#This Row],[Material]]</f>
        <v>Male Brown King 01 Purple</v>
      </c>
    </row>
    <row r="1014" spans="1:9" x14ac:dyDescent="0.15">
      <c r="A1014" t="s">
        <v>454</v>
      </c>
      <c r="B1014" t="s">
        <v>1923</v>
      </c>
      <c r="C1014" t="s">
        <v>1369</v>
      </c>
      <c r="D1014">
        <v>344</v>
      </c>
      <c r="F1014">
        <f>OUTPUTAvatarMatResID[[#This Row],[AvatarPartID]]*10000+OUTPUTAvatarMatResID[[#This Row],[SexID]]*1000+AvatarMatResID[[#This Row],[CountIndex]]</f>
        <v>12344</v>
      </c>
      <c r="G1014">
        <f>VLOOKUP(AvatarMatResID[[#This Row],[AvatarPart]],AvatarPartID[],2,0)</f>
        <v>1</v>
      </c>
      <c r="H1014">
        <f>VLOOKUP(AvatarMatResID[[#This Row],[Sex]],SexID[],2,0)</f>
        <v>2</v>
      </c>
      <c r="I1014" t="str">
        <f>AvatarMatResID[[#This Row],[Material]]</f>
        <v>Male Brown King 01 Red</v>
      </c>
    </row>
    <row r="1015" spans="1:9" x14ac:dyDescent="0.15">
      <c r="A1015" t="s">
        <v>454</v>
      </c>
      <c r="B1015" t="s">
        <v>1923</v>
      </c>
      <c r="C1015" t="s">
        <v>1370</v>
      </c>
      <c r="D1015">
        <v>345</v>
      </c>
      <c r="F1015">
        <f>OUTPUTAvatarMatResID[[#This Row],[AvatarPartID]]*10000+OUTPUTAvatarMatResID[[#This Row],[SexID]]*1000+AvatarMatResID[[#This Row],[CountIndex]]</f>
        <v>12345</v>
      </c>
      <c r="G1015">
        <f>VLOOKUP(AvatarMatResID[[#This Row],[AvatarPart]],AvatarPartID[],2,0)</f>
        <v>1</v>
      </c>
      <c r="H1015">
        <f>VLOOKUP(AvatarMatResID[[#This Row],[Sex]],SexID[],2,0)</f>
        <v>2</v>
      </c>
      <c r="I1015" t="str">
        <f>AvatarMatResID[[#This Row],[Material]]</f>
        <v>Male Brown King 01 White</v>
      </c>
    </row>
    <row r="1016" spans="1:9" x14ac:dyDescent="0.15">
      <c r="A1016" t="s">
        <v>454</v>
      </c>
      <c r="B1016" t="s">
        <v>1923</v>
      </c>
      <c r="C1016" t="s">
        <v>1371</v>
      </c>
      <c r="D1016">
        <v>346</v>
      </c>
      <c r="F1016">
        <f>OUTPUTAvatarMatResID[[#This Row],[AvatarPartID]]*10000+OUTPUTAvatarMatResID[[#This Row],[SexID]]*1000+AvatarMatResID[[#This Row],[CountIndex]]</f>
        <v>12346</v>
      </c>
      <c r="G1016">
        <f>VLOOKUP(AvatarMatResID[[#This Row],[AvatarPart]],AvatarPartID[],2,0)</f>
        <v>1</v>
      </c>
      <c r="H1016">
        <f>VLOOKUP(AvatarMatResID[[#This Row],[Sex]],SexID[],2,0)</f>
        <v>2</v>
      </c>
      <c r="I1016" t="str">
        <f>AvatarMatResID[[#This Row],[Material]]</f>
        <v>Male Brown King 01 Yellow</v>
      </c>
    </row>
    <row r="1017" spans="1:9" x14ac:dyDescent="0.15">
      <c r="A1017" t="s">
        <v>454</v>
      </c>
      <c r="B1017" t="s">
        <v>1923</v>
      </c>
      <c r="C1017" t="s">
        <v>1372</v>
      </c>
      <c r="D1017">
        <v>347</v>
      </c>
      <c r="F1017">
        <f>OUTPUTAvatarMatResID[[#This Row],[AvatarPartID]]*10000+OUTPUTAvatarMatResID[[#This Row],[SexID]]*1000+AvatarMatResID[[#This Row],[CountIndex]]</f>
        <v>12347</v>
      </c>
      <c r="G1017">
        <f>VLOOKUP(AvatarMatResID[[#This Row],[AvatarPart]],AvatarPartID[],2,0)</f>
        <v>1</v>
      </c>
      <c r="H1017">
        <f>VLOOKUP(AvatarMatResID[[#This Row],[Sex]],SexID[],2,0)</f>
        <v>2</v>
      </c>
      <c r="I1017" t="str">
        <f>AvatarMatResID[[#This Row],[Material]]</f>
        <v>Male Brown Knight 01 Black</v>
      </c>
    </row>
    <row r="1018" spans="1:9" x14ac:dyDescent="0.15">
      <c r="A1018" t="s">
        <v>454</v>
      </c>
      <c r="B1018" t="s">
        <v>1923</v>
      </c>
      <c r="C1018" t="s">
        <v>1373</v>
      </c>
      <c r="D1018">
        <v>348</v>
      </c>
      <c r="F1018">
        <f>OUTPUTAvatarMatResID[[#This Row],[AvatarPartID]]*10000+OUTPUTAvatarMatResID[[#This Row],[SexID]]*1000+AvatarMatResID[[#This Row],[CountIndex]]</f>
        <v>12348</v>
      </c>
      <c r="G1018">
        <f>VLOOKUP(AvatarMatResID[[#This Row],[AvatarPart]],AvatarPartID[],2,0)</f>
        <v>1</v>
      </c>
      <c r="H1018">
        <f>VLOOKUP(AvatarMatResID[[#This Row],[Sex]],SexID[],2,0)</f>
        <v>2</v>
      </c>
      <c r="I1018" t="str">
        <f>AvatarMatResID[[#This Row],[Material]]</f>
        <v>Male Brown Knight 01 Blue</v>
      </c>
    </row>
    <row r="1019" spans="1:9" x14ac:dyDescent="0.15">
      <c r="A1019" t="s">
        <v>454</v>
      </c>
      <c r="B1019" t="s">
        <v>1923</v>
      </c>
      <c r="C1019" t="s">
        <v>1374</v>
      </c>
      <c r="D1019">
        <v>349</v>
      </c>
      <c r="F1019">
        <f>OUTPUTAvatarMatResID[[#This Row],[AvatarPartID]]*10000+OUTPUTAvatarMatResID[[#This Row],[SexID]]*1000+AvatarMatResID[[#This Row],[CountIndex]]</f>
        <v>12349</v>
      </c>
      <c r="G1019">
        <f>VLOOKUP(AvatarMatResID[[#This Row],[AvatarPart]],AvatarPartID[],2,0)</f>
        <v>1</v>
      </c>
      <c r="H1019">
        <f>VLOOKUP(AvatarMatResID[[#This Row],[Sex]],SexID[],2,0)</f>
        <v>2</v>
      </c>
      <c r="I1019" t="str">
        <f>AvatarMatResID[[#This Row],[Material]]</f>
        <v>Male Brown Knight 01 Red</v>
      </c>
    </row>
    <row r="1020" spans="1:9" x14ac:dyDescent="0.15">
      <c r="A1020" t="s">
        <v>454</v>
      </c>
      <c r="B1020" t="s">
        <v>1923</v>
      </c>
      <c r="C1020" t="s">
        <v>1375</v>
      </c>
      <c r="D1020">
        <v>350</v>
      </c>
      <c r="F1020">
        <f>OUTPUTAvatarMatResID[[#This Row],[AvatarPartID]]*10000+OUTPUTAvatarMatResID[[#This Row],[SexID]]*1000+AvatarMatResID[[#This Row],[CountIndex]]</f>
        <v>12350</v>
      </c>
      <c r="G1020">
        <f>VLOOKUP(AvatarMatResID[[#This Row],[AvatarPart]],AvatarPartID[],2,0)</f>
        <v>1</v>
      </c>
      <c r="H1020">
        <f>VLOOKUP(AvatarMatResID[[#This Row],[Sex]],SexID[],2,0)</f>
        <v>2</v>
      </c>
      <c r="I1020" t="str">
        <f>AvatarMatResID[[#This Row],[Material]]</f>
        <v>Male Brown Knight 01 White</v>
      </c>
    </row>
    <row r="1021" spans="1:9" x14ac:dyDescent="0.15">
      <c r="A1021" t="s">
        <v>454</v>
      </c>
      <c r="B1021" t="s">
        <v>1923</v>
      </c>
      <c r="C1021" t="s">
        <v>1376</v>
      </c>
      <c r="D1021">
        <v>351</v>
      </c>
      <c r="F1021">
        <f>OUTPUTAvatarMatResID[[#This Row],[AvatarPartID]]*10000+OUTPUTAvatarMatResID[[#This Row],[SexID]]*1000+AvatarMatResID[[#This Row],[CountIndex]]</f>
        <v>12351</v>
      </c>
      <c r="G1021">
        <f>VLOOKUP(AvatarMatResID[[#This Row],[AvatarPart]],AvatarPartID[],2,0)</f>
        <v>1</v>
      </c>
      <c r="H1021">
        <f>VLOOKUP(AvatarMatResID[[#This Row],[Sex]],SexID[],2,0)</f>
        <v>2</v>
      </c>
      <c r="I1021" t="str">
        <f>AvatarMatResID[[#This Row],[Material]]</f>
        <v>Male Brown Knight 02 Black</v>
      </c>
    </row>
    <row r="1022" spans="1:9" x14ac:dyDescent="0.15">
      <c r="A1022" t="s">
        <v>454</v>
      </c>
      <c r="B1022" t="s">
        <v>1923</v>
      </c>
      <c r="C1022" t="s">
        <v>1377</v>
      </c>
      <c r="D1022">
        <v>352</v>
      </c>
      <c r="F1022">
        <f>OUTPUTAvatarMatResID[[#This Row],[AvatarPartID]]*10000+OUTPUTAvatarMatResID[[#This Row],[SexID]]*1000+AvatarMatResID[[#This Row],[CountIndex]]</f>
        <v>12352</v>
      </c>
      <c r="G1022">
        <f>VLOOKUP(AvatarMatResID[[#This Row],[AvatarPart]],AvatarPartID[],2,0)</f>
        <v>1</v>
      </c>
      <c r="H1022">
        <f>VLOOKUP(AvatarMatResID[[#This Row],[Sex]],SexID[],2,0)</f>
        <v>2</v>
      </c>
      <c r="I1022" t="str">
        <f>AvatarMatResID[[#This Row],[Material]]</f>
        <v>Male Brown Knight 02 Blue</v>
      </c>
    </row>
    <row r="1023" spans="1:9" x14ac:dyDescent="0.15">
      <c r="A1023" t="s">
        <v>454</v>
      </c>
      <c r="B1023" t="s">
        <v>1923</v>
      </c>
      <c r="C1023" t="s">
        <v>1378</v>
      </c>
      <c r="D1023">
        <v>353</v>
      </c>
      <c r="F1023">
        <f>OUTPUTAvatarMatResID[[#This Row],[AvatarPartID]]*10000+OUTPUTAvatarMatResID[[#This Row],[SexID]]*1000+AvatarMatResID[[#This Row],[CountIndex]]</f>
        <v>12353</v>
      </c>
      <c r="G1023">
        <f>VLOOKUP(AvatarMatResID[[#This Row],[AvatarPart]],AvatarPartID[],2,0)</f>
        <v>1</v>
      </c>
      <c r="H1023">
        <f>VLOOKUP(AvatarMatResID[[#This Row],[Sex]],SexID[],2,0)</f>
        <v>2</v>
      </c>
      <c r="I1023" t="str">
        <f>AvatarMatResID[[#This Row],[Material]]</f>
        <v>Male Brown Knight 02 Green</v>
      </c>
    </row>
    <row r="1024" spans="1:9" x14ac:dyDescent="0.15">
      <c r="A1024" t="s">
        <v>454</v>
      </c>
      <c r="B1024" t="s">
        <v>1923</v>
      </c>
      <c r="C1024" t="s">
        <v>1379</v>
      </c>
      <c r="D1024">
        <v>354</v>
      </c>
      <c r="F1024">
        <f>OUTPUTAvatarMatResID[[#This Row],[AvatarPartID]]*10000+OUTPUTAvatarMatResID[[#This Row],[SexID]]*1000+AvatarMatResID[[#This Row],[CountIndex]]</f>
        <v>12354</v>
      </c>
      <c r="G1024">
        <f>VLOOKUP(AvatarMatResID[[#This Row],[AvatarPart]],AvatarPartID[],2,0)</f>
        <v>1</v>
      </c>
      <c r="H1024">
        <f>VLOOKUP(AvatarMatResID[[#This Row],[Sex]],SexID[],2,0)</f>
        <v>2</v>
      </c>
      <c r="I1024" t="str">
        <f>AvatarMatResID[[#This Row],[Material]]</f>
        <v>Male Brown Knight 02 Purple</v>
      </c>
    </row>
    <row r="1025" spans="1:9" x14ac:dyDescent="0.15">
      <c r="A1025" t="s">
        <v>454</v>
      </c>
      <c r="B1025" t="s">
        <v>1923</v>
      </c>
      <c r="C1025" t="s">
        <v>1380</v>
      </c>
      <c r="D1025">
        <v>355</v>
      </c>
      <c r="F1025">
        <f>OUTPUTAvatarMatResID[[#This Row],[AvatarPartID]]*10000+OUTPUTAvatarMatResID[[#This Row],[SexID]]*1000+AvatarMatResID[[#This Row],[CountIndex]]</f>
        <v>12355</v>
      </c>
      <c r="G1025">
        <f>VLOOKUP(AvatarMatResID[[#This Row],[AvatarPart]],AvatarPartID[],2,0)</f>
        <v>1</v>
      </c>
      <c r="H1025">
        <f>VLOOKUP(AvatarMatResID[[#This Row],[Sex]],SexID[],2,0)</f>
        <v>2</v>
      </c>
      <c r="I1025" t="str">
        <f>AvatarMatResID[[#This Row],[Material]]</f>
        <v>Male Brown Knight 02 Red</v>
      </c>
    </row>
    <row r="1026" spans="1:9" x14ac:dyDescent="0.15">
      <c r="A1026" t="s">
        <v>454</v>
      </c>
      <c r="B1026" t="s">
        <v>1923</v>
      </c>
      <c r="C1026" t="s">
        <v>1381</v>
      </c>
      <c r="D1026">
        <v>356</v>
      </c>
      <c r="F1026">
        <f>OUTPUTAvatarMatResID[[#This Row],[AvatarPartID]]*10000+OUTPUTAvatarMatResID[[#This Row],[SexID]]*1000+AvatarMatResID[[#This Row],[CountIndex]]</f>
        <v>12356</v>
      </c>
      <c r="G1026">
        <f>VLOOKUP(AvatarMatResID[[#This Row],[AvatarPart]],AvatarPartID[],2,0)</f>
        <v>1</v>
      </c>
      <c r="H1026">
        <f>VLOOKUP(AvatarMatResID[[#This Row],[Sex]],SexID[],2,0)</f>
        <v>2</v>
      </c>
      <c r="I1026" t="str">
        <f>AvatarMatResID[[#This Row],[Material]]</f>
        <v>Male Brown Knight 02 White</v>
      </c>
    </row>
    <row r="1027" spans="1:9" x14ac:dyDescent="0.15">
      <c r="A1027" t="s">
        <v>454</v>
      </c>
      <c r="B1027" t="s">
        <v>1923</v>
      </c>
      <c r="C1027" t="s">
        <v>1382</v>
      </c>
      <c r="D1027">
        <v>357</v>
      </c>
      <c r="F1027">
        <f>OUTPUTAvatarMatResID[[#This Row],[AvatarPartID]]*10000+OUTPUTAvatarMatResID[[#This Row],[SexID]]*1000+AvatarMatResID[[#This Row],[CountIndex]]</f>
        <v>12357</v>
      </c>
      <c r="G1027">
        <f>VLOOKUP(AvatarMatResID[[#This Row],[AvatarPart]],AvatarPartID[],2,0)</f>
        <v>1</v>
      </c>
      <c r="H1027">
        <f>VLOOKUP(AvatarMatResID[[#This Row],[Sex]],SexID[],2,0)</f>
        <v>2</v>
      </c>
      <c r="I1027" t="str">
        <f>AvatarMatResID[[#This Row],[Material]]</f>
        <v>Male Brown Knight 03 Black</v>
      </c>
    </row>
    <row r="1028" spans="1:9" x14ac:dyDescent="0.15">
      <c r="A1028" t="s">
        <v>454</v>
      </c>
      <c r="B1028" t="s">
        <v>1923</v>
      </c>
      <c r="C1028" t="s">
        <v>1383</v>
      </c>
      <c r="D1028">
        <v>358</v>
      </c>
      <c r="F1028">
        <f>OUTPUTAvatarMatResID[[#This Row],[AvatarPartID]]*10000+OUTPUTAvatarMatResID[[#This Row],[SexID]]*1000+AvatarMatResID[[#This Row],[CountIndex]]</f>
        <v>12358</v>
      </c>
      <c r="G1028">
        <f>VLOOKUP(AvatarMatResID[[#This Row],[AvatarPart]],AvatarPartID[],2,0)</f>
        <v>1</v>
      </c>
      <c r="H1028">
        <f>VLOOKUP(AvatarMatResID[[#This Row],[Sex]],SexID[],2,0)</f>
        <v>2</v>
      </c>
      <c r="I1028" t="str">
        <f>AvatarMatResID[[#This Row],[Material]]</f>
        <v>Male Brown Knight 03 Blue</v>
      </c>
    </row>
    <row r="1029" spans="1:9" x14ac:dyDescent="0.15">
      <c r="A1029" t="s">
        <v>454</v>
      </c>
      <c r="B1029" t="s">
        <v>1923</v>
      </c>
      <c r="C1029" t="s">
        <v>1384</v>
      </c>
      <c r="D1029">
        <v>359</v>
      </c>
      <c r="F1029">
        <f>OUTPUTAvatarMatResID[[#This Row],[AvatarPartID]]*10000+OUTPUTAvatarMatResID[[#This Row],[SexID]]*1000+AvatarMatResID[[#This Row],[CountIndex]]</f>
        <v>12359</v>
      </c>
      <c r="G1029">
        <f>VLOOKUP(AvatarMatResID[[#This Row],[AvatarPart]],AvatarPartID[],2,0)</f>
        <v>1</v>
      </c>
      <c r="H1029">
        <f>VLOOKUP(AvatarMatResID[[#This Row],[Sex]],SexID[],2,0)</f>
        <v>2</v>
      </c>
      <c r="I1029" t="str">
        <f>AvatarMatResID[[#This Row],[Material]]</f>
        <v>Male Brown Knight 03 Brown</v>
      </c>
    </row>
    <row r="1030" spans="1:9" x14ac:dyDescent="0.15">
      <c r="A1030" t="s">
        <v>454</v>
      </c>
      <c r="B1030" t="s">
        <v>1923</v>
      </c>
      <c r="C1030" t="s">
        <v>1385</v>
      </c>
      <c r="D1030">
        <v>360</v>
      </c>
      <c r="F1030">
        <f>OUTPUTAvatarMatResID[[#This Row],[AvatarPartID]]*10000+OUTPUTAvatarMatResID[[#This Row],[SexID]]*1000+AvatarMatResID[[#This Row],[CountIndex]]</f>
        <v>12360</v>
      </c>
      <c r="G1030">
        <f>VLOOKUP(AvatarMatResID[[#This Row],[AvatarPart]],AvatarPartID[],2,0)</f>
        <v>1</v>
      </c>
      <c r="H1030">
        <f>VLOOKUP(AvatarMatResID[[#This Row],[Sex]],SexID[],2,0)</f>
        <v>2</v>
      </c>
      <c r="I1030" t="str">
        <f>AvatarMatResID[[#This Row],[Material]]</f>
        <v>Male Brown Knight 03 Green</v>
      </c>
    </row>
    <row r="1031" spans="1:9" x14ac:dyDescent="0.15">
      <c r="A1031" t="s">
        <v>454</v>
      </c>
      <c r="B1031" t="s">
        <v>1923</v>
      </c>
      <c r="C1031" t="s">
        <v>1386</v>
      </c>
      <c r="D1031">
        <v>361</v>
      </c>
      <c r="F1031">
        <f>OUTPUTAvatarMatResID[[#This Row],[AvatarPartID]]*10000+OUTPUTAvatarMatResID[[#This Row],[SexID]]*1000+AvatarMatResID[[#This Row],[CountIndex]]</f>
        <v>12361</v>
      </c>
      <c r="G1031">
        <f>VLOOKUP(AvatarMatResID[[#This Row],[AvatarPart]],AvatarPartID[],2,0)</f>
        <v>1</v>
      </c>
      <c r="H1031">
        <f>VLOOKUP(AvatarMatResID[[#This Row],[Sex]],SexID[],2,0)</f>
        <v>2</v>
      </c>
      <c r="I1031" t="str">
        <f>AvatarMatResID[[#This Row],[Material]]</f>
        <v>Male Brown Knight 03 Magenta</v>
      </c>
    </row>
    <row r="1032" spans="1:9" x14ac:dyDescent="0.15">
      <c r="A1032" t="s">
        <v>454</v>
      </c>
      <c r="B1032" t="s">
        <v>1923</v>
      </c>
      <c r="C1032" t="s">
        <v>1387</v>
      </c>
      <c r="D1032">
        <v>362</v>
      </c>
      <c r="F1032">
        <f>OUTPUTAvatarMatResID[[#This Row],[AvatarPartID]]*10000+OUTPUTAvatarMatResID[[#This Row],[SexID]]*1000+AvatarMatResID[[#This Row],[CountIndex]]</f>
        <v>12362</v>
      </c>
      <c r="G1032">
        <f>VLOOKUP(AvatarMatResID[[#This Row],[AvatarPart]],AvatarPartID[],2,0)</f>
        <v>1</v>
      </c>
      <c r="H1032">
        <f>VLOOKUP(AvatarMatResID[[#This Row],[Sex]],SexID[],2,0)</f>
        <v>2</v>
      </c>
      <c r="I1032" t="str">
        <f>AvatarMatResID[[#This Row],[Material]]</f>
        <v>Male Brown Knight 03 Purple</v>
      </c>
    </row>
    <row r="1033" spans="1:9" x14ac:dyDescent="0.15">
      <c r="A1033" t="s">
        <v>454</v>
      </c>
      <c r="B1033" t="s">
        <v>1923</v>
      </c>
      <c r="C1033" t="s">
        <v>1388</v>
      </c>
      <c r="D1033">
        <v>363</v>
      </c>
      <c r="F1033">
        <f>OUTPUTAvatarMatResID[[#This Row],[AvatarPartID]]*10000+OUTPUTAvatarMatResID[[#This Row],[SexID]]*1000+AvatarMatResID[[#This Row],[CountIndex]]</f>
        <v>12363</v>
      </c>
      <c r="G1033">
        <f>VLOOKUP(AvatarMatResID[[#This Row],[AvatarPart]],AvatarPartID[],2,0)</f>
        <v>1</v>
      </c>
      <c r="H1033">
        <f>VLOOKUP(AvatarMatResID[[#This Row],[Sex]],SexID[],2,0)</f>
        <v>2</v>
      </c>
      <c r="I1033" t="str">
        <f>AvatarMatResID[[#This Row],[Material]]</f>
        <v>Male Brown Knight 03 Red</v>
      </c>
    </row>
    <row r="1034" spans="1:9" x14ac:dyDescent="0.15">
      <c r="A1034" t="s">
        <v>454</v>
      </c>
      <c r="B1034" t="s">
        <v>1923</v>
      </c>
      <c r="C1034" t="s">
        <v>1389</v>
      </c>
      <c r="D1034">
        <v>364</v>
      </c>
      <c r="F1034">
        <f>OUTPUTAvatarMatResID[[#This Row],[AvatarPartID]]*10000+OUTPUTAvatarMatResID[[#This Row],[SexID]]*1000+AvatarMatResID[[#This Row],[CountIndex]]</f>
        <v>12364</v>
      </c>
      <c r="G1034">
        <f>VLOOKUP(AvatarMatResID[[#This Row],[AvatarPart]],AvatarPartID[],2,0)</f>
        <v>1</v>
      </c>
      <c r="H1034">
        <f>VLOOKUP(AvatarMatResID[[#This Row],[Sex]],SexID[],2,0)</f>
        <v>2</v>
      </c>
      <c r="I1034" t="str">
        <f>AvatarMatResID[[#This Row],[Material]]</f>
        <v>Male Brown Knight 03 White</v>
      </c>
    </row>
    <row r="1035" spans="1:9" x14ac:dyDescent="0.15">
      <c r="A1035" t="s">
        <v>454</v>
      </c>
      <c r="B1035" t="s">
        <v>1923</v>
      </c>
      <c r="C1035" t="s">
        <v>1390</v>
      </c>
      <c r="D1035">
        <v>365</v>
      </c>
      <c r="F1035">
        <f>OUTPUTAvatarMatResID[[#This Row],[AvatarPartID]]*10000+OUTPUTAvatarMatResID[[#This Row],[SexID]]*1000+AvatarMatResID[[#This Row],[CountIndex]]</f>
        <v>12365</v>
      </c>
      <c r="G1035">
        <f>VLOOKUP(AvatarMatResID[[#This Row],[AvatarPart]],AvatarPartID[],2,0)</f>
        <v>1</v>
      </c>
      <c r="H1035">
        <f>VLOOKUP(AvatarMatResID[[#This Row],[Sex]],SexID[],2,0)</f>
        <v>2</v>
      </c>
      <c r="I1035" t="str">
        <f>AvatarMatResID[[#This Row],[Material]]</f>
        <v>Male Brown Knight 04 Black</v>
      </c>
    </row>
    <row r="1036" spans="1:9" x14ac:dyDescent="0.15">
      <c r="A1036" t="s">
        <v>454</v>
      </c>
      <c r="B1036" t="s">
        <v>1923</v>
      </c>
      <c r="C1036" t="s">
        <v>1391</v>
      </c>
      <c r="D1036">
        <v>366</v>
      </c>
      <c r="F1036">
        <f>OUTPUTAvatarMatResID[[#This Row],[AvatarPartID]]*10000+OUTPUTAvatarMatResID[[#This Row],[SexID]]*1000+AvatarMatResID[[#This Row],[CountIndex]]</f>
        <v>12366</v>
      </c>
      <c r="G1036">
        <f>VLOOKUP(AvatarMatResID[[#This Row],[AvatarPart]],AvatarPartID[],2,0)</f>
        <v>1</v>
      </c>
      <c r="H1036">
        <f>VLOOKUP(AvatarMatResID[[#This Row],[Sex]],SexID[],2,0)</f>
        <v>2</v>
      </c>
      <c r="I1036" t="str">
        <f>AvatarMatResID[[#This Row],[Material]]</f>
        <v>Male Brown Knight 04 Blue</v>
      </c>
    </row>
    <row r="1037" spans="1:9" x14ac:dyDescent="0.15">
      <c r="A1037" t="s">
        <v>454</v>
      </c>
      <c r="B1037" t="s">
        <v>1923</v>
      </c>
      <c r="C1037" t="s">
        <v>1392</v>
      </c>
      <c r="D1037">
        <v>367</v>
      </c>
      <c r="F1037">
        <f>OUTPUTAvatarMatResID[[#This Row],[AvatarPartID]]*10000+OUTPUTAvatarMatResID[[#This Row],[SexID]]*1000+AvatarMatResID[[#This Row],[CountIndex]]</f>
        <v>12367</v>
      </c>
      <c r="G1037">
        <f>VLOOKUP(AvatarMatResID[[#This Row],[AvatarPart]],AvatarPartID[],2,0)</f>
        <v>1</v>
      </c>
      <c r="H1037">
        <f>VLOOKUP(AvatarMatResID[[#This Row],[Sex]],SexID[],2,0)</f>
        <v>2</v>
      </c>
      <c r="I1037" t="str">
        <f>AvatarMatResID[[#This Row],[Material]]</f>
        <v>Male Brown Knight 04 Brown</v>
      </c>
    </row>
    <row r="1038" spans="1:9" x14ac:dyDescent="0.15">
      <c r="A1038" t="s">
        <v>454</v>
      </c>
      <c r="B1038" t="s">
        <v>1923</v>
      </c>
      <c r="C1038" t="s">
        <v>1393</v>
      </c>
      <c r="D1038">
        <v>368</v>
      </c>
      <c r="F1038">
        <f>OUTPUTAvatarMatResID[[#This Row],[AvatarPartID]]*10000+OUTPUTAvatarMatResID[[#This Row],[SexID]]*1000+AvatarMatResID[[#This Row],[CountIndex]]</f>
        <v>12368</v>
      </c>
      <c r="G1038">
        <f>VLOOKUP(AvatarMatResID[[#This Row],[AvatarPart]],AvatarPartID[],2,0)</f>
        <v>1</v>
      </c>
      <c r="H1038">
        <f>VLOOKUP(AvatarMatResID[[#This Row],[Sex]],SexID[],2,0)</f>
        <v>2</v>
      </c>
      <c r="I1038" t="str">
        <f>AvatarMatResID[[#This Row],[Material]]</f>
        <v>Male Brown Knight 04 Green</v>
      </c>
    </row>
    <row r="1039" spans="1:9" x14ac:dyDescent="0.15">
      <c r="A1039" t="s">
        <v>454</v>
      </c>
      <c r="B1039" t="s">
        <v>1923</v>
      </c>
      <c r="C1039" t="s">
        <v>1394</v>
      </c>
      <c r="D1039">
        <v>369</v>
      </c>
      <c r="F1039">
        <f>OUTPUTAvatarMatResID[[#This Row],[AvatarPartID]]*10000+OUTPUTAvatarMatResID[[#This Row],[SexID]]*1000+AvatarMatResID[[#This Row],[CountIndex]]</f>
        <v>12369</v>
      </c>
      <c r="G1039">
        <f>VLOOKUP(AvatarMatResID[[#This Row],[AvatarPart]],AvatarPartID[],2,0)</f>
        <v>1</v>
      </c>
      <c r="H1039">
        <f>VLOOKUP(AvatarMatResID[[#This Row],[Sex]],SexID[],2,0)</f>
        <v>2</v>
      </c>
      <c r="I1039" t="str">
        <f>AvatarMatResID[[#This Row],[Material]]</f>
        <v>Male Brown Knight 04 Magenta</v>
      </c>
    </row>
    <row r="1040" spans="1:9" x14ac:dyDescent="0.15">
      <c r="A1040" t="s">
        <v>454</v>
      </c>
      <c r="B1040" t="s">
        <v>1923</v>
      </c>
      <c r="C1040" t="s">
        <v>1395</v>
      </c>
      <c r="D1040">
        <v>370</v>
      </c>
      <c r="F1040">
        <f>OUTPUTAvatarMatResID[[#This Row],[AvatarPartID]]*10000+OUTPUTAvatarMatResID[[#This Row],[SexID]]*1000+AvatarMatResID[[#This Row],[CountIndex]]</f>
        <v>12370</v>
      </c>
      <c r="G1040">
        <f>VLOOKUP(AvatarMatResID[[#This Row],[AvatarPart]],AvatarPartID[],2,0)</f>
        <v>1</v>
      </c>
      <c r="H1040">
        <f>VLOOKUP(AvatarMatResID[[#This Row],[Sex]],SexID[],2,0)</f>
        <v>2</v>
      </c>
      <c r="I1040" t="str">
        <f>AvatarMatResID[[#This Row],[Material]]</f>
        <v>Male Brown Knight 04 Purple</v>
      </c>
    </row>
    <row r="1041" spans="1:9" x14ac:dyDescent="0.15">
      <c r="A1041" t="s">
        <v>454</v>
      </c>
      <c r="B1041" t="s">
        <v>1923</v>
      </c>
      <c r="C1041" t="s">
        <v>1396</v>
      </c>
      <c r="D1041">
        <v>371</v>
      </c>
      <c r="F1041">
        <f>OUTPUTAvatarMatResID[[#This Row],[AvatarPartID]]*10000+OUTPUTAvatarMatResID[[#This Row],[SexID]]*1000+AvatarMatResID[[#This Row],[CountIndex]]</f>
        <v>12371</v>
      </c>
      <c r="G1041">
        <f>VLOOKUP(AvatarMatResID[[#This Row],[AvatarPart]],AvatarPartID[],2,0)</f>
        <v>1</v>
      </c>
      <c r="H1041">
        <f>VLOOKUP(AvatarMatResID[[#This Row],[Sex]],SexID[],2,0)</f>
        <v>2</v>
      </c>
      <c r="I1041" t="str">
        <f>AvatarMatResID[[#This Row],[Material]]</f>
        <v>Male Brown Knight 04 Red</v>
      </c>
    </row>
    <row r="1042" spans="1:9" x14ac:dyDescent="0.15">
      <c r="A1042" t="s">
        <v>454</v>
      </c>
      <c r="B1042" t="s">
        <v>1923</v>
      </c>
      <c r="C1042" t="s">
        <v>1397</v>
      </c>
      <c r="D1042">
        <v>372</v>
      </c>
      <c r="F1042">
        <f>OUTPUTAvatarMatResID[[#This Row],[AvatarPartID]]*10000+OUTPUTAvatarMatResID[[#This Row],[SexID]]*1000+AvatarMatResID[[#This Row],[CountIndex]]</f>
        <v>12372</v>
      </c>
      <c r="G1042">
        <f>VLOOKUP(AvatarMatResID[[#This Row],[AvatarPart]],AvatarPartID[],2,0)</f>
        <v>1</v>
      </c>
      <c r="H1042">
        <f>VLOOKUP(AvatarMatResID[[#This Row],[Sex]],SexID[],2,0)</f>
        <v>2</v>
      </c>
      <c r="I1042" t="str">
        <f>AvatarMatResID[[#This Row],[Material]]</f>
        <v>Male Brown Knight 04 White</v>
      </c>
    </row>
    <row r="1043" spans="1:9" x14ac:dyDescent="0.15">
      <c r="A1043" t="s">
        <v>454</v>
      </c>
      <c r="B1043" t="s">
        <v>1923</v>
      </c>
      <c r="C1043" t="s">
        <v>1398</v>
      </c>
      <c r="D1043">
        <v>373</v>
      </c>
      <c r="F1043">
        <f>OUTPUTAvatarMatResID[[#This Row],[AvatarPartID]]*10000+OUTPUTAvatarMatResID[[#This Row],[SexID]]*1000+AvatarMatResID[[#This Row],[CountIndex]]</f>
        <v>12373</v>
      </c>
      <c r="G1043">
        <f>VLOOKUP(AvatarMatResID[[#This Row],[AvatarPart]],AvatarPartID[],2,0)</f>
        <v>1</v>
      </c>
      <c r="H1043">
        <f>VLOOKUP(AvatarMatResID[[#This Row],[Sex]],SexID[],2,0)</f>
        <v>2</v>
      </c>
      <c r="I1043" t="str">
        <f>AvatarMatResID[[#This Row],[Material]]</f>
        <v>Male Brown Knight 05 Black</v>
      </c>
    </row>
    <row r="1044" spans="1:9" x14ac:dyDescent="0.15">
      <c r="A1044" t="s">
        <v>454</v>
      </c>
      <c r="B1044" t="s">
        <v>1923</v>
      </c>
      <c r="C1044" t="s">
        <v>1399</v>
      </c>
      <c r="D1044">
        <v>374</v>
      </c>
      <c r="F1044">
        <f>OUTPUTAvatarMatResID[[#This Row],[AvatarPartID]]*10000+OUTPUTAvatarMatResID[[#This Row],[SexID]]*1000+AvatarMatResID[[#This Row],[CountIndex]]</f>
        <v>12374</v>
      </c>
      <c r="G1044">
        <f>VLOOKUP(AvatarMatResID[[#This Row],[AvatarPart]],AvatarPartID[],2,0)</f>
        <v>1</v>
      </c>
      <c r="H1044">
        <f>VLOOKUP(AvatarMatResID[[#This Row],[Sex]],SexID[],2,0)</f>
        <v>2</v>
      </c>
      <c r="I1044" t="str">
        <f>AvatarMatResID[[#This Row],[Material]]</f>
        <v>Male Brown Knight 05 Blue</v>
      </c>
    </row>
    <row r="1045" spans="1:9" x14ac:dyDescent="0.15">
      <c r="A1045" t="s">
        <v>454</v>
      </c>
      <c r="B1045" t="s">
        <v>1923</v>
      </c>
      <c r="C1045" t="s">
        <v>1400</v>
      </c>
      <c r="D1045">
        <v>375</v>
      </c>
      <c r="F1045">
        <f>OUTPUTAvatarMatResID[[#This Row],[AvatarPartID]]*10000+OUTPUTAvatarMatResID[[#This Row],[SexID]]*1000+AvatarMatResID[[#This Row],[CountIndex]]</f>
        <v>12375</v>
      </c>
      <c r="G1045">
        <f>VLOOKUP(AvatarMatResID[[#This Row],[AvatarPart]],AvatarPartID[],2,0)</f>
        <v>1</v>
      </c>
      <c r="H1045">
        <f>VLOOKUP(AvatarMatResID[[#This Row],[Sex]],SexID[],2,0)</f>
        <v>2</v>
      </c>
      <c r="I1045" t="str">
        <f>AvatarMatResID[[#This Row],[Material]]</f>
        <v>Male Brown Knight 05 Brown</v>
      </c>
    </row>
    <row r="1046" spans="1:9" x14ac:dyDescent="0.15">
      <c r="A1046" t="s">
        <v>454</v>
      </c>
      <c r="B1046" t="s">
        <v>1923</v>
      </c>
      <c r="C1046" t="s">
        <v>1401</v>
      </c>
      <c r="D1046">
        <v>376</v>
      </c>
      <c r="F1046">
        <f>OUTPUTAvatarMatResID[[#This Row],[AvatarPartID]]*10000+OUTPUTAvatarMatResID[[#This Row],[SexID]]*1000+AvatarMatResID[[#This Row],[CountIndex]]</f>
        <v>12376</v>
      </c>
      <c r="G1046">
        <f>VLOOKUP(AvatarMatResID[[#This Row],[AvatarPart]],AvatarPartID[],2,0)</f>
        <v>1</v>
      </c>
      <c r="H1046">
        <f>VLOOKUP(AvatarMatResID[[#This Row],[Sex]],SexID[],2,0)</f>
        <v>2</v>
      </c>
      <c r="I1046" t="str">
        <f>AvatarMatResID[[#This Row],[Material]]</f>
        <v>Male Brown Knight 05 Green</v>
      </c>
    </row>
    <row r="1047" spans="1:9" x14ac:dyDescent="0.15">
      <c r="A1047" t="s">
        <v>454</v>
      </c>
      <c r="B1047" t="s">
        <v>1923</v>
      </c>
      <c r="C1047" t="s">
        <v>1402</v>
      </c>
      <c r="D1047">
        <v>377</v>
      </c>
      <c r="F1047">
        <f>OUTPUTAvatarMatResID[[#This Row],[AvatarPartID]]*10000+OUTPUTAvatarMatResID[[#This Row],[SexID]]*1000+AvatarMatResID[[#This Row],[CountIndex]]</f>
        <v>12377</v>
      </c>
      <c r="G1047">
        <f>VLOOKUP(AvatarMatResID[[#This Row],[AvatarPart]],AvatarPartID[],2,0)</f>
        <v>1</v>
      </c>
      <c r="H1047">
        <f>VLOOKUP(AvatarMatResID[[#This Row],[Sex]],SexID[],2,0)</f>
        <v>2</v>
      </c>
      <c r="I1047" t="str">
        <f>AvatarMatResID[[#This Row],[Material]]</f>
        <v>Male Brown Knight 05 Magenta</v>
      </c>
    </row>
    <row r="1048" spans="1:9" x14ac:dyDescent="0.15">
      <c r="A1048" t="s">
        <v>454</v>
      </c>
      <c r="B1048" t="s">
        <v>1923</v>
      </c>
      <c r="C1048" t="s">
        <v>1403</v>
      </c>
      <c r="D1048">
        <v>378</v>
      </c>
      <c r="F1048">
        <f>OUTPUTAvatarMatResID[[#This Row],[AvatarPartID]]*10000+OUTPUTAvatarMatResID[[#This Row],[SexID]]*1000+AvatarMatResID[[#This Row],[CountIndex]]</f>
        <v>12378</v>
      </c>
      <c r="G1048">
        <f>VLOOKUP(AvatarMatResID[[#This Row],[AvatarPart]],AvatarPartID[],2,0)</f>
        <v>1</v>
      </c>
      <c r="H1048">
        <f>VLOOKUP(AvatarMatResID[[#This Row],[Sex]],SexID[],2,0)</f>
        <v>2</v>
      </c>
      <c r="I1048" t="str">
        <f>AvatarMatResID[[#This Row],[Material]]</f>
        <v>Male Brown Knight 05 Purple</v>
      </c>
    </row>
    <row r="1049" spans="1:9" x14ac:dyDescent="0.15">
      <c r="A1049" t="s">
        <v>454</v>
      </c>
      <c r="B1049" t="s">
        <v>1923</v>
      </c>
      <c r="C1049" t="s">
        <v>1404</v>
      </c>
      <c r="D1049">
        <v>379</v>
      </c>
      <c r="F1049">
        <f>OUTPUTAvatarMatResID[[#This Row],[AvatarPartID]]*10000+OUTPUTAvatarMatResID[[#This Row],[SexID]]*1000+AvatarMatResID[[#This Row],[CountIndex]]</f>
        <v>12379</v>
      </c>
      <c r="G1049">
        <f>VLOOKUP(AvatarMatResID[[#This Row],[AvatarPart]],AvatarPartID[],2,0)</f>
        <v>1</v>
      </c>
      <c r="H1049">
        <f>VLOOKUP(AvatarMatResID[[#This Row],[Sex]],SexID[],2,0)</f>
        <v>2</v>
      </c>
      <c r="I1049" t="str">
        <f>AvatarMatResID[[#This Row],[Material]]</f>
        <v>Male Brown Knight 05 Red</v>
      </c>
    </row>
    <row r="1050" spans="1:9" x14ac:dyDescent="0.15">
      <c r="A1050" t="s">
        <v>454</v>
      </c>
      <c r="B1050" t="s">
        <v>1923</v>
      </c>
      <c r="C1050" t="s">
        <v>1405</v>
      </c>
      <c r="D1050">
        <v>380</v>
      </c>
      <c r="F1050">
        <f>OUTPUTAvatarMatResID[[#This Row],[AvatarPartID]]*10000+OUTPUTAvatarMatResID[[#This Row],[SexID]]*1000+AvatarMatResID[[#This Row],[CountIndex]]</f>
        <v>12380</v>
      </c>
      <c r="G1050">
        <f>VLOOKUP(AvatarMatResID[[#This Row],[AvatarPart]],AvatarPartID[],2,0)</f>
        <v>1</v>
      </c>
      <c r="H1050">
        <f>VLOOKUP(AvatarMatResID[[#This Row],[Sex]],SexID[],2,0)</f>
        <v>2</v>
      </c>
      <c r="I1050" t="str">
        <f>AvatarMatResID[[#This Row],[Material]]</f>
        <v>Male Brown Knight 05 White</v>
      </c>
    </row>
    <row r="1051" spans="1:9" x14ac:dyDescent="0.15">
      <c r="A1051" t="s">
        <v>454</v>
      </c>
      <c r="B1051" t="s">
        <v>1923</v>
      </c>
      <c r="C1051" t="s">
        <v>1406</v>
      </c>
      <c r="D1051">
        <v>381</v>
      </c>
      <c r="F1051">
        <f>OUTPUTAvatarMatResID[[#This Row],[AvatarPartID]]*10000+OUTPUTAvatarMatResID[[#This Row],[SexID]]*1000+AvatarMatResID[[#This Row],[CountIndex]]</f>
        <v>12381</v>
      </c>
      <c r="G1051">
        <f>VLOOKUP(AvatarMatResID[[#This Row],[AvatarPart]],AvatarPartID[],2,0)</f>
        <v>1</v>
      </c>
      <c r="H1051">
        <f>VLOOKUP(AvatarMatResID[[#This Row],[Sex]],SexID[],2,0)</f>
        <v>2</v>
      </c>
      <c r="I1051" t="str">
        <f>AvatarMatResID[[#This Row],[Material]]</f>
        <v>Male Brown Knight 06 Black</v>
      </c>
    </row>
    <row r="1052" spans="1:9" x14ac:dyDescent="0.15">
      <c r="A1052" t="s">
        <v>454</v>
      </c>
      <c r="B1052" t="s">
        <v>1923</v>
      </c>
      <c r="C1052" t="s">
        <v>1407</v>
      </c>
      <c r="D1052">
        <v>382</v>
      </c>
      <c r="F1052">
        <f>OUTPUTAvatarMatResID[[#This Row],[AvatarPartID]]*10000+OUTPUTAvatarMatResID[[#This Row],[SexID]]*1000+AvatarMatResID[[#This Row],[CountIndex]]</f>
        <v>12382</v>
      </c>
      <c r="G1052">
        <f>VLOOKUP(AvatarMatResID[[#This Row],[AvatarPart]],AvatarPartID[],2,0)</f>
        <v>1</v>
      </c>
      <c r="H1052">
        <f>VLOOKUP(AvatarMatResID[[#This Row],[Sex]],SexID[],2,0)</f>
        <v>2</v>
      </c>
      <c r="I1052" t="str">
        <f>AvatarMatResID[[#This Row],[Material]]</f>
        <v>Male Brown Knight 06 Blue</v>
      </c>
    </row>
    <row r="1053" spans="1:9" x14ac:dyDescent="0.15">
      <c r="A1053" t="s">
        <v>454</v>
      </c>
      <c r="B1053" t="s">
        <v>1923</v>
      </c>
      <c r="C1053" t="s">
        <v>1408</v>
      </c>
      <c r="D1053">
        <v>383</v>
      </c>
      <c r="F1053">
        <f>OUTPUTAvatarMatResID[[#This Row],[AvatarPartID]]*10000+OUTPUTAvatarMatResID[[#This Row],[SexID]]*1000+AvatarMatResID[[#This Row],[CountIndex]]</f>
        <v>12383</v>
      </c>
      <c r="G1053">
        <f>VLOOKUP(AvatarMatResID[[#This Row],[AvatarPart]],AvatarPartID[],2,0)</f>
        <v>1</v>
      </c>
      <c r="H1053">
        <f>VLOOKUP(AvatarMatResID[[#This Row],[Sex]],SexID[],2,0)</f>
        <v>2</v>
      </c>
      <c r="I1053" t="str">
        <f>AvatarMatResID[[#This Row],[Material]]</f>
        <v>Male Brown Knight 06 Green</v>
      </c>
    </row>
    <row r="1054" spans="1:9" x14ac:dyDescent="0.15">
      <c r="A1054" t="s">
        <v>454</v>
      </c>
      <c r="B1054" t="s">
        <v>1923</v>
      </c>
      <c r="C1054" t="s">
        <v>1409</v>
      </c>
      <c r="D1054">
        <v>384</v>
      </c>
      <c r="F1054">
        <f>OUTPUTAvatarMatResID[[#This Row],[AvatarPartID]]*10000+OUTPUTAvatarMatResID[[#This Row],[SexID]]*1000+AvatarMatResID[[#This Row],[CountIndex]]</f>
        <v>12384</v>
      </c>
      <c r="G1054">
        <f>VLOOKUP(AvatarMatResID[[#This Row],[AvatarPart]],AvatarPartID[],2,0)</f>
        <v>1</v>
      </c>
      <c r="H1054">
        <f>VLOOKUP(AvatarMatResID[[#This Row],[Sex]],SexID[],2,0)</f>
        <v>2</v>
      </c>
      <c r="I1054" t="str">
        <f>AvatarMatResID[[#This Row],[Material]]</f>
        <v>Male Brown Knight 06 Magenta</v>
      </c>
    </row>
    <row r="1055" spans="1:9" x14ac:dyDescent="0.15">
      <c r="A1055" t="s">
        <v>454</v>
      </c>
      <c r="B1055" t="s">
        <v>1923</v>
      </c>
      <c r="C1055" t="s">
        <v>1410</v>
      </c>
      <c r="D1055">
        <v>385</v>
      </c>
      <c r="F1055">
        <f>OUTPUTAvatarMatResID[[#This Row],[AvatarPartID]]*10000+OUTPUTAvatarMatResID[[#This Row],[SexID]]*1000+AvatarMatResID[[#This Row],[CountIndex]]</f>
        <v>12385</v>
      </c>
      <c r="G1055">
        <f>VLOOKUP(AvatarMatResID[[#This Row],[AvatarPart]],AvatarPartID[],2,0)</f>
        <v>1</v>
      </c>
      <c r="H1055">
        <f>VLOOKUP(AvatarMatResID[[#This Row],[Sex]],SexID[],2,0)</f>
        <v>2</v>
      </c>
      <c r="I1055" t="str">
        <f>AvatarMatResID[[#This Row],[Material]]</f>
        <v>Male Brown Knight 06 Purple</v>
      </c>
    </row>
    <row r="1056" spans="1:9" x14ac:dyDescent="0.15">
      <c r="A1056" t="s">
        <v>454</v>
      </c>
      <c r="B1056" t="s">
        <v>1923</v>
      </c>
      <c r="C1056" t="s">
        <v>1411</v>
      </c>
      <c r="D1056">
        <v>386</v>
      </c>
      <c r="F1056">
        <f>OUTPUTAvatarMatResID[[#This Row],[AvatarPartID]]*10000+OUTPUTAvatarMatResID[[#This Row],[SexID]]*1000+AvatarMatResID[[#This Row],[CountIndex]]</f>
        <v>12386</v>
      </c>
      <c r="G1056">
        <f>VLOOKUP(AvatarMatResID[[#This Row],[AvatarPart]],AvatarPartID[],2,0)</f>
        <v>1</v>
      </c>
      <c r="H1056">
        <f>VLOOKUP(AvatarMatResID[[#This Row],[Sex]],SexID[],2,0)</f>
        <v>2</v>
      </c>
      <c r="I1056" t="str">
        <f>AvatarMatResID[[#This Row],[Material]]</f>
        <v>Male Brown Knight 06 Red</v>
      </c>
    </row>
    <row r="1057" spans="1:9" x14ac:dyDescent="0.15">
      <c r="A1057" t="s">
        <v>454</v>
      </c>
      <c r="B1057" t="s">
        <v>1923</v>
      </c>
      <c r="C1057" t="s">
        <v>1412</v>
      </c>
      <c r="D1057">
        <v>387</v>
      </c>
      <c r="F1057">
        <f>OUTPUTAvatarMatResID[[#This Row],[AvatarPartID]]*10000+OUTPUTAvatarMatResID[[#This Row],[SexID]]*1000+AvatarMatResID[[#This Row],[CountIndex]]</f>
        <v>12387</v>
      </c>
      <c r="G1057">
        <f>VLOOKUP(AvatarMatResID[[#This Row],[AvatarPart]],AvatarPartID[],2,0)</f>
        <v>1</v>
      </c>
      <c r="H1057">
        <f>VLOOKUP(AvatarMatResID[[#This Row],[Sex]],SexID[],2,0)</f>
        <v>2</v>
      </c>
      <c r="I1057" t="str">
        <f>AvatarMatResID[[#This Row],[Material]]</f>
        <v>Male Brown Knight 06 White</v>
      </c>
    </row>
    <row r="1058" spans="1:9" x14ac:dyDescent="0.15">
      <c r="A1058" t="s">
        <v>454</v>
      </c>
      <c r="B1058" t="s">
        <v>1923</v>
      </c>
      <c r="C1058" t="s">
        <v>1413</v>
      </c>
      <c r="D1058">
        <v>388</v>
      </c>
      <c r="F1058">
        <f>OUTPUTAvatarMatResID[[#This Row],[AvatarPartID]]*10000+OUTPUTAvatarMatResID[[#This Row],[SexID]]*1000+AvatarMatResID[[#This Row],[CountIndex]]</f>
        <v>12388</v>
      </c>
      <c r="G1058">
        <f>VLOOKUP(AvatarMatResID[[#This Row],[AvatarPart]],AvatarPartID[],2,0)</f>
        <v>1</v>
      </c>
      <c r="H1058">
        <f>VLOOKUP(AvatarMatResID[[#This Row],[Sex]],SexID[],2,0)</f>
        <v>2</v>
      </c>
      <c r="I1058" t="str">
        <f>AvatarMatResID[[#This Row],[Material]]</f>
        <v>Male Brown Knight 06 Yellow</v>
      </c>
    </row>
    <row r="1059" spans="1:9" x14ac:dyDescent="0.15">
      <c r="A1059" t="s">
        <v>454</v>
      </c>
      <c r="B1059" t="s">
        <v>1923</v>
      </c>
      <c r="C1059" t="s">
        <v>1414</v>
      </c>
      <c r="D1059">
        <v>389</v>
      </c>
      <c r="F1059">
        <f>OUTPUTAvatarMatResID[[#This Row],[AvatarPartID]]*10000+OUTPUTAvatarMatResID[[#This Row],[SexID]]*1000+AvatarMatResID[[#This Row],[CountIndex]]</f>
        <v>12389</v>
      </c>
      <c r="G1059">
        <f>VLOOKUP(AvatarMatResID[[#This Row],[AvatarPart]],AvatarPartID[],2,0)</f>
        <v>1</v>
      </c>
      <c r="H1059">
        <f>VLOOKUP(AvatarMatResID[[#This Row],[Sex]],SexID[],2,0)</f>
        <v>2</v>
      </c>
      <c r="I1059" t="str">
        <f>AvatarMatResID[[#This Row],[Material]]</f>
        <v>Male Brown Knight 07 Black</v>
      </c>
    </row>
    <row r="1060" spans="1:9" x14ac:dyDescent="0.15">
      <c r="A1060" t="s">
        <v>454</v>
      </c>
      <c r="B1060" t="s">
        <v>1923</v>
      </c>
      <c r="C1060" t="s">
        <v>1415</v>
      </c>
      <c r="D1060">
        <v>390</v>
      </c>
      <c r="F1060">
        <f>OUTPUTAvatarMatResID[[#This Row],[AvatarPartID]]*10000+OUTPUTAvatarMatResID[[#This Row],[SexID]]*1000+AvatarMatResID[[#This Row],[CountIndex]]</f>
        <v>12390</v>
      </c>
      <c r="G1060">
        <f>VLOOKUP(AvatarMatResID[[#This Row],[AvatarPart]],AvatarPartID[],2,0)</f>
        <v>1</v>
      </c>
      <c r="H1060">
        <f>VLOOKUP(AvatarMatResID[[#This Row],[Sex]],SexID[],2,0)</f>
        <v>2</v>
      </c>
      <c r="I1060" t="str">
        <f>AvatarMatResID[[#This Row],[Material]]</f>
        <v>Male Brown Knight 07 Blue</v>
      </c>
    </row>
    <row r="1061" spans="1:9" x14ac:dyDescent="0.15">
      <c r="A1061" t="s">
        <v>454</v>
      </c>
      <c r="B1061" t="s">
        <v>1923</v>
      </c>
      <c r="C1061" t="s">
        <v>1416</v>
      </c>
      <c r="D1061">
        <v>391</v>
      </c>
      <c r="F1061">
        <f>OUTPUTAvatarMatResID[[#This Row],[AvatarPartID]]*10000+OUTPUTAvatarMatResID[[#This Row],[SexID]]*1000+AvatarMatResID[[#This Row],[CountIndex]]</f>
        <v>12391</v>
      </c>
      <c r="G1061">
        <f>VLOOKUP(AvatarMatResID[[#This Row],[AvatarPart]],AvatarPartID[],2,0)</f>
        <v>1</v>
      </c>
      <c r="H1061">
        <f>VLOOKUP(AvatarMatResID[[#This Row],[Sex]],SexID[],2,0)</f>
        <v>2</v>
      </c>
      <c r="I1061" t="str">
        <f>AvatarMatResID[[#This Row],[Material]]</f>
        <v>Male Brown Knight 07 Green</v>
      </c>
    </row>
    <row r="1062" spans="1:9" x14ac:dyDescent="0.15">
      <c r="A1062" t="s">
        <v>454</v>
      </c>
      <c r="B1062" t="s">
        <v>1923</v>
      </c>
      <c r="C1062" t="s">
        <v>1417</v>
      </c>
      <c r="D1062">
        <v>392</v>
      </c>
      <c r="F1062">
        <f>OUTPUTAvatarMatResID[[#This Row],[AvatarPartID]]*10000+OUTPUTAvatarMatResID[[#This Row],[SexID]]*1000+AvatarMatResID[[#This Row],[CountIndex]]</f>
        <v>12392</v>
      </c>
      <c r="G1062">
        <f>VLOOKUP(AvatarMatResID[[#This Row],[AvatarPart]],AvatarPartID[],2,0)</f>
        <v>1</v>
      </c>
      <c r="H1062">
        <f>VLOOKUP(AvatarMatResID[[#This Row],[Sex]],SexID[],2,0)</f>
        <v>2</v>
      </c>
      <c r="I1062" t="str">
        <f>AvatarMatResID[[#This Row],[Material]]</f>
        <v>Male Brown Knight 07 Magenta</v>
      </c>
    </row>
    <row r="1063" spans="1:9" x14ac:dyDescent="0.15">
      <c r="A1063" t="s">
        <v>454</v>
      </c>
      <c r="B1063" t="s">
        <v>1923</v>
      </c>
      <c r="C1063" t="s">
        <v>1418</v>
      </c>
      <c r="D1063">
        <v>393</v>
      </c>
      <c r="F1063">
        <f>OUTPUTAvatarMatResID[[#This Row],[AvatarPartID]]*10000+OUTPUTAvatarMatResID[[#This Row],[SexID]]*1000+AvatarMatResID[[#This Row],[CountIndex]]</f>
        <v>12393</v>
      </c>
      <c r="G1063">
        <f>VLOOKUP(AvatarMatResID[[#This Row],[AvatarPart]],AvatarPartID[],2,0)</f>
        <v>1</v>
      </c>
      <c r="H1063">
        <f>VLOOKUP(AvatarMatResID[[#This Row],[Sex]],SexID[],2,0)</f>
        <v>2</v>
      </c>
      <c r="I1063" t="str">
        <f>AvatarMatResID[[#This Row],[Material]]</f>
        <v>Male Brown Knight 07 Purple</v>
      </c>
    </row>
    <row r="1064" spans="1:9" x14ac:dyDescent="0.15">
      <c r="A1064" t="s">
        <v>454</v>
      </c>
      <c r="B1064" t="s">
        <v>1923</v>
      </c>
      <c r="C1064" t="s">
        <v>1419</v>
      </c>
      <c r="D1064">
        <v>394</v>
      </c>
      <c r="F1064">
        <f>OUTPUTAvatarMatResID[[#This Row],[AvatarPartID]]*10000+OUTPUTAvatarMatResID[[#This Row],[SexID]]*1000+AvatarMatResID[[#This Row],[CountIndex]]</f>
        <v>12394</v>
      </c>
      <c r="G1064">
        <f>VLOOKUP(AvatarMatResID[[#This Row],[AvatarPart]],AvatarPartID[],2,0)</f>
        <v>1</v>
      </c>
      <c r="H1064">
        <f>VLOOKUP(AvatarMatResID[[#This Row],[Sex]],SexID[],2,0)</f>
        <v>2</v>
      </c>
      <c r="I1064" t="str">
        <f>AvatarMatResID[[#This Row],[Material]]</f>
        <v>Male Brown Knight 07 Red</v>
      </c>
    </row>
    <row r="1065" spans="1:9" x14ac:dyDescent="0.15">
      <c r="A1065" t="s">
        <v>454</v>
      </c>
      <c r="B1065" t="s">
        <v>1923</v>
      </c>
      <c r="C1065" t="s">
        <v>1420</v>
      </c>
      <c r="D1065">
        <v>395</v>
      </c>
      <c r="F1065">
        <f>OUTPUTAvatarMatResID[[#This Row],[AvatarPartID]]*10000+OUTPUTAvatarMatResID[[#This Row],[SexID]]*1000+AvatarMatResID[[#This Row],[CountIndex]]</f>
        <v>12395</v>
      </c>
      <c r="G1065">
        <f>VLOOKUP(AvatarMatResID[[#This Row],[AvatarPart]],AvatarPartID[],2,0)</f>
        <v>1</v>
      </c>
      <c r="H1065">
        <f>VLOOKUP(AvatarMatResID[[#This Row],[Sex]],SexID[],2,0)</f>
        <v>2</v>
      </c>
      <c r="I1065" t="str">
        <f>AvatarMatResID[[#This Row],[Material]]</f>
        <v>Male Brown Knight 07 White</v>
      </c>
    </row>
    <row r="1066" spans="1:9" x14ac:dyDescent="0.15">
      <c r="A1066" t="s">
        <v>454</v>
      </c>
      <c r="B1066" t="s">
        <v>1923</v>
      </c>
      <c r="C1066" t="s">
        <v>1421</v>
      </c>
      <c r="D1066">
        <v>396</v>
      </c>
      <c r="F1066">
        <f>OUTPUTAvatarMatResID[[#This Row],[AvatarPartID]]*10000+OUTPUTAvatarMatResID[[#This Row],[SexID]]*1000+AvatarMatResID[[#This Row],[CountIndex]]</f>
        <v>12396</v>
      </c>
      <c r="G1066">
        <f>VLOOKUP(AvatarMatResID[[#This Row],[AvatarPart]],AvatarPartID[],2,0)</f>
        <v>1</v>
      </c>
      <c r="H1066">
        <f>VLOOKUP(AvatarMatResID[[#This Row],[Sex]],SexID[],2,0)</f>
        <v>2</v>
      </c>
      <c r="I1066" t="str">
        <f>AvatarMatResID[[#This Row],[Material]]</f>
        <v>Male Brown Knight 07 Yellow</v>
      </c>
    </row>
    <row r="1067" spans="1:9" x14ac:dyDescent="0.15">
      <c r="A1067" t="s">
        <v>454</v>
      </c>
      <c r="B1067" t="s">
        <v>1923</v>
      </c>
      <c r="C1067" t="s">
        <v>1422</v>
      </c>
      <c r="D1067">
        <v>397</v>
      </c>
      <c r="F1067">
        <f>OUTPUTAvatarMatResID[[#This Row],[AvatarPartID]]*10000+OUTPUTAvatarMatResID[[#This Row],[SexID]]*1000+AvatarMatResID[[#This Row],[CountIndex]]</f>
        <v>12397</v>
      </c>
      <c r="G1067">
        <f>VLOOKUP(AvatarMatResID[[#This Row],[AvatarPart]],AvatarPartID[],2,0)</f>
        <v>1</v>
      </c>
      <c r="H1067">
        <f>VLOOKUP(AvatarMatResID[[#This Row],[Sex]],SexID[],2,0)</f>
        <v>2</v>
      </c>
      <c r="I1067" t="str">
        <f>AvatarMatResID[[#This Row],[Material]]</f>
        <v>Male Brown Knight 08 Black</v>
      </c>
    </row>
    <row r="1068" spans="1:9" x14ac:dyDescent="0.15">
      <c r="A1068" t="s">
        <v>454</v>
      </c>
      <c r="B1068" t="s">
        <v>1923</v>
      </c>
      <c r="C1068" t="s">
        <v>1423</v>
      </c>
      <c r="D1068">
        <v>398</v>
      </c>
      <c r="F1068">
        <f>OUTPUTAvatarMatResID[[#This Row],[AvatarPartID]]*10000+OUTPUTAvatarMatResID[[#This Row],[SexID]]*1000+AvatarMatResID[[#This Row],[CountIndex]]</f>
        <v>12398</v>
      </c>
      <c r="G1068">
        <f>VLOOKUP(AvatarMatResID[[#This Row],[AvatarPart]],AvatarPartID[],2,0)</f>
        <v>1</v>
      </c>
      <c r="H1068">
        <f>VLOOKUP(AvatarMatResID[[#This Row],[Sex]],SexID[],2,0)</f>
        <v>2</v>
      </c>
      <c r="I1068" t="str">
        <f>AvatarMatResID[[#This Row],[Material]]</f>
        <v>Male Brown Knight 08 Blue</v>
      </c>
    </row>
    <row r="1069" spans="1:9" x14ac:dyDescent="0.15">
      <c r="A1069" t="s">
        <v>454</v>
      </c>
      <c r="B1069" t="s">
        <v>1923</v>
      </c>
      <c r="C1069" t="s">
        <v>1424</v>
      </c>
      <c r="D1069">
        <v>399</v>
      </c>
      <c r="F1069">
        <f>OUTPUTAvatarMatResID[[#This Row],[AvatarPartID]]*10000+OUTPUTAvatarMatResID[[#This Row],[SexID]]*1000+AvatarMatResID[[#This Row],[CountIndex]]</f>
        <v>12399</v>
      </c>
      <c r="G1069">
        <f>VLOOKUP(AvatarMatResID[[#This Row],[AvatarPart]],AvatarPartID[],2,0)</f>
        <v>1</v>
      </c>
      <c r="H1069">
        <f>VLOOKUP(AvatarMatResID[[#This Row],[Sex]],SexID[],2,0)</f>
        <v>2</v>
      </c>
      <c r="I1069" t="str">
        <f>AvatarMatResID[[#This Row],[Material]]</f>
        <v>Male Brown Knight 08 Green</v>
      </c>
    </row>
    <row r="1070" spans="1:9" x14ac:dyDescent="0.15">
      <c r="A1070" t="s">
        <v>454</v>
      </c>
      <c r="B1070" t="s">
        <v>1923</v>
      </c>
      <c r="C1070" t="s">
        <v>1425</v>
      </c>
      <c r="D1070">
        <v>400</v>
      </c>
      <c r="F1070">
        <f>OUTPUTAvatarMatResID[[#This Row],[AvatarPartID]]*10000+OUTPUTAvatarMatResID[[#This Row],[SexID]]*1000+AvatarMatResID[[#This Row],[CountIndex]]</f>
        <v>12400</v>
      </c>
      <c r="G1070">
        <f>VLOOKUP(AvatarMatResID[[#This Row],[AvatarPart]],AvatarPartID[],2,0)</f>
        <v>1</v>
      </c>
      <c r="H1070">
        <f>VLOOKUP(AvatarMatResID[[#This Row],[Sex]],SexID[],2,0)</f>
        <v>2</v>
      </c>
      <c r="I1070" t="str">
        <f>AvatarMatResID[[#This Row],[Material]]</f>
        <v>Male Brown Knight 08 Magenta</v>
      </c>
    </row>
    <row r="1071" spans="1:9" x14ac:dyDescent="0.15">
      <c r="A1071" t="s">
        <v>454</v>
      </c>
      <c r="B1071" t="s">
        <v>1923</v>
      </c>
      <c r="C1071" t="s">
        <v>1426</v>
      </c>
      <c r="D1071">
        <v>401</v>
      </c>
      <c r="F1071">
        <f>OUTPUTAvatarMatResID[[#This Row],[AvatarPartID]]*10000+OUTPUTAvatarMatResID[[#This Row],[SexID]]*1000+AvatarMatResID[[#This Row],[CountIndex]]</f>
        <v>12401</v>
      </c>
      <c r="G1071">
        <f>VLOOKUP(AvatarMatResID[[#This Row],[AvatarPart]],AvatarPartID[],2,0)</f>
        <v>1</v>
      </c>
      <c r="H1071">
        <f>VLOOKUP(AvatarMatResID[[#This Row],[Sex]],SexID[],2,0)</f>
        <v>2</v>
      </c>
      <c r="I1071" t="str">
        <f>AvatarMatResID[[#This Row],[Material]]</f>
        <v>Male Brown Knight 08 Purple</v>
      </c>
    </row>
    <row r="1072" spans="1:9" x14ac:dyDescent="0.15">
      <c r="A1072" t="s">
        <v>454</v>
      </c>
      <c r="B1072" t="s">
        <v>1923</v>
      </c>
      <c r="C1072" t="s">
        <v>1427</v>
      </c>
      <c r="D1072">
        <v>402</v>
      </c>
      <c r="F1072">
        <f>OUTPUTAvatarMatResID[[#This Row],[AvatarPartID]]*10000+OUTPUTAvatarMatResID[[#This Row],[SexID]]*1000+AvatarMatResID[[#This Row],[CountIndex]]</f>
        <v>12402</v>
      </c>
      <c r="G1072">
        <f>VLOOKUP(AvatarMatResID[[#This Row],[AvatarPart]],AvatarPartID[],2,0)</f>
        <v>1</v>
      </c>
      <c r="H1072">
        <f>VLOOKUP(AvatarMatResID[[#This Row],[Sex]],SexID[],2,0)</f>
        <v>2</v>
      </c>
      <c r="I1072" t="str">
        <f>AvatarMatResID[[#This Row],[Material]]</f>
        <v>Male Brown Knight 08 Red</v>
      </c>
    </row>
    <row r="1073" spans="1:9" x14ac:dyDescent="0.15">
      <c r="A1073" t="s">
        <v>454</v>
      </c>
      <c r="B1073" t="s">
        <v>1923</v>
      </c>
      <c r="C1073" t="s">
        <v>1428</v>
      </c>
      <c r="D1073">
        <v>403</v>
      </c>
      <c r="F1073">
        <f>OUTPUTAvatarMatResID[[#This Row],[AvatarPartID]]*10000+OUTPUTAvatarMatResID[[#This Row],[SexID]]*1000+AvatarMatResID[[#This Row],[CountIndex]]</f>
        <v>12403</v>
      </c>
      <c r="G1073">
        <f>VLOOKUP(AvatarMatResID[[#This Row],[AvatarPart]],AvatarPartID[],2,0)</f>
        <v>1</v>
      </c>
      <c r="H1073">
        <f>VLOOKUP(AvatarMatResID[[#This Row],[Sex]],SexID[],2,0)</f>
        <v>2</v>
      </c>
      <c r="I1073" t="str">
        <f>AvatarMatResID[[#This Row],[Material]]</f>
        <v>Male Brown Knight 08 White</v>
      </c>
    </row>
    <row r="1074" spans="1:9" x14ac:dyDescent="0.15">
      <c r="A1074" t="s">
        <v>454</v>
      </c>
      <c r="B1074" t="s">
        <v>1923</v>
      </c>
      <c r="C1074" t="s">
        <v>1429</v>
      </c>
      <c r="D1074">
        <v>404</v>
      </c>
      <c r="F1074">
        <f>OUTPUTAvatarMatResID[[#This Row],[AvatarPartID]]*10000+OUTPUTAvatarMatResID[[#This Row],[SexID]]*1000+AvatarMatResID[[#This Row],[CountIndex]]</f>
        <v>12404</v>
      </c>
      <c r="G1074">
        <f>VLOOKUP(AvatarMatResID[[#This Row],[AvatarPart]],AvatarPartID[],2,0)</f>
        <v>1</v>
      </c>
      <c r="H1074">
        <f>VLOOKUP(AvatarMatResID[[#This Row],[Sex]],SexID[],2,0)</f>
        <v>2</v>
      </c>
      <c r="I1074" t="str">
        <f>AvatarMatResID[[#This Row],[Material]]</f>
        <v>Male Brown Knight 08 Yellow</v>
      </c>
    </row>
    <row r="1075" spans="1:9" x14ac:dyDescent="0.15">
      <c r="A1075" t="s">
        <v>454</v>
      </c>
      <c r="B1075" t="s">
        <v>1923</v>
      </c>
      <c r="C1075" t="s">
        <v>1796</v>
      </c>
      <c r="D1075">
        <v>405</v>
      </c>
      <c r="F1075">
        <f>OUTPUTAvatarMatResID[[#This Row],[AvatarPartID]]*10000+OUTPUTAvatarMatResID[[#This Row],[SexID]]*1000+AvatarMatResID[[#This Row],[CountIndex]]</f>
        <v>12405</v>
      </c>
      <c r="G1075">
        <f>VLOOKUP(AvatarMatResID[[#This Row],[AvatarPart]],AvatarPartID[],2,0)</f>
        <v>1</v>
      </c>
      <c r="H1075">
        <f>VLOOKUP(AvatarMatResID[[#This Row],[Sex]],SexID[],2,0)</f>
        <v>2</v>
      </c>
      <c r="I1075" t="str">
        <f>AvatarMatResID[[#This Row],[Material]]</f>
        <v>Male Brown L Robe 01 Blue</v>
      </c>
    </row>
    <row r="1076" spans="1:9" x14ac:dyDescent="0.15">
      <c r="A1076" t="s">
        <v>454</v>
      </c>
      <c r="B1076" t="s">
        <v>1923</v>
      </c>
      <c r="C1076" t="s">
        <v>1797</v>
      </c>
      <c r="D1076">
        <v>406</v>
      </c>
      <c r="F1076">
        <f>OUTPUTAvatarMatResID[[#This Row],[AvatarPartID]]*10000+OUTPUTAvatarMatResID[[#This Row],[SexID]]*1000+AvatarMatResID[[#This Row],[CountIndex]]</f>
        <v>12406</v>
      </c>
      <c r="G1076">
        <f>VLOOKUP(AvatarMatResID[[#This Row],[AvatarPart]],AvatarPartID[],2,0)</f>
        <v>1</v>
      </c>
      <c r="H1076">
        <f>VLOOKUP(AvatarMatResID[[#This Row],[Sex]],SexID[],2,0)</f>
        <v>2</v>
      </c>
      <c r="I1076" t="str">
        <f>AvatarMatResID[[#This Row],[Material]]</f>
        <v>Male Brown L Robe 01 Brown</v>
      </c>
    </row>
    <row r="1077" spans="1:9" x14ac:dyDescent="0.15">
      <c r="A1077" t="s">
        <v>454</v>
      </c>
      <c r="B1077" t="s">
        <v>1923</v>
      </c>
      <c r="C1077" t="s">
        <v>1798</v>
      </c>
      <c r="D1077">
        <v>407</v>
      </c>
      <c r="F1077">
        <f>OUTPUTAvatarMatResID[[#This Row],[AvatarPartID]]*10000+OUTPUTAvatarMatResID[[#This Row],[SexID]]*1000+AvatarMatResID[[#This Row],[CountIndex]]</f>
        <v>12407</v>
      </c>
      <c r="G1077">
        <f>VLOOKUP(AvatarMatResID[[#This Row],[AvatarPart]],AvatarPartID[],2,0)</f>
        <v>1</v>
      </c>
      <c r="H1077">
        <f>VLOOKUP(AvatarMatResID[[#This Row],[Sex]],SexID[],2,0)</f>
        <v>2</v>
      </c>
      <c r="I1077" t="str">
        <f>AvatarMatResID[[#This Row],[Material]]</f>
        <v>Male Brown L Robe 01 Green</v>
      </c>
    </row>
    <row r="1078" spans="1:9" x14ac:dyDescent="0.15">
      <c r="A1078" t="s">
        <v>454</v>
      </c>
      <c r="B1078" t="s">
        <v>1923</v>
      </c>
      <c r="C1078" t="s">
        <v>1799</v>
      </c>
      <c r="D1078">
        <v>408</v>
      </c>
      <c r="F1078">
        <f>OUTPUTAvatarMatResID[[#This Row],[AvatarPartID]]*10000+OUTPUTAvatarMatResID[[#This Row],[SexID]]*1000+AvatarMatResID[[#This Row],[CountIndex]]</f>
        <v>12408</v>
      </c>
      <c r="G1078">
        <f>VLOOKUP(AvatarMatResID[[#This Row],[AvatarPart]],AvatarPartID[],2,0)</f>
        <v>1</v>
      </c>
      <c r="H1078">
        <f>VLOOKUP(AvatarMatResID[[#This Row],[Sex]],SexID[],2,0)</f>
        <v>2</v>
      </c>
      <c r="I1078" t="str">
        <f>AvatarMatResID[[#This Row],[Material]]</f>
        <v>Male Brown L Robe 01 Purple</v>
      </c>
    </row>
    <row r="1079" spans="1:9" x14ac:dyDescent="0.15">
      <c r="A1079" t="s">
        <v>454</v>
      </c>
      <c r="B1079" t="s">
        <v>1923</v>
      </c>
      <c r="C1079" t="s">
        <v>1800</v>
      </c>
      <c r="D1079">
        <v>409</v>
      </c>
      <c r="F1079">
        <f>OUTPUTAvatarMatResID[[#This Row],[AvatarPartID]]*10000+OUTPUTAvatarMatResID[[#This Row],[SexID]]*1000+AvatarMatResID[[#This Row],[CountIndex]]</f>
        <v>12409</v>
      </c>
      <c r="G1079">
        <f>VLOOKUP(AvatarMatResID[[#This Row],[AvatarPart]],AvatarPartID[],2,0)</f>
        <v>1</v>
      </c>
      <c r="H1079">
        <f>VLOOKUP(AvatarMatResID[[#This Row],[Sex]],SexID[],2,0)</f>
        <v>2</v>
      </c>
      <c r="I1079" t="str">
        <f>AvatarMatResID[[#This Row],[Material]]</f>
        <v>Male Brown L Robe 01 Red</v>
      </c>
    </row>
    <row r="1080" spans="1:9" x14ac:dyDescent="0.15">
      <c r="A1080" t="s">
        <v>454</v>
      </c>
      <c r="B1080" t="s">
        <v>1923</v>
      </c>
      <c r="C1080" t="s">
        <v>1801</v>
      </c>
      <c r="D1080">
        <v>410</v>
      </c>
      <c r="F1080">
        <f>OUTPUTAvatarMatResID[[#This Row],[AvatarPartID]]*10000+OUTPUTAvatarMatResID[[#This Row],[SexID]]*1000+AvatarMatResID[[#This Row],[CountIndex]]</f>
        <v>12410</v>
      </c>
      <c r="G1080">
        <f>VLOOKUP(AvatarMatResID[[#This Row],[AvatarPart]],AvatarPartID[],2,0)</f>
        <v>1</v>
      </c>
      <c r="H1080">
        <f>VLOOKUP(AvatarMatResID[[#This Row],[Sex]],SexID[],2,0)</f>
        <v>2</v>
      </c>
      <c r="I1080" t="str">
        <f>AvatarMatResID[[#This Row],[Material]]</f>
        <v>Male Brown L Robe 02 Blue</v>
      </c>
    </row>
    <row r="1081" spans="1:9" x14ac:dyDescent="0.15">
      <c r="A1081" t="s">
        <v>454</v>
      </c>
      <c r="B1081" t="s">
        <v>1923</v>
      </c>
      <c r="C1081" t="s">
        <v>1802</v>
      </c>
      <c r="D1081">
        <v>411</v>
      </c>
      <c r="F1081">
        <f>OUTPUTAvatarMatResID[[#This Row],[AvatarPartID]]*10000+OUTPUTAvatarMatResID[[#This Row],[SexID]]*1000+AvatarMatResID[[#This Row],[CountIndex]]</f>
        <v>12411</v>
      </c>
      <c r="G1081">
        <f>VLOOKUP(AvatarMatResID[[#This Row],[AvatarPart]],AvatarPartID[],2,0)</f>
        <v>1</v>
      </c>
      <c r="H1081">
        <f>VLOOKUP(AvatarMatResID[[#This Row],[Sex]],SexID[],2,0)</f>
        <v>2</v>
      </c>
      <c r="I1081" t="str">
        <f>AvatarMatResID[[#This Row],[Material]]</f>
        <v>Male Brown L Robe 02 Brown</v>
      </c>
    </row>
    <row r="1082" spans="1:9" x14ac:dyDescent="0.15">
      <c r="A1082" t="s">
        <v>454</v>
      </c>
      <c r="B1082" t="s">
        <v>1923</v>
      </c>
      <c r="C1082" t="s">
        <v>1803</v>
      </c>
      <c r="D1082">
        <v>412</v>
      </c>
      <c r="F1082">
        <f>OUTPUTAvatarMatResID[[#This Row],[AvatarPartID]]*10000+OUTPUTAvatarMatResID[[#This Row],[SexID]]*1000+AvatarMatResID[[#This Row],[CountIndex]]</f>
        <v>12412</v>
      </c>
      <c r="G1082">
        <f>VLOOKUP(AvatarMatResID[[#This Row],[AvatarPart]],AvatarPartID[],2,0)</f>
        <v>1</v>
      </c>
      <c r="H1082">
        <f>VLOOKUP(AvatarMatResID[[#This Row],[Sex]],SexID[],2,0)</f>
        <v>2</v>
      </c>
      <c r="I1082" t="str">
        <f>AvatarMatResID[[#This Row],[Material]]</f>
        <v>Male Brown L Robe 02 Green</v>
      </c>
    </row>
    <row r="1083" spans="1:9" x14ac:dyDescent="0.15">
      <c r="A1083" t="s">
        <v>454</v>
      </c>
      <c r="B1083" t="s">
        <v>1923</v>
      </c>
      <c r="C1083" t="s">
        <v>1804</v>
      </c>
      <c r="D1083">
        <v>413</v>
      </c>
      <c r="F1083">
        <f>OUTPUTAvatarMatResID[[#This Row],[AvatarPartID]]*10000+OUTPUTAvatarMatResID[[#This Row],[SexID]]*1000+AvatarMatResID[[#This Row],[CountIndex]]</f>
        <v>12413</v>
      </c>
      <c r="G1083">
        <f>VLOOKUP(AvatarMatResID[[#This Row],[AvatarPart]],AvatarPartID[],2,0)</f>
        <v>1</v>
      </c>
      <c r="H1083">
        <f>VLOOKUP(AvatarMatResID[[#This Row],[Sex]],SexID[],2,0)</f>
        <v>2</v>
      </c>
      <c r="I1083" t="str">
        <f>AvatarMatResID[[#This Row],[Material]]</f>
        <v>Male Brown L Robe 02 Purple</v>
      </c>
    </row>
    <row r="1084" spans="1:9" x14ac:dyDescent="0.15">
      <c r="A1084" t="s">
        <v>454</v>
      </c>
      <c r="B1084" t="s">
        <v>1923</v>
      </c>
      <c r="C1084" t="s">
        <v>1805</v>
      </c>
      <c r="D1084">
        <v>414</v>
      </c>
      <c r="F1084">
        <f>OUTPUTAvatarMatResID[[#This Row],[AvatarPartID]]*10000+OUTPUTAvatarMatResID[[#This Row],[SexID]]*1000+AvatarMatResID[[#This Row],[CountIndex]]</f>
        <v>12414</v>
      </c>
      <c r="G1084">
        <f>VLOOKUP(AvatarMatResID[[#This Row],[AvatarPart]],AvatarPartID[],2,0)</f>
        <v>1</v>
      </c>
      <c r="H1084">
        <f>VLOOKUP(AvatarMatResID[[#This Row],[Sex]],SexID[],2,0)</f>
        <v>2</v>
      </c>
      <c r="I1084" t="str">
        <f>AvatarMatResID[[#This Row],[Material]]</f>
        <v>Male Brown L Robe 02 Red</v>
      </c>
    </row>
    <row r="1085" spans="1:9" x14ac:dyDescent="0.15">
      <c r="A1085" t="s">
        <v>454</v>
      </c>
      <c r="B1085" t="s">
        <v>1923</v>
      </c>
      <c r="C1085" t="s">
        <v>1430</v>
      </c>
      <c r="D1085">
        <v>415</v>
      </c>
      <c r="F1085">
        <f>OUTPUTAvatarMatResID[[#This Row],[AvatarPartID]]*10000+OUTPUTAvatarMatResID[[#This Row],[SexID]]*1000+AvatarMatResID[[#This Row],[CountIndex]]</f>
        <v>12415</v>
      </c>
      <c r="G1085">
        <f>VLOOKUP(AvatarMatResID[[#This Row],[AvatarPart]],AvatarPartID[],2,0)</f>
        <v>1</v>
      </c>
      <c r="H1085">
        <f>VLOOKUP(AvatarMatResID[[#This Row],[Sex]],SexID[],2,0)</f>
        <v>2</v>
      </c>
      <c r="I1085" t="str">
        <f>AvatarMatResID[[#This Row],[Material]]</f>
        <v>Male Brown Naked</v>
      </c>
    </row>
    <row r="1086" spans="1:9" x14ac:dyDescent="0.15">
      <c r="A1086" t="s">
        <v>454</v>
      </c>
      <c r="B1086" t="s">
        <v>1923</v>
      </c>
      <c r="C1086" t="s">
        <v>1706</v>
      </c>
      <c r="D1086">
        <v>416</v>
      </c>
      <c r="F1086">
        <f>OUTPUTAvatarMatResID[[#This Row],[AvatarPartID]]*10000+OUTPUTAvatarMatResID[[#This Row],[SexID]]*1000+AvatarMatResID[[#This Row],[CountIndex]]</f>
        <v>12416</v>
      </c>
      <c r="G1086">
        <f>VLOOKUP(AvatarMatResID[[#This Row],[AvatarPart]],AvatarPartID[],2,0)</f>
        <v>1</v>
      </c>
      <c r="H1086">
        <f>VLOOKUP(AvatarMatResID[[#This Row],[Sex]],SexID[],2,0)</f>
        <v>2</v>
      </c>
      <c r="I1086" t="str">
        <f>AvatarMatResID[[#This Row],[Material]]</f>
        <v>Male Brown S Robe 01 Blue</v>
      </c>
    </row>
    <row r="1087" spans="1:9" x14ac:dyDescent="0.15">
      <c r="A1087" t="s">
        <v>454</v>
      </c>
      <c r="B1087" t="s">
        <v>1923</v>
      </c>
      <c r="C1087" t="s">
        <v>1707</v>
      </c>
      <c r="D1087">
        <v>417</v>
      </c>
      <c r="F1087">
        <f>OUTPUTAvatarMatResID[[#This Row],[AvatarPartID]]*10000+OUTPUTAvatarMatResID[[#This Row],[SexID]]*1000+AvatarMatResID[[#This Row],[CountIndex]]</f>
        <v>12417</v>
      </c>
      <c r="G1087">
        <f>VLOOKUP(AvatarMatResID[[#This Row],[AvatarPart]],AvatarPartID[],2,0)</f>
        <v>1</v>
      </c>
      <c r="H1087">
        <f>VLOOKUP(AvatarMatResID[[#This Row],[Sex]],SexID[],2,0)</f>
        <v>2</v>
      </c>
      <c r="I1087" t="str">
        <f>AvatarMatResID[[#This Row],[Material]]</f>
        <v>Male Brown S Robe 01 Brown</v>
      </c>
    </row>
    <row r="1088" spans="1:9" x14ac:dyDescent="0.15">
      <c r="A1088" t="s">
        <v>454</v>
      </c>
      <c r="B1088" t="s">
        <v>1923</v>
      </c>
      <c r="C1088" t="s">
        <v>1708</v>
      </c>
      <c r="D1088">
        <v>418</v>
      </c>
      <c r="F1088">
        <f>OUTPUTAvatarMatResID[[#This Row],[AvatarPartID]]*10000+OUTPUTAvatarMatResID[[#This Row],[SexID]]*1000+AvatarMatResID[[#This Row],[CountIndex]]</f>
        <v>12418</v>
      </c>
      <c r="G1088">
        <f>VLOOKUP(AvatarMatResID[[#This Row],[AvatarPart]],AvatarPartID[],2,0)</f>
        <v>1</v>
      </c>
      <c r="H1088">
        <f>VLOOKUP(AvatarMatResID[[#This Row],[Sex]],SexID[],2,0)</f>
        <v>2</v>
      </c>
      <c r="I1088" t="str">
        <f>AvatarMatResID[[#This Row],[Material]]</f>
        <v>Male Brown S Robe 01 Green</v>
      </c>
    </row>
    <row r="1089" spans="1:9" x14ac:dyDescent="0.15">
      <c r="A1089" t="s">
        <v>454</v>
      </c>
      <c r="B1089" t="s">
        <v>1923</v>
      </c>
      <c r="C1089" t="s">
        <v>1709</v>
      </c>
      <c r="D1089">
        <v>419</v>
      </c>
      <c r="F1089">
        <f>OUTPUTAvatarMatResID[[#This Row],[AvatarPartID]]*10000+OUTPUTAvatarMatResID[[#This Row],[SexID]]*1000+AvatarMatResID[[#This Row],[CountIndex]]</f>
        <v>12419</v>
      </c>
      <c r="G1089">
        <f>VLOOKUP(AvatarMatResID[[#This Row],[AvatarPart]],AvatarPartID[],2,0)</f>
        <v>1</v>
      </c>
      <c r="H1089">
        <f>VLOOKUP(AvatarMatResID[[#This Row],[Sex]],SexID[],2,0)</f>
        <v>2</v>
      </c>
      <c r="I1089" t="str">
        <f>AvatarMatResID[[#This Row],[Material]]</f>
        <v>Male Brown S Robe 01 Purple</v>
      </c>
    </row>
    <row r="1090" spans="1:9" x14ac:dyDescent="0.15">
      <c r="A1090" t="s">
        <v>454</v>
      </c>
      <c r="B1090" t="s">
        <v>1923</v>
      </c>
      <c r="C1090" t="s">
        <v>1710</v>
      </c>
      <c r="D1090">
        <v>420</v>
      </c>
      <c r="F1090">
        <f>OUTPUTAvatarMatResID[[#This Row],[AvatarPartID]]*10000+OUTPUTAvatarMatResID[[#This Row],[SexID]]*1000+AvatarMatResID[[#This Row],[CountIndex]]</f>
        <v>12420</v>
      </c>
      <c r="G1090">
        <f>VLOOKUP(AvatarMatResID[[#This Row],[AvatarPart]],AvatarPartID[],2,0)</f>
        <v>1</v>
      </c>
      <c r="H1090">
        <f>VLOOKUP(AvatarMatResID[[#This Row],[Sex]],SexID[],2,0)</f>
        <v>2</v>
      </c>
      <c r="I1090" t="str">
        <f>AvatarMatResID[[#This Row],[Material]]</f>
        <v>Male Brown S Robe 01 Red</v>
      </c>
    </row>
    <row r="1091" spans="1:9" x14ac:dyDescent="0.15">
      <c r="A1091" t="s">
        <v>454</v>
      </c>
      <c r="B1091" t="s">
        <v>1923</v>
      </c>
      <c r="C1091" t="s">
        <v>1711</v>
      </c>
      <c r="D1091">
        <v>421</v>
      </c>
      <c r="F1091">
        <f>OUTPUTAvatarMatResID[[#This Row],[AvatarPartID]]*10000+OUTPUTAvatarMatResID[[#This Row],[SexID]]*1000+AvatarMatResID[[#This Row],[CountIndex]]</f>
        <v>12421</v>
      </c>
      <c r="G1091">
        <f>VLOOKUP(AvatarMatResID[[#This Row],[AvatarPart]],AvatarPartID[],2,0)</f>
        <v>1</v>
      </c>
      <c r="H1091">
        <f>VLOOKUP(AvatarMatResID[[#This Row],[Sex]],SexID[],2,0)</f>
        <v>2</v>
      </c>
      <c r="I1091" t="str">
        <f>AvatarMatResID[[#This Row],[Material]]</f>
        <v>Male Brown S Robe 02 Blue</v>
      </c>
    </row>
    <row r="1092" spans="1:9" x14ac:dyDescent="0.15">
      <c r="A1092" t="s">
        <v>454</v>
      </c>
      <c r="B1092" t="s">
        <v>1923</v>
      </c>
      <c r="C1092" t="s">
        <v>1712</v>
      </c>
      <c r="D1092">
        <v>422</v>
      </c>
      <c r="F1092">
        <f>OUTPUTAvatarMatResID[[#This Row],[AvatarPartID]]*10000+OUTPUTAvatarMatResID[[#This Row],[SexID]]*1000+AvatarMatResID[[#This Row],[CountIndex]]</f>
        <v>12422</v>
      </c>
      <c r="G1092">
        <f>VLOOKUP(AvatarMatResID[[#This Row],[AvatarPart]],AvatarPartID[],2,0)</f>
        <v>1</v>
      </c>
      <c r="H1092">
        <f>VLOOKUP(AvatarMatResID[[#This Row],[Sex]],SexID[],2,0)</f>
        <v>2</v>
      </c>
      <c r="I1092" t="str">
        <f>AvatarMatResID[[#This Row],[Material]]</f>
        <v>Male Brown S Robe 02 Brown</v>
      </c>
    </row>
    <row r="1093" spans="1:9" x14ac:dyDescent="0.15">
      <c r="A1093" t="s">
        <v>454</v>
      </c>
      <c r="B1093" t="s">
        <v>1923</v>
      </c>
      <c r="C1093" t="s">
        <v>1713</v>
      </c>
      <c r="D1093">
        <v>423</v>
      </c>
      <c r="F1093">
        <f>OUTPUTAvatarMatResID[[#This Row],[AvatarPartID]]*10000+OUTPUTAvatarMatResID[[#This Row],[SexID]]*1000+AvatarMatResID[[#This Row],[CountIndex]]</f>
        <v>12423</v>
      </c>
      <c r="G1093">
        <f>VLOOKUP(AvatarMatResID[[#This Row],[AvatarPart]],AvatarPartID[],2,0)</f>
        <v>1</v>
      </c>
      <c r="H1093">
        <f>VLOOKUP(AvatarMatResID[[#This Row],[Sex]],SexID[],2,0)</f>
        <v>2</v>
      </c>
      <c r="I1093" t="str">
        <f>AvatarMatResID[[#This Row],[Material]]</f>
        <v>Male Brown S Robe 02 Green</v>
      </c>
    </row>
    <row r="1094" spans="1:9" x14ac:dyDescent="0.15">
      <c r="A1094" t="s">
        <v>454</v>
      </c>
      <c r="B1094" t="s">
        <v>1923</v>
      </c>
      <c r="C1094" t="s">
        <v>1714</v>
      </c>
      <c r="D1094">
        <v>424</v>
      </c>
      <c r="F1094">
        <f>OUTPUTAvatarMatResID[[#This Row],[AvatarPartID]]*10000+OUTPUTAvatarMatResID[[#This Row],[SexID]]*1000+AvatarMatResID[[#This Row],[CountIndex]]</f>
        <v>12424</v>
      </c>
      <c r="G1094">
        <f>VLOOKUP(AvatarMatResID[[#This Row],[AvatarPart]],AvatarPartID[],2,0)</f>
        <v>1</v>
      </c>
      <c r="H1094">
        <f>VLOOKUP(AvatarMatResID[[#This Row],[Sex]],SexID[],2,0)</f>
        <v>2</v>
      </c>
      <c r="I1094" t="str">
        <f>AvatarMatResID[[#This Row],[Material]]</f>
        <v>Male Brown S Robe 02 Purple</v>
      </c>
    </row>
    <row r="1095" spans="1:9" x14ac:dyDescent="0.15">
      <c r="A1095" t="s">
        <v>454</v>
      </c>
      <c r="B1095" t="s">
        <v>1923</v>
      </c>
      <c r="C1095" t="s">
        <v>1715</v>
      </c>
      <c r="D1095">
        <v>425</v>
      </c>
      <c r="F1095">
        <f>OUTPUTAvatarMatResID[[#This Row],[AvatarPartID]]*10000+OUTPUTAvatarMatResID[[#This Row],[SexID]]*1000+AvatarMatResID[[#This Row],[CountIndex]]</f>
        <v>12425</v>
      </c>
      <c r="G1095">
        <f>VLOOKUP(AvatarMatResID[[#This Row],[AvatarPart]],AvatarPartID[],2,0)</f>
        <v>1</v>
      </c>
      <c r="H1095">
        <f>VLOOKUP(AvatarMatResID[[#This Row],[Sex]],SexID[],2,0)</f>
        <v>2</v>
      </c>
      <c r="I1095" t="str">
        <f>AvatarMatResID[[#This Row],[Material]]</f>
        <v>Male Brown S Robe 02 Red</v>
      </c>
    </row>
    <row r="1096" spans="1:9" x14ac:dyDescent="0.15">
      <c r="A1096" t="s">
        <v>454</v>
      </c>
      <c r="B1096" t="s">
        <v>1923</v>
      </c>
      <c r="C1096" t="s">
        <v>1431</v>
      </c>
      <c r="D1096">
        <v>426</v>
      </c>
      <c r="F1096">
        <f>OUTPUTAvatarMatResID[[#This Row],[AvatarPartID]]*10000+OUTPUTAvatarMatResID[[#This Row],[SexID]]*1000+AvatarMatResID[[#This Row],[CountIndex]]</f>
        <v>12426</v>
      </c>
      <c r="G1096">
        <f>VLOOKUP(AvatarMatResID[[#This Row],[AvatarPart]],AvatarPartID[],2,0)</f>
        <v>1</v>
      </c>
      <c r="H1096">
        <f>VLOOKUP(AvatarMatResID[[#This Row],[Sex]],SexID[],2,0)</f>
        <v>2</v>
      </c>
      <c r="I1096" t="str">
        <f>AvatarMatResID[[#This Row],[Material]]</f>
        <v>Male Brown Santa 01</v>
      </c>
    </row>
    <row r="1097" spans="1:9" x14ac:dyDescent="0.15">
      <c r="A1097" t="s">
        <v>454</v>
      </c>
      <c r="B1097" t="s">
        <v>1923</v>
      </c>
      <c r="C1097" t="s">
        <v>1432</v>
      </c>
      <c r="D1097">
        <v>427</v>
      </c>
      <c r="F1097">
        <f>OUTPUTAvatarMatResID[[#This Row],[AvatarPartID]]*10000+OUTPUTAvatarMatResID[[#This Row],[SexID]]*1000+AvatarMatResID[[#This Row],[CountIndex]]</f>
        <v>12427</v>
      </c>
      <c r="G1097">
        <f>VLOOKUP(AvatarMatResID[[#This Row],[AvatarPart]],AvatarPartID[],2,0)</f>
        <v>1</v>
      </c>
      <c r="H1097">
        <f>VLOOKUP(AvatarMatResID[[#This Row],[Sex]],SexID[],2,0)</f>
        <v>2</v>
      </c>
      <c r="I1097" t="str">
        <f>AvatarMatResID[[#This Row],[Material]]</f>
        <v>Male Brown Wizard 01 Black</v>
      </c>
    </row>
    <row r="1098" spans="1:9" x14ac:dyDescent="0.15">
      <c r="A1098" t="s">
        <v>454</v>
      </c>
      <c r="B1098" t="s">
        <v>1923</v>
      </c>
      <c r="C1098" t="s">
        <v>1433</v>
      </c>
      <c r="D1098">
        <v>428</v>
      </c>
      <c r="F1098">
        <f>OUTPUTAvatarMatResID[[#This Row],[AvatarPartID]]*10000+OUTPUTAvatarMatResID[[#This Row],[SexID]]*1000+AvatarMatResID[[#This Row],[CountIndex]]</f>
        <v>12428</v>
      </c>
      <c r="G1098">
        <f>VLOOKUP(AvatarMatResID[[#This Row],[AvatarPart]],AvatarPartID[],2,0)</f>
        <v>1</v>
      </c>
      <c r="H1098">
        <f>VLOOKUP(AvatarMatResID[[#This Row],[Sex]],SexID[],2,0)</f>
        <v>2</v>
      </c>
      <c r="I1098" t="str">
        <f>AvatarMatResID[[#This Row],[Material]]</f>
        <v>Male Brown Wizard 01 Blue</v>
      </c>
    </row>
    <row r="1099" spans="1:9" x14ac:dyDescent="0.15">
      <c r="A1099" t="s">
        <v>454</v>
      </c>
      <c r="B1099" t="s">
        <v>1923</v>
      </c>
      <c r="C1099" t="s">
        <v>1434</v>
      </c>
      <c r="D1099">
        <v>429</v>
      </c>
      <c r="F1099">
        <f>OUTPUTAvatarMatResID[[#This Row],[AvatarPartID]]*10000+OUTPUTAvatarMatResID[[#This Row],[SexID]]*1000+AvatarMatResID[[#This Row],[CountIndex]]</f>
        <v>12429</v>
      </c>
      <c r="G1099">
        <f>VLOOKUP(AvatarMatResID[[#This Row],[AvatarPart]],AvatarPartID[],2,0)</f>
        <v>1</v>
      </c>
      <c r="H1099">
        <f>VLOOKUP(AvatarMatResID[[#This Row],[Sex]],SexID[],2,0)</f>
        <v>2</v>
      </c>
      <c r="I1099" t="str">
        <f>AvatarMatResID[[#This Row],[Material]]</f>
        <v>Male Brown Wizard 01 Green</v>
      </c>
    </row>
    <row r="1100" spans="1:9" x14ac:dyDescent="0.15">
      <c r="A1100" t="s">
        <v>454</v>
      </c>
      <c r="B1100" t="s">
        <v>1923</v>
      </c>
      <c r="C1100" t="s">
        <v>1435</v>
      </c>
      <c r="D1100">
        <v>430</v>
      </c>
      <c r="F1100">
        <f>OUTPUTAvatarMatResID[[#This Row],[AvatarPartID]]*10000+OUTPUTAvatarMatResID[[#This Row],[SexID]]*1000+AvatarMatResID[[#This Row],[CountIndex]]</f>
        <v>12430</v>
      </c>
      <c r="G1100">
        <f>VLOOKUP(AvatarMatResID[[#This Row],[AvatarPart]],AvatarPartID[],2,0)</f>
        <v>1</v>
      </c>
      <c r="H1100">
        <f>VLOOKUP(AvatarMatResID[[#This Row],[Sex]],SexID[],2,0)</f>
        <v>2</v>
      </c>
      <c r="I1100" t="str">
        <f>AvatarMatResID[[#This Row],[Material]]</f>
        <v>Male Brown Wizard 01 Purple</v>
      </c>
    </row>
    <row r="1101" spans="1:9" x14ac:dyDescent="0.15">
      <c r="A1101" t="s">
        <v>454</v>
      </c>
      <c r="B1101" t="s">
        <v>1923</v>
      </c>
      <c r="C1101" t="s">
        <v>1436</v>
      </c>
      <c r="D1101">
        <v>431</v>
      </c>
      <c r="F1101">
        <f>OUTPUTAvatarMatResID[[#This Row],[AvatarPartID]]*10000+OUTPUTAvatarMatResID[[#This Row],[SexID]]*1000+AvatarMatResID[[#This Row],[CountIndex]]</f>
        <v>12431</v>
      </c>
      <c r="G1101">
        <f>VLOOKUP(AvatarMatResID[[#This Row],[AvatarPart]],AvatarPartID[],2,0)</f>
        <v>1</v>
      </c>
      <c r="H1101">
        <f>VLOOKUP(AvatarMatResID[[#This Row],[Sex]],SexID[],2,0)</f>
        <v>2</v>
      </c>
      <c r="I1101" t="str">
        <f>AvatarMatResID[[#This Row],[Material]]</f>
        <v>Male Brown Wizard 01 Red</v>
      </c>
    </row>
    <row r="1102" spans="1:9" x14ac:dyDescent="0.15">
      <c r="A1102" t="s">
        <v>454</v>
      </c>
      <c r="B1102" t="s">
        <v>1923</v>
      </c>
      <c r="C1102" t="s">
        <v>1437</v>
      </c>
      <c r="D1102">
        <v>432</v>
      </c>
      <c r="F1102">
        <f>OUTPUTAvatarMatResID[[#This Row],[AvatarPartID]]*10000+OUTPUTAvatarMatResID[[#This Row],[SexID]]*1000+AvatarMatResID[[#This Row],[CountIndex]]</f>
        <v>12432</v>
      </c>
      <c r="G1102">
        <f>VLOOKUP(AvatarMatResID[[#This Row],[AvatarPart]],AvatarPartID[],2,0)</f>
        <v>1</v>
      </c>
      <c r="H1102">
        <f>VLOOKUP(AvatarMatResID[[#This Row],[Sex]],SexID[],2,0)</f>
        <v>2</v>
      </c>
      <c r="I1102" t="str">
        <f>AvatarMatResID[[#This Row],[Material]]</f>
        <v>Male Brown Wizard 01 White</v>
      </c>
    </row>
    <row r="1103" spans="1:9" x14ac:dyDescent="0.15">
      <c r="A1103" t="s">
        <v>454</v>
      </c>
      <c r="B1103" t="s">
        <v>1923</v>
      </c>
      <c r="C1103" t="s">
        <v>1438</v>
      </c>
      <c r="D1103">
        <v>433</v>
      </c>
      <c r="F1103">
        <f>OUTPUTAvatarMatResID[[#This Row],[AvatarPartID]]*10000+OUTPUTAvatarMatResID[[#This Row],[SexID]]*1000+AvatarMatResID[[#This Row],[CountIndex]]</f>
        <v>12433</v>
      </c>
      <c r="G1103">
        <f>VLOOKUP(AvatarMatResID[[#This Row],[AvatarPart]],AvatarPartID[],2,0)</f>
        <v>1</v>
      </c>
      <c r="H1103">
        <f>VLOOKUP(AvatarMatResID[[#This Row],[Sex]],SexID[],2,0)</f>
        <v>2</v>
      </c>
      <c r="I1103" t="str">
        <f>AvatarMatResID[[#This Row],[Material]]</f>
        <v>Male Brown Wizard 02 Black</v>
      </c>
    </row>
    <row r="1104" spans="1:9" x14ac:dyDescent="0.15">
      <c r="A1104" t="s">
        <v>454</v>
      </c>
      <c r="B1104" t="s">
        <v>1923</v>
      </c>
      <c r="C1104" t="s">
        <v>1439</v>
      </c>
      <c r="D1104">
        <v>434</v>
      </c>
      <c r="F1104">
        <f>OUTPUTAvatarMatResID[[#This Row],[AvatarPartID]]*10000+OUTPUTAvatarMatResID[[#This Row],[SexID]]*1000+AvatarMatResID[[#This Row],[CountIndex]]</f>
        <v>12434</v>
      </c>
      <c r="G1104">
        <f>VLOOKUP(AvatarMatResID[[#This Row],[AvatarPart]],AvatarPartID[],2,0)</f>
        <v>1</v>
      </c>
      <c r="H1104">
        <f>VLOOKUP(AvatarMatResID[[#This Row],[Sex]],SexID[],2,0)</f>
        <v>2</v>
      </c>
      <c r="I1104" t="str">
        <f>AvatarMatResID[[#This Row],[Material]]</f>
        <v>Male Brown Wizard 02 Blue</v>
      </c>
    </row>
    <row r="1105" spans="1:9" x14ac:dyDescent="0.15">
      <c r="A1105" t="s">
        <v>454</v>
      </c>
      <c r="B1105" t="s">
        <v>1923</v>
      </c>
      <c r="C1105" t="s">
        <v>1440</v>
      </c>
      <c r="D1105">
        <v>435</v>
      </c>
      <c r="F1105">
        <f>OUTPUTAvatarMatResID[[#This Row],[AvatarPartID]]*10000+OUTPUTAvatarMatResID[[#This Row],[SexID]]*1000+AvatarMatResID[[#This Row],[CountIndex]]</f>
        <v>12435</v>
      </c>
      <c r="G1105">
        <f>VLOOKUP(AvatarMatResID[[#This Row],[AvatarPart]],AvatarPartID[],2,0)</f>
        <v>1</v>
      </c>
      <c r="H1105">
        <f>VLOOKUP(AvatarMatResID[[#This Row],[Sex]],SexID[],2,0)</f>
        <v>2</v>
      </c>
      <c r="I1105" t="str">
        <f>AvatarMatResID[[#This Row],[Material]]</f>
        <v>Male Brown Wizard 02 Brown</v>
      </c>
    </row>
    <row r="1106" spans="1:9" x14ac:dyDescent="0.15">
      <c r="A1106" t="s">
        <v>454</v>
      </c>
      <c r="B1106" t="s">
        <v>1923</v>
      </c>
      <c r="C1106" t="s">
        <v>1441</v>
      </c>
      <c r="D1106">
        <v>436</v>
      </c>
      <c r="F1106">
        <f>OUTPUTAvatarMatResID[[#This Row],[AvatarPartID]]*10000+OUTPUTAvatarMatResID[[#This Row],[SexID]]*1000+AvatarMatResID[[#This Row],[CountIndex]]</f>
        <v>12436</v>
      </c>
      <c r="G1106">
        <f>VLOOKUP(AvatarMatResID[[#This Row],[AvatarPart]],AvatarPartID[],2,0)</f>
        <v>1</v>
      </c>
      <c r="H1106">
        <f>VLOOKUP(AvatarMatResID[[#This Row],[Sex]],SexID[],2,0)</f>
        <v>2</v>
      </c>
      <c r="I1106" t="str">
        <f>AvatarMatResID[[#This Row],[Material]]</f>
        <v>Male Brown Wizard 02 Green</v>
      </c>
    </row>
    <row r="1107" spans="1:9" x14ac:dyDescent="0.15">
      <c r="A1107" t="s">
        <v>454</v>
      </c>
      <c r="B1107" t="s">
        <v>1923</v>
      </c>
      <c r="C1107" t="s">
        <v>1442</v>
      </c>
      <c r="D1107">
        <v>437</v>
      </c>
      <c r="F1107">
        <f>OUTPUTAvatarMatResID[[#This Row],[AvatarPartID]]*10000+OUTPUTAvatarMatResID[[#This Row],[SexID]]*1000+AvatarMatResID[[#This Row],[CountIndex]]</f>
        <v>12437</v>
      </c>
      <c r="G1107">
        <f>VLOOKUP(AvatarMatResID[[#This Row],[AvatarPart]],AvatarPartID[],2,0)</f>
        <v>1</v>
      </c>
      <c r="H1107">
        <f>VLOOKUP(AvatarMatResID[[#This Row],[Sex]],SexID[],2,0)</f>
        <v>2</v>
      </c>
      <c r="I1107" t="str">
        <f>AvatarMatResID[[#This Row],[Material]]</f>
        <v>Male Brown Wizard 02 Purple</v>
      </c>
    </row>
    <row r="1108" spans="1:9" x14ac:dyDescent="0.15">
      <c r="A1108" t="s">
        <v>454</v>
      </c>
      <c r="B1108" t="s">
        <v>1923</v>
      </c>
      <c r="C1108" t="s">
        <v>1443</v>
      </c>
      <c r="D1108">
        <v>438</v>
      </c>
      <c r="F1108">
        <f>OUTPUTAvatarMatResID[[#This Row],[AvatarPartID]]*10000+OUTPUTAvatarMatResID[[#This Row],[SexID]]*1000+AvatarMatResID[[#This Row],[CountIndex]]</f>
        <v>12438</v>
      </c>
      <c r="G1108">
        <f>VLOOKUP(AvatarMatResID[[#This Row],[AvatarPart]],AvatarPartID[],2,0)</f>
        <v>1</v>
      </c>
      <c r="H1108">
        <f>VLOOKUP(AvatarMatResID[[#This Row],[Sex]],SexID[],2,0)</f>
        <v>2</v>
      </c>
      <c r="I1108" t="str">
        <f>AvatarMatResID[[#This Row],[Material]]</f>
        <v>Male Brown Wizard 02 Red</v>
      </c>
    </row>
    <row r="1109" spans="1:9" x14ac:dyDescent="0.15">
      <c r="A1109" t="s">
        <v>454</v>
      </c>
      <c r="B1109" t="s">
        <v>1923</v>
      </c>
      <c r="C1109" t="s">
        <v>1444</v>
      </c>
      <c r="D1109">
        <v>439</v>
      </c>
      <c r="F1109">
        <f>OUTPUTAvatarMatResID[[#This Row],[AvatarPartID]]*10000+OUTPUTAvatarMatResID[[#This Row],[SexID]]*1000+AvatarMatResID[[#This Row],[CountIndex]]</f>
        <v>12439</v>
      </c>
      <c r="G1109">
        <f>VLOOKUP(AvatarMatResID[[#This Row],[AvatarPart]],AvatarPartID[],2,0)</f>
        <v>1</v>
      </c>
      <c r="H1109">
        <f>VLOOKUP(AvatarMatResID[[#This Row],[Sex]],SexID[],2,0)</f>
        <v>2</v>
      </c>
      <c r="I1109" t="str">
        <f>AvatarMatResID[[#This Row],[Material]]</f>
        <v>Male Brown Wizard 02 White</v>
      </c>
    </row>
    <row r="1110" spans="1:9" x14ac:dyDescent="0.15">
      <c r="A1110" t="s">
        <v>454</v>
      </c>
      <c r="B1110" t="s">
        <v>1923</v>
      </c>
      <c r="C1110" t="s">
        <v>1445</v>
      </c>
      <c r="D1110">
        <v>440</v>
      </c>
      <c r="F1110">
        <f>OUTPUTAvatarMatResID[[#This Row],[AvatarPartID]]*10000+OUTPUTAvatarMatResID[[#This Row],[SexID]]*1000+AvatarMatResID[[#This Row],[CountIndex]]</f>
        <v>12440</v>
      </c>
      <c r="G1110">
        <f>VLOOKUP(AvatarMatResID[[#This Row],[AvatarPart]],AvatarPartID[],2,0)</f>
        <v>1</v>
      </c>
      <c r="H1110">
        <f>VLOOKUP(AvatarMatResID[[#This Row],[Sex]],SexID[],2,0)</f>
        <v>2</v>
      </c>
      <c r="I1110" t="str">
        <f>AvatarMatResID[[#This Row],[Material]]</f>
        <v>Male Brown Wizard 03 Black</v>
      </c>
    </row>
    <row r="1111" spans="1:9" x14ac:dyDescent="0.15">
      <c r="A1111" t="s">
        <v>454</v>
      </c>
      <c r="B1111" t="s">
        <v>1923</v>
      </c>
      <c r="C1111" t="s">
        <v>1446</v>
      </c>
      <c r="D1111">
        <v>441</v>
      </c>
      <c r="F1111">
        <f>OUTPUTAvatarMatResID[[#This Row],[AvatarPartID]]*10000+OUTPUTAvatarMatResID[[#This Row],[SexID]]*1000+AvatarMatResID[[#This Row],[CountIndex]]</f>
        <v>12441</v>
      </c>
      <c r="G1111">
        <f>VLOOKUP(AvatarMatResID[[#This Row],[AvatarPart]],AvatarPartID[],2,0)</f>
        <v>1</v>
      </c>
      <c r="H1111">
        <f>VLOOKUP(AvatarMatResID[[#This Row],[Sex]],SexID[],2,0)</f>
        <v>2</v>
      </c>
      <c r="I1111" t="str">
        <f>AvatarMatResID[[#This Row],[Material]]</f>
        <v>Male Brown Wizard 03 Blue</v>
      </c>
    </row>
    <row r="1112" spans="1:9" x14ac:dyDescent="0.15">
      <c r="A1112" t="s">
        <v>454</v>
      </c>
      <c r="B1112" t="s">
        <v>1923</v>
      </c>
      <c r="C1112" t="s">
        <v>1447</v>
      </c>
      <c r="D1112">
        <v>442</v>
      </c>
      <c r="F1112">
        <f>OUTPUTAvatarMatResID[[#This Row],[AvatarPartID]]*10000+OUTPUTAvatarMatResID[[#This Row],[SexID]]*1000+AvatarMatResID[[#This Row],[CountIndex]]</f>
        <v>12442</v>
      </c>
      <c r="G1112">
        <f>VLOOKUP(AvatarMatResID[[#This Row],[AvatarPart]],AvatarPartID[],2,0)</f>
        <v>1</v>
      </c>
      <c r="H1112">
        <f>VLOOKUP(AvatarMatResID[[#This Row],[Sex]],SexID[],2,0)</f>
        <v>2</v>
      </c>
      <c r="I1112" t="str">
        <f>AvatarMatResID[[#This Row],[Material]]</f>
        <v>Male Brown Wizard 03 Green</v>
      </c>
    </row>
    <row r="1113" spans="1:9" x14ac:dyDescent="0.15">
      <c r="A1113" t="s">
        <v>454</v>
      </c>
      <c r="B1113" t="s">
        <v>1923</v>
      </c>
      <c r="C1113" t="s">
        <v>1448</v>
      </c>
      <c r="D1113">
        <v>443</v>
      </c>
      <c r="F1113">
        <f>OUTPUTAvatarMatResID[[#This Row],[AvatarPartID]]*10000+OUTPUTAvatarMatResID[[#This Row],[SexID]]*1000+AvatarMatResID[[#This Row],[CountIndex]]</f>
        <v>12443</v>
      </c>
      <c r="G1113">
        <f>VLOOKUP(AvatarMatResID[[#This Row],[AvatarPart]],AvatarPartID[],2,0)</f>
        <v>1</v>
      </c>
      <c r="H1113">
        <f>VLOOKUP(AvatarMatResID[[#This Row],[Sex]],SexID[],2,0)</f>
        <v>2</v>
      </c>
      <c r="I1113" t="str">
        <f>AvatarMatResID[[#This Row],[Material]]</f>
        <v>Male Brown Wizard 03 Purple</v>
      </c>
    </row>
    <row r="1114" spans="1:9" x14ac:dyDescent="0.15">
      <c r="A1114" t="s">
        <v>454</v>
      </c>
      <c r="B1114" t="s">
        <v>1923</v>
      </c>
      <c r="C1114" t="s">
        <v>1449</v>
      </c>
      <c r="D1114">
        <v>444</v>
      </c>
      <c r="F1114">
        <f>OUTPUTAvatarMatResID[[#This Row],[AvatarPartID]]*10000+OUTPUTAvatarMatResID[[#This Row],[SexID]]*1000+AvatarMatResID[[#This Row],[CountIndex]]</f>
        <v>12444</v>
      </c>
      <c r="G1114">
        <f>VLOOKUP(AvatarMatResID[[#This Row],[AvatarPart]],AvatarPartID[],2,0)</f>
        <v>1</v>
      </c>
      <c r="H1114">
        <f>VLOOKUP(AvatarMatResID[[#This Row],[Sex]],SexID[],2,0)</f>
        <v>2</v>
      </c>
      <c r="I1114" t="str">
        <f>AvatarMatResID[[#This Row],[Material]]</f>
        <v>Male Brown Wizard 03 Red</v>
      </c>
    </row>
    <row r="1115" spans="1:9" x14ac:dyDescent="0.15">
      <c r="A1115" t="s">
        <v>454</v>
      </c>
      <c r="B1115" t="s">
        <v>1923</v>
      </c>
      <c r="C1115" t="s">
        <v>1450</v>
      </c>
      <c r="D1115">
        <v>445</v>
      </c>
      <c r="F1115">
        <f>OUTPUTAvatarMatResID[[#This Row],[AvatarPartID]]*10000+OUTPUTAvatarMatResID[[#This Row],[SexID]]*1000+AvatarMatResID[[#This Row],[CountIndex]]</f>
        <v>12445</v>
      </c>
      <c r="G1115">
        <f>VLOOKUP(AvatarMatResID[[#This Row],[AvatarPart]],AvatarPartID[],2,0)</f>
        <v>1</v>
      </c>
      <c r="H1115">
        <f>VLOOKUP(AvatarMatResID[[#This Row],[Sex]],SexID[],2,0)</f>
        <v>2</v>
      </c>
      <c r="I1115" t="str">
        <f>AvatarMatResID[[#This Row],[Material]]</f>
        <v>Male Brown Wizard 03 Yellow</v>
      </c>
    </row>
    <row r="1116" spans="1:9" x14ac:dyDescent="0.15">
      <c r="A1116" t="s">
        <v>454</v>
      </c>
      <c r="B1116" t="s">
        <v>1923</v>
      </c>
      <c r="C1116" t="s">
        <v>1451</v>
      </c>
      <c r="D1116">
        <v>446</v>
      </c>
      <c r="F1116">
        <f>OUTPUTAvatarMatResID[[#This Row],[AvatarPartID]]*10000+OUTPUTAvatarMatResID[[#This Row],[SexID]]*1000+AvatarMatResID[[#This Row],[CountIndex]]</f>
        <v>12446</v>
      </c>
      <c r="G1116">
        <f>VLOOKUP(AvatarMatResID[[#This Row],[AvatarPart]],AvatarPartID[],2,0)</f>
        <v>1</v>
      </c>
      <c r="H1116">
        <f>VLOOKUP(AvatarMatResID[[#This Row],[Sex]],SexID[],2,0)</f>
        <v>2</v>
      </c>
      <c r="I1116" t="str">
        <f>AvatarMatResID[[#This Row],[Material]]</f>
        <v>Male Brown Wizard 04 Black</v>
      </c>
    </row>
    <row r="1117" spans="1:9" x14ac:dyDescent="0.15">
      <c r="A1117" t="s">
        <v>454</v>
      </c>
      <c r="B1117" t="s">
        <v>1923</v>
      </c>
      <c r="C1117" t="s">
        <v>1452</v>
      </c>
      <c r="D1117">
        <v>447</v>
      </c>
      <c r="F1117">
        <f>OUTPUTAvatarMatResID[[#This Row],[AvatarPartID]]*10000+OUTPUTAvatarMatResID[[#This Row],[SexID]]*1000+AvatarMatResID[[#This Row],[CountIndex]]</f>
        <v>12447</v>
      </c>
      <c r="G1117">
        <f>VLOOKUP(AvatarMatResID[[#This Row],[AvatarPart]],AvatarPartID[],2,0)</f>
        <v>1</v>
      </c>
      <c r="H1117">
        <f>VLOOKUP(AvatarMatResID[[#This Row],[Sex]],SexID[],2,0)</f>
        <v>2</v>
      </c>
      <c r="I1117" t="str">
        <f>AvatarMatResID[[#This Row],[Material]]</f>
        <v>Male Brown Wizard 04 Blue</v>
      </c>
    </row>
    <row r="1118" spans="1:9" x14ac:dyDescent="0.15">
      <c r="A1118" t="s">
        <v>454</v>
      </c>
      <c r="B1118" t="s">
        <v>1923</v>
      </c>
      <c r="C1118" t="s">
        <v>1453</v>
      </c>
      <c r="D1118">
        <v>448</v>
      </c>
      <c r="F1118">
        <f>OUTPUTAvatarMatResID[[#This Row],[AvatarPartID]]*10000+OUTPUTAvatarMatResID[[#This Row],[SexID]]*1000+AvatarMatResID[[#This Row],[CountIndex]]</f>
        <v>12448</v>
      </c>
      <c r="G1118">
        <f>VLOOKUP(AvatarMatResID[[#This Row],[AvatarPart]],AvatarPartID[],2,0)</f>
        <v>1</v>
      </c>
      <c r="H1118">
        <f>VLOOKUP(AvatarMatResID[[#This Row],[Sex]],SexID[],2,0)</f>
        <v>2</v>
      </c>
      <c r="I1118" t="str">
        <f>AvatarMatResID[[#This Row],[Material]]</f>
        <v>Male Brown Wizard 04 Brown</v>
      </c>
    </row>
    <row r="1119" spans="1:9" x14ac:dyDescent="0.15">
      <c r="A1119" t="s">
        <v>454</v>
      </c>
      <c r="B1119" t="s">
        <v>1923</v>
      </c>
      <c r="C1119" t="s">
        <v>1454</v>
      </c>
      <c r="D1119">
        <v>449</v>
      </c>
      <c r="F1119">
        <f>OUTPUTAvatarMatResID[[#This Row],[AvatarPartID]]*10000+OUTPUTAvatarMatResID[[#This Row],[SexID]]*1000+AvatarMatResID[[#This Row],[CountIndex]]</f>
        <v>12449</v>
      </c>
      <c r="G1119">
        <f>VLOOKUP(AvatarMatResID[[#This Row],[AvatarPart]],AvatarPartID[],2,0)</f>
        <v>1</v>
      </c>
      <c r="H1119">
        <f>VLOOKUP(AvatarMatResID[[#This Row],[Sex]],SexID[],2,0)</f>
        <v>2</v>
      </c>
      <c r="I1119" t="str">
        <f>AvatarMatResID[[#This Row],[Material]]</f>
        <v>Male Brown Wizard 04 Green</v>
      </c>
    </row>
    <row r="1120" spans="1:9" x14ac:dyDescent="0.15">
      <c r="A1120" t="s">
        <v>454</v>
      </c>
      <c r="B1120" t="s">
        <v>1923</v>
      </c>
      <c r="C1120" t="s">
        <v>1455</v>
      </c>
      <c r="D1120">
        <v>450</v>
      </c>
      <c r="F1120">
        <f>OUTPUTAvatarMatResID[[#This Row],[AvatarPartID]]*10000+OUTPUTAvatarMatResID[[#This Row],[SexID]]*1000+AvatarMatResID[[#This Row],[CountIndex]]</f>
        <v>12450</v>
      </c>
      <c r="G1120">
        <f>VLOOKUP(AvatarMatResID[[#This Row],[AvatarPart]],AvatarPartID[],2,0)</f>
        <v>1</v>
      </c>
      <c r="H1120">
        <f>VLOOKUP(AvatarMatResID[[#This Row],[Sex]],SexID[],2,0)</f>
        <v>2</v>
      </c>
      <c r="I1120" t="str">
        <f>AvatarMatResID[[#This Row],[Material]]</f>
        <v>Male Brown Wizard 04 Magenta</v>
      </c>
    </row>
    <row r="1121" spans="1:9" x14ac:dyDescent="0.15">
      <c r="A1121" t="s">
        <v>454</v>
      </c>
      <c r="B1121" t="s">
        <v>1923</v>
      </c>
      <c r="C1121" t="s">
        <v>1456</v>
      </c>
      <c r="D1121">
        <v>451</v>
      </c>
      <c r="F1121">
        <f>OUTPUTAvatarMatResID[[#This Row],[AvatarPartID]]*10000+OUTPUTAvatarMatResID[[#This Row],[SexID]]*1000+AvatarMatResID[[#This Row],[CountIndex]]</f>
        <v>12451</v>
      </c>
      <c r="G1121">
        <f>VLOOKUP(AvatarMatResID[[#This Row],[AvatarPart]],AvatarPartID[],2,0)</f>
        <v>1</v>
      </c>
      <c r="H1121">
        <f>VLOOKUP(AvatarMatResID[[#This Row],[Sex]],SexID[],2,0)</f>
        <v>2</v>
      </c>
      <c r="I1121" t="str">
        <f>AvatarMatResID[[#This Row],[Material]]</f>
        <v>Male Brown Wizard 04 Purple</v>
      </c>
    </row>
    <row r="1122" spans="1:9" x14ac:dyDescent="0.15">
      <c r="A1122" t="s">
        <v>454</v>
      </c>
      <c r="B1122" t="s">
        <v>1923</v>
      </c>
      <c r="C1122" t="s">
        <v>1457</v>
      </c>
      <c r="D1122">
        <v>452</v>
      </c>
      <c r="F1122">
        <f>OUTPUTAvatarMatResID[[#This Row],[AvatarPartID]]*10000+OUTPUTAvatarMatResID[[#This Row],[SexID]]*1000+AvatarMatResID[[#This Row],[CountIndex]]</f>
        <v>12452</v>
      </c>
      <c r="G1122">
        <f>VLOOKUP(AvatarMatResID[[#This Row],[AvatarPart]],AvatarPartID[],2,0)</f>
        <v>1</v>
      </c>
      <c r="H1122">
        <f>VLOOKUP(AvatarMatResID[[#This Row],[Sex]],SexID[],2,0)</f>
        <v>2</v>
      </c>
      <c r="I1122" t="str">
        <f>AvatarMatResID[[#This Row],[Material]]</f>
        <v>Male Brown Wizard 04 Red</v>
      </c>
    </row>
    <row r="1123" spans="1:9" x14ac:dyDescent="0.15">
      <c r="A1123" t="s">
        <v>454</v>
      </c>
      <c r="B1123" t="s">
        <v>1923</v>
      </c>
      <c r="C1123" t="s">
        <v>1458</v>
      </c>
      <c r="D1123">
        <v>453</v>
      </c>
      <c r="F1123">
        <f>OUTPUTAvatarMatResID[[#This Row],[AvatarPartID]]*10000+OUTPUTAvatarMatResID[[#This Row],[SexID]]*1000+AvatarMatResID[[#This Row],[CountIndex]]</f>
        <v>12453</v>
      </c>
      <c r="G1123">
        <f>VLOOKUP(AvatarMatResID[[#This Row],[AvatarPart]],AvatarPartID[],2,0)</f>
        <v>1</v>
      </c>
      <c r="H1123">
        <f>VLOOKUP(AvatarMatResID[[#This Row],[Sex]],SexID[],2,0)</f>
        <v>2</v>
      </c>
      <c r="I1123" t="str">
        <f>AvatarMatResID[[#This Row],[Material]]</f>
        <v>Male Brown Wizard 04 White</v>
      </c>
    </row>
    <row r="1124" spans="1:9" x14ac:dyDescent="0.15">
      <c r="A1124" t="s">
        <v>454</v>
      </c>
      <c r="B1124" t="s">
        <v>1923</v>
      </c>
      <c r="C1124" t="s">
        <v>1459</v>
      </c>
      <c r="D1124">
        <v>454</v>
      </c>
      <c r="F1124">
        <f>OUTPUTAvatarMatResID[[#This Row],[AvatarPartID]]*10000+OUTPUTAvatarMatResID[[#This Row],[SexID]]*1000+AvatarMatResID[[#This Row],[CountIndex]]</f>
        <v>12454</v>
      </c>
      <c r="G1124">
        <f>VLOOKUP(AvatarMatResID[[#This Row],[AvatarPart]],AvatarPartID[],2,0)</f>
        <v>1</v>
      </c>
      <c r="H1124">
        <f>VLOOKUP(AvatarMatResID[[#This Row],[Sex]],SexID[],2,0)</f>
        <v>2</v>
      </c>
      <c r="I1124" t="str">
        <f>AvatarMatResID[[#This Row],[Material]]</f>
        <v>Male Brown Wizard 05 Black</v>
      </c>
    </row>
    <row r="1125" spans="1:9" x14ac:dyDescent="0.15">
      <c r="A1125" t="s">
        <v>454</v>
      </c>
      <c r="B1125" t="s">
        <v>1923</v>
      </c>
      <c r="C1125" t="s">
        <v>1460</v>
      </c>
      <c r="D1125">
        <v>455</v>
      </c>
      <c r="F1125">
        <f>OUTPUTAvatarMatResID[[#This Row],[AvatarPartID]]*10000+OUTPUTAvatarMatResID[[#This Row],[SexID]]*1000+AvatarMatResID[[#This Row],[CountIndex]]</f>
        <v>12455</v>
      </c>
      <c r="G1125">
        <f>VLOOKUP(AvatarMatResID[[#This Row],[AvatarPart]],AvatarPartID[],2,0)</f>
        <v>1</v>
      </c>
      <c r="H1125">
        <f>VLOOKUP(AvatarMatResID[[#This Row],[Sex]],SexID[],2,0)</f>
        <v>2</v>
      </c>
      <c r="I1125" t="str">
        <f>AvatarMatResID[[#This Row],[Material]]</f>
        <v>Male Brown Wizard 05 Blue</v>
      </c>
    </row>
    <row r="1126" spans="1:9" x14ac:dyDescent="0.15">
      <c r="A1126" t="s">
        <v>454</v>
      </c>
      <c r="B1126" t="s">
        <v>1923</v>
      </c>
      <c r="C1126" t="s">
        <v>1461</v>
      </c>
      <c r="D1126">
        <v>456</v>
      </c>
      <c r="F1126">
        <f>OUTPUTAvatarMatResID[[#This Row],[AvatarPartID]]*10000+OUTPUTAvatarMatResID[[#This Row],[SexID]]*1000+AvatarMatResID[[#This Row],[CountIndex]]</f>
        <v>12456</v>
      </c>
      <c r="G1126">
        <f>VLOOKUP(AvatarMatResID[[#This Row],[AvatarPart]],AvatarPartID[],2,0)</f>
        <v>1</v>
      </c>
      <c r="H1126">
        <f>VLOOKUP(AvatarMatResID[[#This Row],[Sex]],SexID[],2,0)</f>
        <v>2</v>
      </c>
      <c r="I1126" t="str">
        <f>AvatarMatResID[[#This Row],[Material]]</f>
        <v>Male Brown Wizard 05 Brown</v>
      </c>
    </row>
    <row r="1127" spans="1:9" x14ac:dyDescent="0.15">
      <c r="A1127" t="s">
        <v>454</v>
      </c>
      <c r="B1127" t="s">
        <v>1923</v>
      </c>
      <c r="C1127" t="s">
        <v>1462</v>
      </c>
      <c r="D1127">
        <v>457</v>
      </c>
      <c r="F1127">
        <f>OUTPUTAvatarMatResID[[#This Row],[AvatarPartID]]*10000+OUTPUTAvatarMatResID[[#This Row],[SexID]]*1000+AvatarMatResID[[#This Row],[CountIndex]]</f>
        <v>12457</v>
      </c>
      <c r="G1127">
        <f>VLOOKUP(AvatarMatResID[[#This Row],[AvatarPart]],AvatarPartID[],2,0)</f>
        <v>1</v>
      </c>
      <c r="H1127">
        <f>VLOOKUP(AvatarMatResID[[#This Row],[Sex]],SexID[],2,0)</f>
        <v>2</v>
      </c>
      <c r="I1127" t="str">
        <f>AvatarMatResID[[#This Row],[Material]]</f>
        <v>Male Brown Wizard 05 Green</v>
      </c>
    </row>
    <row r="1128" spans="1:9" x14ac:dyDescent="0.15">
      <c r="A1128" t="s">
        <v>454</v>
      </c>
      <c r="B1128" t="s">
        <v>1923</v>
      </c>
      <c r="C1128" t="s">
        <v>1463</v>
      </c>
      <c r="D1128">
        <v>458</v>
      </c>
      <c r="F1128">
        <f>OUTPUTAvatarMatResID[[#This Row],[AvatarPartID]]*10000+OUTPUTAvatarMatResID[[#This Row],[SexID]]*1000+AvatarMatResID[[#This Row],[CountIndex]]</f>
        <v>12458</v>
      </c>
      <c r="G1128">
        <f>VLOOKUP(AvatarMatResID[[#This Row],[AvatarPart]],AvatarPartID[],2,0)</f>
        <v>1</v>
      </c>
      <c r="H1128">
        <f>VLOOKUP(AvatarMatResID[[#This Row],[Sex]],SexID[],2,0)</f>
        <v>2</v>
      </c>
      <c r="I1128" t="str">
        <f>AvatarMatResID[[#This Row],[Material]]</f>
        <v>Male Brown Wizard 05 Magenta</v>
      </c>
    </row>
    <row r="1129" spans="1:9" x14ac:dyDescent="0.15">
      <c r="A1129" t="s">
        <v>454</v>
      </c>
      <c r="B1129" t="s">
        <v>1923</v>
      </c>
      <c r="C1129" t="s">
        <v>1464</v>
      </c>
      <c r="D1129">
        <v>459</v>
      </c>
      <c r="F1129">
        <f>OUTPUTAvatarMatResID[[#This Row],[AvatarPartID]]*10000+OUTPUTAvatarMatResID[[#This Row],[SexID]]*1000+AvatarMatResID[[#This Row],[CountIndex]]</f>
        <v>12459</v>
      </c>
      <c r="G1129">
        <f>VLOOKUP(AvatarMatResID[[#This Row],[AvatarPart]],AvatarPartID[],2,0)</f>
        <v>1</v>
      </c>
      <c r="H1129">
        <f>VLOOKUP(AvatarMatResID[[#This Row],[Sex]],SexID[],2,0)</f>
        <v>2</v>
      </c>
      <c r="I1129" t="str">
        <f>AvatarMatResID[[#This Row],[Material]]</f>
        <v>Male Brown Wizard 05 Purple</v>
      </c>
    </row>
    <row r="1130" spans="1:9" x14ac:dyDescent="0.15">
      <c r="A1130" t="s">
        <v>454</v>
      </c>
      <c r="B1130" t="s">
        <v>1923</v>
      </c>
      <c r="C1130" t="s">
        <v>1465</v>
      </c>
      <c r="D1130">
        <v>460</v>
      </c>
      <c r="F1130">
        <f>OUTPUTAvatarMatResID[[#This Row],[AvatarPartID]]*10000+OUTPUTAvatarMatResID[[#This Row],[SexID]]*1000+AvatarMatResID[[#This Row],[CountIndex]]</f>
        <v>12460</v>
      </c>
      <c r="G1130">
        <f>VLOOKUP(AvatarMatResID[[#This Row],[AvatarPart]],AvatarPartID[],2,0)</f>
        <v>1</v>
      </c>
      <c r="H1130">
        <f>VLOOKUP(AvatarMatResID[[#This Row],[Sex]],SexID[],2,0)</f>
        <v>2</v>
      </c>
      <c r="I1130" t="str">
        <f>AvatarMatResID[[#This Row],[Material]]</f>
        <v>Male Brown Wizard 05 Red</v>
      </c>
    </row>
    <row r="1131" spans="1:9" x14ac:dyDescent="0.15">
      <c r="A1131" t="s">
        <v>454</v>
      </c>
      <c r="B1131" t="s">
        <v>1923</v>
      </c>
      <c r="C1131" t="s">
        <v>1466</v>
      </c>
      <c r="D1131">
        <v>461</v>
      </c>
      <c r="F1131">
        <f>OUTPUTAvatarMatResID[[#This Row],[AvatarPartID]]*10000+OUTPUTAvatarMatResID[[#This Row],[SexID]]*1000+AvatarMatResID[[#This Row],[CountIndex]]</f>
        <v>12461</v>
      </c>
      <c r="G1131">
        <f>VLOOKUP(AvatarMatResID[[#This Row],[AvatarPart]],AvatarPartID[],2,0)</f>
        <v>1</v>
      </c>
      <c r="H1131">
        <f>VLOOKUP(AvatarMatResID[[#This Row],[Sex]],SexID[],2,0)</f>
        <v>2</v>
      </c>
      <c r="I1131" t="str">
        <f>AvatarMatResID[[#This Row],[Material]]</f>
        <v>Male Brown Wizard 05 White</v>
      </c>
    </row>
    <row r="1132" spans="1:9" x14ac:dyDescent="0.15">
      <c r="A1132" t="s">
        <v>454</v>
      </c>
      <c r="B1132" t="s">
        <v>1923</v>
      </c>
      <c r="C1132" t="s">
        <v>1467</v>
      </c>
      <c r="D1132">
        <v>462</v>
      </c>
      <c r="F1132">
        <f>OUTPUTAvatarMatResID[[#This Row],[AvatarPartID]]*10000+OUTPUTAvatarMatResID[[#This Row],[SexID]]*1000+AvatarMatResID[[#This Row],[CountIndex]]</f>
        <v>12462</v>
      </c>
      <c r="G1132">
        <f>VLOOKUP(AvatarMatResID[[#This Row],[AvatarPart]],AvatarPartID[],2,0)</f>
        <v>1</v>
      </c>
      <c r="H1132">
        <f>VLOOKUP(AvatarMatResID[[#This Row],[Sex]],SexID[],2,0)</f>
        <v>2</v>
      </c>
      <c r="I1132" t="str">
        <f>AvatarMatResID[[#This Row],[Material]]</f>
        <v>Male Brown Wizard 06 Black</v>
      </c>
    </row>
    <row r="1133" spans="1:9" x14ac:dyDescent="0.15">
      <c r="A1133" t="s">
        <v>454</v>
      </c>
      <c r="B1133" t="s">
        <v>1923</v>
      </c>
      <c r="C1133" t="s">
        <v>1468</v>
      </c>
      <c r="D1133">
        <v>463</v>
      </c>
      <c r="F1133">
        <f>OUTPUTAvatarMatResID[[#This Row],[AvatarPartID]]*10000+OUTPUTAvatarMatResID[[#This Row],[SexID]]*1000+AvatarMatResID[[#This Row],[CountIndex]]</f>
        <v>12463</v>
      </c>
      <c r="G1133">
        <f>VLOOKUP(AvatarMatResID[[#This Row],[AvatarPart]],AvatarPartID[],2,0)</f>
        <v>1</v>
      </c>
      <c r="H1133">
        <f>VLOOKUP(AvatarMatResID[[#This Row],[Sex]],SexID[],2,0)</f>
        <v>2</v>
      </c>
      <c r="I1133" t="str">
        <f>AvatarMatResID[[#This Row],[Material]]</f>
        <v>Male Brown Wizard 06 Blue</v>
      </c>
    </row>
    <row r="1134" spans="1:9" x14ac:dyDescent="0.15">
      <c r="A1134" t="s">
        <v>454</v>
      </c>
      <c r="B1134" t="s">
        <v>1923</v>
      </c>
      <c r="C1134" t="s">
        <v>1469</v>
      </c>
      <c r="D1134">
        <v>464</v>
      </c>
      <c r="F1134">
        <f>OUTPUTAvatarMatResID[[#This Row],[AvatarPartID]]*10000+OUTPUTAvatarMatResID[[#This Row],[SexID]]*1000+AvatarMatResID[[#This Row],[CountIndex]]</f>
        <v>12464</v>
      </c>
      <c r="G1134">
        <f>VLOOKUP(AvatarMatResID[[#This Row],[AvatarPart]],AvatarPartID[],2,0)</f>
        <v>1</v>
      </c>
      <c r="H1134">
        <f>VLOOKUP(AvatarMatResID[[#This Row],[Sex]],SexID[],2,0)</f>
        <v>2</v>
      </c>
      <c r="I1134" t="str">
        <f>AvatarMatResID[[#This Row],[Material]]</f>
        <v>Male Brown Wizard 06 Brown</v>
      </c>
    </row>
    <row r="1135" spans="1:9" x14ac:dyDescent="0.15">
      <c r="A1135" t="s">
        <v>454</v>
      </c>
      <c r="B1135" t="s">
        <v>1923</v>
      </c>
      <c r="C1135" t="s">
        <v>1470</v>
      </c>
      <c r="D1135">
        <v>465</v>
      </c>
      <c r="F1135">
        <f>OUTPUTAvatarMatResID[[#This Row],[AvatarPartID]]*10000+OUTPUTAvatarMatResID[[#This Row],[SexID]]*1000+AvatarMatResID[[#This Row],[CountIndex]]</f>
        <v>12465</v>
      </c>
      <c r="G1135">
        <f>VLOOKUP(AvatarMatResID[[#This Row],[AvatarPart]],AvatarPartID[],2,0)</f>
        <v>1</v>
      </c>
      <c r="H1135">
        <f>VLOOKUP(AvatarMatResID[[#This Row],[Sex]],SexID[],2,0)</f>
        <v>2</v>
      </c>
      <c r="I1135" t="str">
        <f>AvatarMatResID[[#This Row],[Material]]</f>
        <v>Male Brown Wizard 06 Green</v>
      </c>
    </row>
    <row r="1136" spans="1:9" x14ac:dyDescent="0.15">
      <c r="A1136" t="s">
        <v>454</v>
      </c>
      <c r="B1136" t="s">
        <v>1923</v>
      </c>
      <c r="C1136" t="s">
        <v>1471</v>
      </c>
      <c r="D1136">
        <v>466</v>
      </c>
      <c r="F1136">
        <f>OUTPUTAvatarMatResID[[#This Row],[AvatarPartID]]*10000+OUTPUTAvatarMatResID[[#This Row],[SexID]]*1000+AvatarMatResID[[#This Row],[CountIndex]]</f>
        <v>12466</v>
      </c>
      <c r="G1136">
        <f>VLOOKUP(AvatarMatResID[[#This Row],[AvatarPart]],AvatarPartID[],2,0)</f>
        <v>1</v>
      </c>
      <c r="H1136">
        <f>VLOOKUP(AvatarMatResID[[#This Row],[Sex]],SexID[],2,0)</f>
        <v>2</v>
      </c>
      <c r="I1136" t="str">
        <f>AvatarMatResID[[#This Row],[Material]]</f>
        <v>Male Brown Wizard 06 Magenta</v>
      </c>
    </row>
    <row r="1137" spans="1:9" x14ac:dyDescent="0.15">
      <c r="A1137" t="s">
        <v>454</v>
      </c>
      <c r="B1137" t="s">
        <v>1923</v>
      </c>
      <c r="C1137" t="s">
        <v>1472</v>
      </c>
      <c r="D1137">
        <v>467</v>
      </c>
      <c r="F1137">
        <f>OUTPUTAvatarMatResID[[#This Row],[AvatarPartID]]*10000+OUTPUTAvatarMatResID[[#This Row],[SexID]]*1000+AvatarMatResID[[#This Row],[CountIndex]]</f>
        <v>12467</v>
      </c>
      <c r="G1137">
        <f>VLOOKUP(AvatarMatResID[[#This Row],[AvatarPart]],AvatarPartID[],2,0)</f>
        <v>1</v>
      </c>
      <c r="H1137">
        <f>VLOOKUP(AvatarMatResID[[#This Row],[Sex]],SexID[],2,0)</f>
        <v>2</v>
      </c>
      <c r="I1137" t="str">
        <f>AvatarMatResID[[#This Row],[Material]]</f>
        <v>Male Brown Wizard 06 Purple</v>
      </c>
    </row>
    <row r="1138" spans="1:9" x14ac:dyDescent="0.15">
      <c r="A1138" t="s">
        <v>454</v>
      </c>
      <c r="B1138" t="s">
        <v>1923</v>
      </c>
      <c r="C1138" t="s">
        <v>1473</v>
      </c>
      <c r="D1138">
        <v>468</v>
      </c>
      <c r="F1138">
        <f>OUTPUTAvatarMatResID[[#This Row],[AvatarPartID]]*10000+OUTPUTAvatarMatResID[[#This Row],[SexID]]*1000+AvatarMatResID[[#This Row],[CountIndex]]</f>
        <v>12468</v>
      </c>
      <c r="G1138">
        <f>VLOOKUP(AvatarMatResID[[#This Row],[AvatarPart]],AvatarPartID[],2,0)</f>
        <v>1</v>
      </c>
      <c r="H1138">
        <f>VLOOKUP(AvatarMatResID[[#This Row],[Sex]],SexID[],2,0)</f>
        <v>2</v>
      </c>
      <c r="I1138" t="str">
        <f>AvatarMatResID[[#This Row],[Material]]</f>
        <v>Male Brown Wizard 06 Red</v>
      </c>
    </row>
    <row r="1139" spans="1:9" x14ac:dyDescent="0.15">
      <c r="A1139" t="s">
        <v>454</v>
      </c>
      <c r="B1139" t="s">
        <v>1923</v>
      </c>
      <c r="C1139" t="s">
        <v>1474</v>
      </c>
      <c r="D1139">
        <v>469</v>
      </c>
      <c r="F1139">
        <f>OUTPUTAvatarMatResID[[#This Row],[AvatarPartID]]*10000+OUTPUTAvatarMatResID[[#This Row],[SexID]]*1000+AvatarMatResID[[#This Row],[CountIndex]]</f>
        <v>12469</v>
      </c>
      <c r="G1139">
        <f>VLOOKUP(AvatarMatResID[[#This Row],[AvatarPart]],AvatarPartID[],2,0)</f>
        <v>1</v>
      </c>
      <c r="H1139">
        <f>VLOOKUP(AvatarMatResID[[#This Row],[Sex]],SexID[],2,0)</f>
        <v>2</v>
      </c>
      <c r="I1139" t="str">
        <f>AvatarMatResID[[#This Row],[Material]]</f>
        <v>Male Brown Wizard 06 White</v>
      </c>
    </row>
    <row r="1140" spans="1:9" x14ac:dyDescent="0.15">
      <c r="A1140" t="s">
        <v>454</v>
      </c>
      <c r="B1140" t="s">
        <v>1923</v>
      </c>
      <c r="C1140" t="s">
        <v>1475</v>
      </c>
      <c r="D1140">
        <v>470</v>
      </c>
      <c r="F1140">
        <f>OUTPUTAvatarMatResID[[#This Row],[AvatarPartID]]*10000+OUTPUTAvatarMatResID[[#This Row],[SexID]]*1000+AvatarMatResID[[#This Row],[CountIndex]]</f>
        <v>12470</v>
      </c>
      <c r="G1140">
        <f>VLOOKUP(AvatarMatResID[[#This Row],[AvatarPart]],AvatarPartID[],2,0)</f>
        <v>1</v>
      </c>
      <c r="H1140">
        <f>VLOOKUP(AvatarMatResID[[#This Row],[Sex]],SexID[],2,0)</f>
        <v>2</v>
      </c>
      <c r="I1140" t="str">
        <f>AvatarMatResID[[#This Row],[Material]]</f>
        <v>Male Fire 01 Orange</v>
      </c>
    </row>
    <row r="1141" spans="1:9" x14ac:dyDescent="0.15">
      <c r="A1141" t="s">
        <v>454</v>
      </c>
      <c r="B1141" t="s">
        <v>1923</v>
      </c>
      <c r="C1141" t="s">
        <v>1476</v>
      </c>
      <c r="D1141">
        <v>471</v>
      </c>
      <c r="F1141">
        <f>OUTPUTAvatarMatResID[[#This Row],[AvatarPartID]]*10000+OUTPUTAvatarMatResID[[#This Row],[SexID]]*1000+AvatarMatResID[[#This Row],[CountIndex]]</f>
        <v>12471</v>
      </c>
      <c r="G1141">
        <f>VLOOKUP(AvatarMatResID[[#This Row],[AvatarPart]],AvatarPartID[],2,0)</f>
        <v>1</v>
      </c>
      <c r="H1141">
        <f>VLOOKUP(AvatarMatResID[[#This Row],[Sex]],SexID[],2,0)</f>
        <v>2</v>
      </c>
      <c r="I1141" t="str">
        <f>AvatarMatResID[[#This Row],[Material]]</f>
        <v>Male Fire 01 Yellow</v>
      </c>
    </row>
    <row r="1142" spans="1:9" x14ac:dyDescent="0.15">
      <c r="A1142" t="s">
        <v>454</v>
      </c>
      <c r="B1142" t="s">
        <v>1923</v>
      </c>
      <c r="C1142" t="s">
        <v>1477</v>
      </c>
      <c r="D1142">
        <v>472</v>
      </c>
      <c r="F1142">
        <f>OUTPUTAvatarMatResID[[#This Row],[AvatarPartID]]*10000+OUTPUTAvatarMatResID[[#This Row],[SexID]]*1000+AvatarMatResID[[#This Row],[CountIndex]]</f>
        <v>12472</v>
      </c>
      <c r="G1142">
        <f>VLOOKUP(AvatarMatResID[[#This Row],[AvatarPart]],AvatarPartID[],2,0)</f>
        <v>1</v>
      </c>
      <c r="H1142">
        <f>VLOOKUP(AvatarMatResID[[#This Row],[Sex]],SexID[],2,0)</f>
        <v>2</v>
      </c>
      <c r="I1142" t="str">
        <f>AvatarMatResID[[#This Row],[Material]]</f>
        <v>Male White Archer 01 Black</v>
      </c>
    </row>
    <row r="1143" spans="1:9" x14ac:dyDescent="0.15">
      <c r="A1143" t="s">
        <v>454</v>
      </c>
      <c r="B1143" t="s">
        <v>1923</v>
      </c>
      <c r="C1143" t="s">
        <v>1478</v>
      </c>
      <c r="D1143">
        <v>473</v>
      </c>
      <c r="F1143">
        <f>OUTPUTAvatarMatResID[[#This Row],[AvatarPartID]]*10000+OUTPUTAvatarMatResID[[#This Row],[SexID]]*1000+AvatarMatResID[[#This Row],[CountIndex]]</f>
        <v>12473</v>
      </c>
      <c r="G1143">
        <f>VLOOKUP(AvatarMatResID[[#This Row],[AvatarPart]],AvatarPartID[],2,0)</f>
        <v>1</v>
      </c>
      <c r="H1143">
        <f>VLOOKUP(AvatarMatResID[[#This Row],[Sex]],SexID[],2,0)</f>
        <v>2</v>
      </c>
      <c r="I1143" t="str">
        <f>AvatarMatResID[[#This Row],[Material]]</f>
        <v>Male White Archer 01 Blue</v>
      </c>
    </row>
    <row r="1144" spans="1:9" x14ac:dyDescent="0.15">
      <c r="A1144" t="s">
        <v>454</v>
      </c>
      <c r="B1144" t="s">
        <v>1923</v>
      </c>
      <c r="C1144" t="s">
        <v>1479</v>
      </c>
      <c r="D1144">
        <v>474</v>
      </c>
      <c r="F1144">
        <f>OUTPUTAvatarMatResID[[#This Row],[AvatarPartID]]*10000+OUTPUTAvatarMatResID[[#This Row],[SexID]]*1000+AvatarMatResID[[#This Row],[CountIndex]]</f>
        <v>12474</v>
      </c>
      <c r="G1144">
        <f>VLOOKUP(AvatarMatResID[[#This Row],[AvatarPart]],AvatarPartID[],2,0)</f>
        <v>1</v>
      </c>
      <c r="H1144">
        <f>VLOOKUP(AvatarMatResID[[#This Row],[Sex]],SexID[],2,0)</f>
        <v>2</v>
      </c>
      <c r="I1144" t="str">
        <f>AvatarMatResID[[#This Row],[Material]]</f>
        <v>Male White Archer 01 Green</v>
      </c>
    </row>
    <row r="1145" spans="1:9" x14ac:dyDescent="0.15">
      <c r="A1145" t="s">
        <v>454</v>
      </c>
      <c r="B1145" t="s">
        <v>1923</v>
      </c>
      <c r="C1145" t="s">
        <v>1480</v>
      </c>
      <c r="D1145">
        <v>475</v>
      </c>
      <c r="F1145">
        <f>OUTPUTAvatarMatResID[[#This Row],[AvatarPartID]]*10000+OUTPUTAvatarMatResID[[#This Row],[SexID]]*1000+AvatarMatResID[[#This Row],[CountIndex]]</f>
        <v>12475</v>
      </c>
      <c r="G1145">
        <f>VLOOKUP(AvatarMatResID[[#This Row],[AvatarPart]],AvatarPartID[],2,0)</f>
        <v>1</v>
      </c>
      <c r="H1145">
        <f>VLOOKUP(AvatarMatResID[[#This Row],[Sex]],SexID[],2,0)</f>
        <v>2</v>
      </c>
      <c r="I1145" t="str">
        <f>AvatarMatResID[[#This Row],[Material]]</f>
        <v>Male White Archer 01 Maroon</v>
      </c>
    </row>
    <row r="1146" spans="1:9" x14ac:dyDescent="0.15">
      <c r="A1146" t="s">
        <v>454</v>
      </c>
      <c r="B1146" t="s">
        <v>1923</v>
      </c>
      <c r="C1146" t="s">
        <v>1481</v>
      </c>
      <c r="D1146">
        <v>476</v>
      </c>
      <c r="F1146">
        <f>OUTPUTAvatarMatResID[[#This Row],[AvatarPartID]]*10000+OUTPUTAvatarMatResID[[#This Row],[SexID]]*1000+AvatarMatResID[[#This Row],[CountIndex]]</f>
        <v>12476</v>
      </c>
      <c r="G1146">
        <f>VLOOKUP(AvatarMatResID[[#This Row],[AvatarPart]],AvatarPartID[],2,0)</f>
        <v>1</v>
      </c>
      <c r="H1146">
        <f>VLOOKUP(AvatarMatResID[[#This Row],[Sex]],SexID[],2,0)</f>
        <v>2</v>
      </c>
      <c r="I1146" t="str">
        <f>AvatarMatResID[[#This Row],[Material]]</f>
        <v>Male White Archer 01 Olive</v>
      </c>
    </row>
    <row r="1147" spans="1:9" x14ac:dyDescent="0.15">
      <c r="A1147" t="s">
        <v>454</v>
      </c>
      <c r="B1147" t="s">
        <v>1923</v>
      </c>
      <c r="C1147" t="s">
        <v>1482</v>
      </c>
      <c r="D1147">
        <v>477</v>
      </c>
      <c r="F1147">
        <f>OUTPUTAvatarMatResID[[#This Row],[AvatarPartID]]*10000+OUTPUTAvatarMatResID[[#This Row],[SexID]]*1000+AvatarMatResID[[#This Row],[CountIndex]]</f>
        <v>12477</v>
      </c>
      <c r="G1147">
        <f>VLOOKUP(AvatarMatResID[[#This Row],[AvatarPart]],AvatarPartID[],2,0)</f>
        <v>1</v>
      </c>
      <c r="H1147">
        <f>VLOOKUP(AvatarMatResID[[#This Row],[Sex]],SexID[],2,0)</f>
        <v>2</v>
      </c>
      <c r="I1147" t="str">
        <f>AvatarMatResID[[#This Row],[Material]]</f>
        <v>Male White Archer 01 Purple</v>
      </c>
    </row>
    <row r="1148" spans="1:9" x14ac:dyDescent="0.15">
      <c r="A1148" t="s">
        <v>454</v>
      </c>
      <c r="B1148" t="s">
        <v>1923</v>
      </c>
      <c r="C1148" t="s">
        <v>1483</v>
      </c>
      <c r="D1148">
        <v>478</v>
      </c>
      <c r="F1148">
        <f>OUTPUTAvatarMatResID[[#This Row],[AvatarPartID]]*10000+OUTPUTAvatarMatResID[[#This Row],[SexID]]*1000+AvatarMatResID[[#This Row],[CountIndex]]</f>
        <v>12478</v>
      </c>
      <c r="G1148">
        <f>VLOOKUP(AvatarMatResID[[#This Row],[AvatarPart]],AvatarPartID[],2,0)</f>
        <v>1</v>
      </c>
      <c r="H1148">
        <f>VLOOKUP(AvatarMatResID[[#This Row],[Sex]],SexID[],2,0)</f>
        <v>2</v>
      </c>
      <c r="I1148" t="str">
        <f>AvatarMatResID[[#This Row],[Material]]</f>
        <v>Male White Archer 01 White</v>
      </c>
    </row>
    <row r="1149" spans="1:9" x14ac:dyDescent="0.15">
      <c r="A1149" t="s">
        <v>454</v>
      </c>
      <c r="B1149" t="s">
        <v>1923</v>
      </c>
      <c r="C1149" t="s">
        <v>1484</v>
      </c>
      <c r="D1149">
        <v>479</v>
      </c>
      <c r="F1149">
        <f>OUTPUTAvatarMatResID[[#This Row],[AvatarPartID]]*10000+OUTPUTAvatarMatResID[[#This Row],[SexID]]*1000+AvatarMatResID[[#This Row],[CountIndex]]</f>
        <v>12479</v>
      </c>
      <c r="G1149">
        <f>VLOOKUP(AvatarMatResID[[#This Row],[AvatarPart]],AvatarPartID[],2,0)</f>
        <v>1</v>
      </c>
      <c r="H1149">
        <f>VLOOKUP(AvatarMatResID[[#This Row],[Sex]],SexID[],2,0)</f>
        <v>2</v>
      </c>
      <c r="I1149" t="str">
        <f>AvatarMatResID[[#This Row],[Material]]</f>
        <v>Male White Archer 02 Blue</v>
      </c>
    </row>
    <row r="1150" spans="1:9" x14ac:dyDescent="0.15">
      <c r="A1150" t="s">
        <v>454</v>
      </c>
      <c r="B1150" t="s">
        <v>1923</v>
      </c>
      <c r="C1150" t="s">
        <v>1485</v>
      </c>
      <c r="D1150">
        <v>480</v>
      </c>
      <c r="F1150">
        <f>OUTPUTAvatarMatResID[[#This Row],[AvatarPartID]]*10000+OUTPUTAvatarMatResID[[#This Row],[SexID]]*1000+AvatarMatResID[[#This Row],[CountIndex]]</f>
        <v>12480</v>
      </c>
      <c r="G1150">
        <f>VLOOKUP(AvatarMatResID[[#This Row],[AvatarPart]],AvatarPartID[],2,0)</f>
        <v>1</v>
      </c>
      <c r="H1150">
        <f>VLOOKUP(AvatarMatResID[[#This Row],[Sex]],SexID[],2,0)</f>
        <v>2</v>
      </c>
      <c r="I1150" t="str">
        <f>AvatarMatResID[[#This Row],[Material]]</f>
        <v>Male White Archer 02 Green</v>
      </c>
    </row>
    <row r="1151" spans="1:9" x14ac:dyDescent="0.15">
      <c r="A1151" t="s">
        <v>454</v>
      </c>
      <c r="B1151" t="s">
        <v>1923</v>
      </c>
      <c r="C1151" t="s">
        <v>1486</v>
      </c>
      <c r="D1151">
        <v>481</v>
      </c>
      <c r="F1151">
        <f>OUTPUTAvatarMatResID[[#This Row],[AvatarPartID]]*10000+OUTPUTAvatarMatResID[[#This Row],[SexID]]*1000+AvatarMatResID[[#This Row],[CountIndex]]</f>
        <v>12481</v>
      </c>
      <c r="G1151">
        <f>VLOOKUP(AvatarMatResID[[#This Row],[AvatarPart]],AvatarPartID[],2,0)</f>
        <v>1</v>
      </c>
      <c r="H1151">
        <f>VLOOKUP(AvatarMatResID[[#This Row],[Sex]],SexID[],2,0)</f>
        <v>2</v>
      </c>
      <c r="I1151" t="str">
        <f>AvatarMatResID[[#This Row],[Material]]</f>
        <v>Male White Archer 02 Olive</v>
      </c>
    </row>
    <row r="1152" spans="1:9" x14ac:dyDescent="0.15">
      <c r="A1152" t="s">
        <v>454</v>
      </c>
      <c r="B1152" t="s">
        <v>1923</v>
      </c>
      <c r="C1152" t="s">
        <v>1487</v>
      </c>
      <c r="D1152">
        <v>482</v>
      </c>
      <c r="F1152">
        <f>OUTPUTAvatarMatResID[[#This Row],[AvatarPartID]]*10000+OUTPUTAvatarMatResID[[#This Row],[SexID]]*1000+AvatarMatResID[[#This Row],[CountIndex]]</f>
        <v>12482</v>
      </c>
      <c r="G1152">
        <f>VLOOKUP(AvatarMatResID[[#This Row],[AvatarPart]],AvatarPartID[],2,0)</f>
        <v>1</v>
      </c>
      <c r="H1152">
        <f>VLOOKUP(AvatarMatResID[[#This Row],[Sex]],SexID[],2,0)</f>
        <v>2</v>
      </c>
      <c r="I1152" t="str">
        <f>AvatarMatResID[[#This Row],[Material]]</f>
        <v>Male White Archer 02 Purple</v>
      </c>
    </row>
    <row r="1153" spans="1:9" x14ac:dyDescent="0.15">
      <c r="A1153" t="s">
        <v>454</v>
      </c>
      <c r="B1153" t="s">
        <v>1923</v>
      </c>
      <c r="C1153" t="s">
        <v>1488</v>
      </c>
      <c r="D1153">
        <v>483</v>
      </c>
      <c r="F1153">
        <f>OUTPUTAvatarMatResID[[#This Row],[AvatarPartID]]*10000+OUTPUTAvatarMatResID[[#This Row],[SexID]]*1000+AvatarMatResID[[#This Row],[CountIndex]]</f>
        <v>12483</v>
      </c>
      <c r="G1153">
        <f>VLOOKUP(AvatarMatResID[[#This Row],[AvatarPart]],AvatarPartID[],2,0)</f>
        <v>1</v>
      </c>
      <c r="H1153">
        <f>VLOOKUP(AvatarMatResID[[#This Row],[Sex]],SexID[],2,0)</f>
        <v>2</v>
      </c>
      <c r="I1153" t="str">
        <f>AvatarMatResID[[#This Row],[Material]]</f>
        <v>Male White Archer 02 Red</v>
      </c>
    </row>
    <row r="1154" spans="1:9" x14ac:dyDescent="0.15">
      <c r="A1154" t="s">
        <v>454</v>
      </c>
      <c r="B1154" t="s">
        <v>1923</v>
      </c>
      <c r="C1154" t="s">
        <v>1489</v>
      </c>
      <c r="D1154">
        <v>484</v>
      </c>
      <c r="F1154">
        <f>OUTPUTAvatarMatResID[[#This Row],[AvatarPartID]]*10000+OUTPUTAvatarMatResID[[#This Row],[SexID]]*1000+AvatarMatResID[[#This Row],[CountIndex]]</f>
        <v>12484</v>
      </c>
      <c r="G1154">
        <f>VLOOKUP(AvatarMatResID[[#This Row],[AvatarPart]],AvatarPartID[],2,0)</f>
        <v>1</v>
      </c>
      <c r="H1154">
        <f>VLOOKUP(AvatarMatResID[[#This Row],[Sex]],SexID[],2,0)</f>
        <v>2</v>
      </c>
      <c r="I1154" t="str">
        <f>AvatarMatResID[[#This Row],[Material]]</f>
        <v>Male White Archer 02 White</v>
      </c>
    </row>
    <row r="1155" spans="1:9" x14ac:dyDescent="0.15">
      <c r="A1155" t="s">
        <v>454</v>
      </c>
      <c r="B1155" t="s">
        <v>1923</v>
      </c>
      <c r="C1155" t="s">
        <v>1490</v>
      </c>
      <c r="D1155">
        <v>485</v>
      </c>
      <c r="F1155">
        <f>OUTPUTAvatarMatResID[[#This Row],[AvatarPartID]]*10000+OUTPUTAvatarMatResID[[#This Row],[SexID]]*1000+AvatarMatResID[[#This Row],[CountIndex]]</f>
        <v>12485</v>
      </c>
      <c r="G1155">
        <f>VLOOKUP(AvatarMatResID[[#This Row],[AvatarPart]],AvatarPartID[],2,0)</f>
        <v>1</v>
      </c>
      <c r="H1155">
        <f>VLOOKUP(AvatarMatResID[[#This Row],[Sex]],SexID[],2,0)</f>
        <v>2</v>
      </c>
      <c r="I1155" t="str">
        <f>AvatarMatResID[[#This Row],[Material]]</f>
        <v>Male White Archer 03 Black</v>
      </c>
    </row>
    <row r="1156" spans="1:9" x14ac:dyDescent="0.15">
      <c r="A1156" t="s">
        <v>454</v>
      </c>
      <c r="B1156" t="s">
        <v>1923</v>
      </c>
      <c r="C1156" t="s">
        <v>1491</v>
      </c>
      <c r="D1156">
        <v>486</v>
      </c>
      <c r="F1156">
        <f>OUTPUTAvatarMatResID[[#This Row],[AvatarPartID]]*10000+OUTPUTAvatarMatResID[[#This Row],[SexID]]*1000+AvatarMatResID[[#This Row],[CountIndex]]</f>
        <v>12486</v>
      </c>
      <c r="G1156">
        <f>VLOOKUP(AvatarMatResID[[#This Row],[AvatarPart]],AvatarPartID[],2,0)</f>
        <v>1</v>
      </c>
      <c r="H1156">
        <f>VLOOKUP(AvatarMatResID[[#This Row],[Sex]],SexID[],2,0)</f>
        <v>2</v>
      </c>
      <c r="I1156" t="str">
        <f>AvatarMatResID[[#This Row],[Material]]</f>
        <v>Male White Archer 03 Blue</v>
      </c>
    </row>
    <row r="1157" spans="1:9" x14ac:dyDescent="0.15">
      <c r="A1157" t="s">
        <v>454</v>
      </c>
      <c r="B1157" t="s">
        <v>1923</v>
      </c>
      <c r="C1157" t="s">
        <v>1492</v>
      </c>
      <c r="D1157">
        <v>487</v>
      </c>
      <c r="F1157">
        <f>OUTPUTAvatarMatResID[[#This Row],[AvatarPartID]]*10000+OUTPUTAvatarMatResID[[#This Row],[SexID]]*1000+AvatarMatResID[[#This Row],[CountIndex]]</f>
        <v>12487</v>
      </c>
      <c r="G1157">
        <f>VLOOKUP(AvatarMatResID[[#This Row],[AvatarPart]],AvatarPartID[],2,0)</f>
        <v>1</v>
      </c>
      <c r="H1157">
        <f>VLOOKUP(AvatarMatResID[[#This Row],[Sex]],SexID[],2,0)</f>
        <v>2</v>
      </c>
      <c r="I1157" t="str">
        <f>AvatarMatResID[[#This Row],[Material]]</f>
        <v>Male White Archer 03 Green</v>
      </c>
    </row>
    <row r="1158" spans="1:9" x14ac:dyDescent="0.15">
      <c r="A1158" t="s">
        <v>454</v>
      </c>
      <c r="B1158" t="s">
        <v>1923</v>
      </c>
      <c r="C1158" t="s">
        <v>1493</v>
      </c>
      <c r="D1158">
        <v>488</v>
      </c>
      <c r="F1158">
        <f>OUTPUTAvatarMatResID[[#This Row],[AvatarPartID]]*10000+OUTPUTAvatarMatResID[[#This Row],[SexID]]*1000+AvatarMatResID[[#This Row],[CountIndex]]</f>
        <v>12488</v>
      </c>
      <c r="G1158">
        <f>VLOOKUP(AvatarMatResID[[#This Row],[AvatarPart]],AvatarPartID[],2,0)</f>
        <v>1</v>
      </c>
      <c r="H1158">
        <f>VLOOKUP(AvatarMatResID[[#This Row],[Sex]],SexID[],2,0)</f>
        <v>2</v>
      </c>
      <c r="I1158" t="str">
        <f>AvatarMatResID[[#This Row],[Material]]</f>
        <v>Male White Archer 03 Magenta</v>
      </c>
    </row>
    <row r="1159" spans="1:9" x14ac:dyDescent="0.15">
      <c r="A1159" t="s">
        <v>454</v>
      </c>
      <c r="B1159" t="s">
        <v>1923</v>
      </c>
      <c r="C1159" t="s">
        <v>1494</v>
      </c>
      <c r="D1159">
        <v>489</v>
      </c>
      <c r="F1159">
        <f>OUTPUTAvatarMatResID[[#This Row],[AvatarPartID]]*10000+OUTPUTAvatarMatResID[[#This Row],[SexID]]*1000+AvatarMatResID[[#This Row],[CountIndex]]</f>
        <v>12489</v>
      </c>
      <c r="G1159">
        <f>VLOOKUP(AvatarMatResID[[#This Row],[AvatarPart]],AvatarPartID[],2,0)</f>
        <v>1</v>
      </c>
      <c r="H1159">
        <f>VLOOKUP(AvatarMatResID[[#This Row],[Sex]],SexID[],2,0)</f>
        <v>2</v>
      </c>
      <c r="I1159" t="str">
        <f>AvatarMatResID[[#This Row],[Material]]</f>
        <v>Male White Archer 03 Purple</v>
      </c>
    </row>
    <row r="1160" spans="1:9" x14ac:dyDescent="0.15">
      <c r="A1160" t="s">
        <v>454</v>
      </c>
      <c r="B1160" t="s">
        <v>1923</v>
      </c>
      <c r="C1160" t="s">
        <v>1495</v>
      </c>
      <c r="D1160">
        <v>490</v>
      </c>
      <c r="F1160">
        <f>OUTPUTAvatarMatResID[[#This Row],[AvatarPartID]]*10000+OUTPUTAvatarMatResID[[#This Row],[SexID]]*1000+AvatarMatResID[[#This Row],[CountIndex]]</f>
        <v>12490</v>
      </c>
      <c r="G1160">
        <f>VLOOKUP(AvatarMatResID[[#This Row],[AvatarPart]],AvatarPartID[],2,0)</f>
        <v>1</v>
      </c>
      <c r="H1160">
        <f>VLOOKUP(AvatarMatResID[[#This Row],[Sex]],SexID[],2,0)</f>
        <v>2</v>
      </c>
      <c r="I1160" t="str">
        <f>AvatarMatResID[[#This Row],[Material]]</f>
        <v>Male White Archer 03 Red</v>
      </c>
    </row>
    <row r="1161" spans="1:9" x14ac:dyDescent="0.15">
      <c r="A1161" t="s">
        <v>454</v>
      </c>
      <c r="B1161" t="s">
        <v>1923</v>
      </c>
      <c r="C1161" t="s">
        <v>1496</v>
      </c>
      <c r="D1161">
        <v>491</v>
      </c>
      <c r="F1161">
        <f>OUTPUTAvatarMatResID[[#This Row],[AvatarPartID]]*10000+OUTPUTAvatarMatResID[[#This Row],[SexID]]*1000+AvatarMatResID[[#This Row],[CountIndex]]</f>
        <v>12491</v>
      </c>
      <c r="G1161">
        <f>VLOOKUP(AvatarMatResID[[#This Row],[AvatarPart]],AvatarPartID[],2,0)</f>
        <v>1</v>
      </c>
      <c r="H1161">
        <f>VLOOKUP(AvatarMatResID[[#This Row],[Sex]],SexID[],2,0)</f>
        <v>2</v>
      </c>
      <c r="I1161" t="str">
        <f>AvatarMatResID[[#This Row],[Material]]</f>
        <v>Male White Archer 03 White</v>
      </c>
    </row>
    <row r="1162" spans="1:9" x14ac:dyDescent="0.15">
      <c r="A1162" t="s">
        <v>454</v>
      </c>
      <c r="B1162" t="s">
        <v>1923</v>
      </c>
      <c r="C1162" t="s">
        <v>1497</v>
      </c>
      <c r="D1162">
        <v>492</v>
      </c>
      <c r="F1162">
        <f>OUTPUTAvatarMatResID[[#This Row],[AvatarPartID]]*10000+OUTPUTAvatarMatResID[[#This Row],[SexID]]*1000+AvatarMatResID[[#This Row],[CountIndex]]</f>
        <v>12492</v>
      </c>
      <c r="G1162">
        <f>VLOOKUP(AvatarMatResID[[#This Row],[AvatarPart]],AvatarPartID[],2,0)</f>
        <v>1</v>
      </c>
      <c r="H1162">
        <f>VLOOKUP(AvatarMatResID[[#This Row],[Sex]],SexID[],2,0)</f>
        <v>2</v>
      </c>
      <c r="I1162" t="str">
        <f>AvatarMatResID[[#This Row],[Material]]</f>
        <v>Male White Archer 03 Yellow</v>
      </c>
    </row>
    <row r="1163" spans="1:9" x14ac:dyDescent="0.15">
      <c r="A1163" t="s">
        <v>454</v>
      </c>
      <c r="B1163" t="s">
        <v>1923</v>
      </c>
      <c r="C1163" t="s">
        <v>1498</v>
      </c>
      <c r="D1163">
        <v>493</v>
      </c>
      <c r="F1163">
        <f>OUTPUTAvatarMatResID[[#This Row],[AvatarPartID]]*10000+OUTPUTAvatarMatResID[[#This Row],[SexID]]*1000+AvatarMatResID[[#This Row],[CountIndex]]</f>
        <v>12493</v>
      </c>
      <c r="G1163">
        <f>VLOOKUP(AvatarMatResID[[#This Row],[AvatarPart]],AvatarPartID[],2,0)</f>
        <v>1</v>
      </c>
      <c r="H1163">
        <f>VLOOKUP(AvatarMatResID[[#This Row],[Sex]],SexID[],2,0)</f>
        <v>2</v>
      </c>
      <c r="I1163" t="str">
        <f>AvatarMatResID[[#This Row],[Material]]</f>
        <v>Male White Archer 04 Black</v>
      </c>
    </row>
    <row r="1164" spans="1:9" x14ac:dyDescent="0.15">
      <c r="A1164" t="s">
        <v>454</v>
      </c>
      <c r="B1164" t="s">
        <v>1923</v>
      </c>
      <c r="C1164" t="s">
        <v>1499</v>
      </c>
      <c r="D1164">
        <v>494</v>
      </c>
      <c r="F1164">
        <f>OUTPUTAvatarMatResID[[#This Row],[AvatarPartID]]*10000+OUTPUTAvatarMatResID[[#This Row],[SexID]]*1000+AvatarMatResID[[#This Row],[CountIndex]]</f>
        <v>12494</v>
      </c>
      <c r="G1164">
        <f>VLOOKUP(AvatarMatResID[[#This Row],[AvatarPart]],AvatarPartID[],2,0)</f>
        <v>1</v>
      </c>
      <c r="H1164">
        <f>VLOOKUP(AvatarMatResID[[#This Row],[Sex]],SexID[],2,0)</f>
        <v>2</v>
      </c>
      <c r="I1164" t="str">
        <f>AvatarMatResID[[#This Row],[Material]]</f>
        <v>Male White Archer 04 Blue</v>
      </c>
    </row>
    <row r="1165" spans="1:9" x14ac:dyDescent="0.15">
      <c r="A1165" t="s">
        <v>454</v>
      </c>
      <c r="B1165" t="s">
        <v>1923</v>
      </c>
      <c r="C1165" t="s">
        <v>1500</v>
      </c>
      <c r="D1165">
        <v>495</v>
      </c>
      <c r="F1165">
        <f>OUTPUTAvatarMatResID[[#This Row],[AvatarPartID]]*10000+OUTPUTAvatarMatResID[[#This Row],[SexID]]*1000+AvatarMatResID[[#This Row],[CountIndex]]</f>
        <v>12495</v>
      </c>
      <c r="G1165">
        <f>VLOOKUP(AvatarMatResID[[#This Row],[AvatarPart]],AvatarPartID[],2,0)</f>
        <v>1</v>
      </c>
      <c r="H1165">
        <f>VLOOKUP(AvatarMatResID[[#This Row],[Sex]],SexID[],2,0)</f>
        <v>2</v>
      </c>
      <c r="I1165" t="str">
        <f>AvatarMatResID[[#This Row],[Material]]</f>
        <v>Male White Archer 04 Green</v>
      </c>
    </row>
    <row r="1166" spans="1:9" x14ac:dyDescent="0.15">
      <c r="A1166" t="s">
        <v>454</v>
      </c>
      <c r="B1166" t="s">
        <v>1923</v>
      </c>
      <c r="C1166" t="s">
        <v>1501</v>
      </c>
      <c r="D1166">
        <v>496</v>
      </c>
      <c r="F1166">
        <f>OUTPUTAvatarMatResID[[#This Row],[AvatarPartID]]*10000+OUTPUTAvatarMatResID[[#This Row],[SexID]]*1000+AvatarMatResID[[#This Row],[CountIndex]]</f>
        <v>12496</v>
      </c>
      <c r="G1166">
        <f>VLOOKUP(AvatarMatResID[[#This Row],[AvatarPart]],AvatarPartID[],2,0)</f>
        <v>1</v>
      </c>
      <c r="H1166">
        <f>VLOOKUP(AvatarMatResID[[#This Row],[Sex]],SexID[],2,0)</f>
        <v>2</v>
      </c>
      <c r="I1166" t="str">
        <f>AvatarMatResID[[#This Row],[Material]]</f>
        <v>Male White Archer 04 Magenta</v>
      </c>
    </row>
    <row r="1167" spans="1:9" x14ac:dyDescent="0.15">
      <c r="A1167" t="s">
        <v>454</v>
      </c>
      <c r="B1167" t="s">
        <v>1923</v>
      </c>
      <c r="C1167" t="s">
        <v>1502</v>
      </c>
      <c r="D1167">
        <v>497</v>
      </c>
      <c r="F1167">
        <f>OUTPUTAvatarMatResID[[#This Row],[AvatarPartID]]*10000+OUTPUTAvatarMatResID[[#This Row],[SexID]]*1000+AvatarMatResID[[#This Row],[CountIndex]]</f>
        <v>12497</v>
      </c>
      <c r="G1167">
        <f>VLOOKUP(AvatarMatResID[[#This Row],[AvatarPart]],AvatarPartID[],2,0)</f>
        <v>1</v>
      </c>
      <c r="H1167">
        <f>VLOOKUP(AvatarMatResID[[#This Row],[Sex]],SexID[],2,0)</f>
        <v>2</v>
      </c>
      <c r="I1167" t="str">
        <f>AvatarMatResID[[#This Row],[Material]]</f>
        <v>Male White Archer 04 Purple</v>
      </c>
    </row>
    <row r="1168" spans="1:9" x14ac:dyDescent="0.15">
      <c r="A1168" t="s">
        <v>454</v>
      </c>
      <c r="B1168" t="s">
        <v>1923</v>
      </c>
      <c r="C1168" t="s">
        <v>1503</v>
      </c>
      <c r="D1168">
        <v>498</v>
      </c>
      <c r="F1168">
        <f>OUTPUTAvatarMatResID[[#This Row],[AvatarPartID]]*10000+OUTPUTAvatarMatResID[[#This Row],[SexID]]*1000+AvatarMatResID[[#This Row],[CountIndex]]</f>
        <v>12498</v>
      </c>
      <c r="G1168">
        <f>VLOOKUP(AvatarMatResID[[#This Row],[AvatarPart]],AvatarPartID[],2,0)</f>
        <v>1</v>
      </c>
      <c r="H1168">
        <f>VLOOKUP(AvatarMatResID[[#This Row],[Sex]],SexID[],2,0)</f>
        <v>2</v>
      </c>
      <c r="I1168" t="str">
        <f>AvatarMatResID[[#This Row],[Material]]</f>
        <v>Male White Archer 04 Red</v>
      </c>
    </row>
    <row r="1169" spans="1:9" x14ac:dyDescent="0.15">
      <c r="A1169" t="s">
        <v>454</v>
      </c>
      <c r="B1169" t="s">
        <v>1923</v>
      </c>
      <c r="C1169" t="s">
        <v>1504</v>
      </c>
      <c r="D1169">
        <v>499</v>
      </c>
      <c r="F1169">
        <f>OUTPUTAvatarMatResID[[#This Row],[AvatarPartID]]*10000+OUTPUTAvatarMatResID[[#This Row],[SexID]]*1000+AvatarMatResID[[#This Row],[CountIndex]]</f>
        <v>12499</v>
      </c>
      <c r="G1169">
        <f>VLOOKUP(AvatarMatResID[[#This Row],[AvatarPart]],AvatarPartID[],2,0)</f>
        <v>1</v>
      </c>
      <c r="H1169">
        <f>VLOOKUP(AvatarMatResID[[#This Row],[Sex]],SexID[],2,0)</f>
        <v>2</v>
      </c>
      <c r="I1169" t="str">
        <f>AvatarMatResID[[#This Row],[Material]]</f>
        <v>Male White Archer 04 White</v>
      </c>
    </row>
    <row r="1170" spans="1:9" x14ac:dyDescent="0.15">
      <c r="A1170" t="s">
        <v>454</v>
      </c>
      <c r="B1170" t="s">
        <v>1923</v>
      </c>
      <c r="C1170" t="s">
        <v>1505</v>
      </c>
      <c r="D1170">
        <v>500</v>
      </c>
      <c r="F1170">
        <f>OUTPUTAvatarMatResID[[#This Row],[AvatarPartID]]*10000+OUTPUTAvatarMatResID[[#This Row],[SexID]]*1000+AvatarMatResID[[#This Row],[CountIndex]]</f>
        <v>12500</v>
      </c>
      <c r="G1170">
        <f>VLOOKUP(AvatarMatResID[[#This Row],[AvatarPart]],AvatarPartID[],2,0)</f>
        <v>1</v>
      </c>
      <c r="H1170">
        <f>VLOOKUP(AvatarMatResID[[#This Row],[Sex]],SexID[],2,0)</f>
        <v>2</v>
      </c>
      <c r="I1170" t="str">
        <f>AvatarMatResID[[#This Row],[Material]]</f>
        <v>Male White Archer 04 Yellow</v>
      </c>
    </row>
    <row r="1171" spans="1:9" x14ac:dyDescent="0.15">
      <c r="A1171" t="s">
        <v>454</v>
      </c>
      <c r="B1171" t="s">
        <v>1923</v>
      </c>
      <c r="C1171" t="s">
        <v>1506</v>
      </c>
      <c r="D1171">
        <v>501</v>
      </c>
      <c r="F1171">
        <f>OUTPUTAvatarMatResID[[#This Row],[AvatarPartID]]*10000+OUTPUTAvatarMatResID[[#This Row],[SexID]]*1000+AvatarMatResID[[#This Row],[CountIndex]]</f>
        <v>12501</v>
      </c>
      <c r="G1171">
        <f>VLOOKUP(AvatarMatResID[[#This Row],[AvatarPart]],AvatarPartID[],2,0)</f>
        <v>1</v>
      </c>
      <c r="H1171">
        <f>VLOOKUP(AvatarMatResID[[#This Row],[Sex]],SexID[],2,0)</f>
        <v>2</v>
      </c>
      <c r="I1171" t="str">
        <f>AvatarMatResID[[#This Row],[Material]]</f>
        <v>Male White Archer 05 Black</v>
      </c>
    </row>
    <row r="1172" spans="1:9" x14ac:dyDescent="0.15">
      <c r="A1172" t="s">
        <v>454</v>
      </c>
      <c r="B1172" t="s">
        <v>1923</v>
      </c>
      <c r="C1172" t="s">
        <v>1507</v>
      </c>
      <c r="D1172">
        <v>502</v>
      </c>
      <c r="F1172">
        <f>OUTPUTAvatarMatResID[[#This Row],[AvatarPartID]]*10000+OUTPUTAvatarMatResID[[#This Row],[SexID]]*1000+AvatarMatResID[[#This Row],[CountIndex]]</f>
        <v>12502</v>
      </c>
      <c r="G1172">
        <f>VLOOKUP(AvatarMatResID[[#This Row],[AvatarPart]],AvatarPartID[],2,0)</f>
        <v>1</v>
      </c>
      <c r="H1172">
        <f>VLOOKUP(AvatarMatResID[[#This Row],[Sex]],SexID[],2,0)</f>
        <v>2</v>
      </c>
      <c r="I1172" t="str">
        <f>AvatarMatResID[[#This Row],[Material]]</f>
        <v>Male White Archer 05 Blue</v>
      </c>
    </row>
    <row r="1173" spans="1:9" x14ac:dyDescent="0.15">
      <c r="A1173" t="s">
        <v>454</v>
      </c>
      <c r="B1173" t="s">
        <v>1923</v>
      </c>
      <c r="C1173" t="s">
        <v>1508</v>
      </c>
      <c r="D1173">
        <v>503</v>
      </c>
      <c r="F1173">
        <f>OUTPUTAvatarMatResID[[#This Row],[AvatarPartID]]*10000+OUTPUTAvatarMatResID[[#This Row],[SexID]]*1000+AvatarMatResID[[#This Row],[CountIndex]]</f>
        <v>12503</v>
      </c>
      <c r="G1173">
        <f>VLOOKUP(AvatarMatResID[[#This Row],[AvatarPart]],AvatarPartID[],2,0)</f>
        <v>1</v>
      </c>
      <c r="H1173">
        <f>VLOOKUP(AvatarMatResID[[#This Row],[Sex]],SexID[],2,0)</f>
        <v>2</v>
      </c>
      <c r="I1173" t="str">
        <f>AvatarMatResID[[#This Row],[Material]]</f>
        <v>Male White Archer 05 Green</v>
      </c>
    </row>
    <row r="1174" spans="1:9" x14ac:dyDescent="0.15">
      <c r="A1174" t="s">
        <v>454</v>
      </c>
      <c r="B1174" t="s">
        <v>1923</v>
      </c>
      <c r="C1174" t="s">
        <v>1509</v>
      </c>
      <c r="D1174">
        <v>504</v>
      </c>
      <c r="F1174">
        <f>OUTPUTAvatarMatResID[[#This Row],[AvatarPartID]]*10000+OUTPUTAvatarMatResID[[#This Row],[SexID]]*1000+AvatarMatResID[[#This Row],[CountIndex]]</f>
        <v>12504</v>
      </c>
      <c r="G1174">
        <f>VLOOKUP(AvatarMatResID[[#This Row],[AvatarPart]],AvatarPartID[],2,0)</f>
        <v>1</v>
      </c>
      <c r="H1174">
        <f>VLOOKUP(AvatarMatResID[[#This Row],[Sex]],SexID[],2,0)</f>
        <v>2</v>
      </c>
      <c r="I1174" t="str">
        <f>AvatarMatResID[[#This Row],[Material]]</f>
        <v>Male White Archer 05 Magenta</v>
      </c>
    </row>
    <row r="1175" spans="1:9" x14ac:dyDescent="0.15">
      <c r="A1175" t="s">
        <v>454</v>
      </c>
      <c r="B1175" t="s">
        <v>1923</v>
      </c>
      <c r="C1175" t="s">
        <v>1510</v>
      </c>
      <c r="D1175">
        <v>505</v>
      </c>
      <c r="F1175">
        <f>OUTPUTAvatarMatResID[[#This Row],[AvatarPartID]]*10000+OUTPUTAvatarMatResID[[#This Row],[SexID]]*1000+AvatarMatResID[[#This Row],[CountIndex]]</f>
        <v>12505</v>
      </c>
      <c r="G1175">
        <f>VLOOKUP(AvatarMatResID[[#This Row],[AvatarPart]],AvatarPartID[],2,0)</f>
        <v>1</v>
      </c>
      <c r="H1175">
        <f>VLOOKUP(AvatarMatResID[[#This Row],[Sex]],SexID[],2,0)</f>
        <v>2</v>
      </c>
      <c r="I1175" t="str">
        <f>AvatarMatResID[[#This Row],[Material]]</f>
        <v>Male White Archer 05 Purple</v>
      </c>
    </row>
    <row r="1176" spans="1:9" x14ac:dyDescent="0.15">
      <c r="A1176" t="s">
        <v>454</v>
      </c>
      <c r="B1176" t="s">
        <v>1923</v>
      </c>
      <c r="C1176" t="s">
        <v>1511</v>
      </c>
      <c r="D1176">
        <v>506</v>
      </c>
      <c r="F1176">
        <f>OUTPUTAvatarMatResID[[#This Row],[AvatarPartID]]*10000+OUTPUTAvatarMatResID[[#This Row],[SexID]]*1000+AvatarMatResID[[#This Row],[CountIndex]]</f>
        <v>12506</v>
      </c>
      <c r="G1176">
        <f>VLOOKUP(AvatarMatResID[[#This Row],[AvatarPart]],AvatarPartID[],2,0)</f>
        <v>1</v>
      </c>
      <c r="H1176">
        <f>VLOOKUP(AvatarMatResID[[#This Row],[Sex]],SexID[],2,0)</f>
        <v>2</v>
      </c>
      <c r="I1176" t="str">
        <f>AvatarMatResID[[#This Row],[Material]]</f>
        <v>Male White Archer 05 Red</v>
      </c>
    </row>
    <row r="1177" spans="1:9" x14ac:dyDescent="0.15">
      <c r="A1177" t="s">
        <v>454</v>
      </c>
      <c r="B1177" t="s">
        <v>1923</v>
      </c>
      <c r="C1177" t="s">
        <v>1512</v>
      </c>
      <c r="D1177">
        <v>507</v>
      </c>
      <c r="F1177">
        <f>OUTPUTAvatarMatResID[[#This Row],[AvatarPartID]]*10000+OUTPUTAvatarMatResID[[#This Row],[SexID]]*1000+AvatarMatResID[[#This Row],[CountIndex]]</f>
        <v>12507</v>
      </c>
      <c r="G1177">
        <f>VLOOKUP(AvatarMatResID[[#This Row],[AvatarPart]],AvatarPartID[],2,0)</f>
        <v>1</v>
      </c>
      <c r="H1177">
        <f>VLOOKUP(AvatarMatResID[[#This Row],[Sex]],SexID[],2,0)</f>
        <v>2</v>
      </c>
      <c r="I1177" t="str">
        <f>AvatarMatResID[[#This Row],[Material]]</f>
        <v>Male White Archer 05 White</v>
      </c>
    </row>
    <row r="1178" spans="1:9" x14ac:dyDescent="0.15">
      <c r="A1178" t="s">
        <v>454</v>
      </c>
      <c r="B1178" t="s">
        <v>1923</v>
      </c>
      <c r="C1178" t="s">
        <v>1513</v>
      </c>
      <c r="D1178">
        <v>508</v>
      </c>
      <c r="F1178">
        <f>OUTPUTAvatarMatResID[[#This Row],[AvatarPartID]]*10000+OUTPUTAvatarMatResID[[#This Row],[SexID]]*1000+AvatarMatResID[[#This Row],[CountIndex]]</f>
        <v>12508</v>
      </c>
      <c r="G1178">
        <f>VLOOKUP(AvatarMatResID[[#This Row],[AvatarPart]],AvatarPartID[],2,0)</f>
        <v>1</v>
      </c>
      <c r="H1178">
        <f>VLOOKUP(AvatarMatResID[[#This Row],[Sex]],SexID[],2,0)</f>
        <v>2</v>
      </c>
      <c r="I1178" t="str">
        <f>AvatarMatResID[[#This Row],[Material]]</f>
        <v>Male White Archer 05 Yellow</v>
      </c>
    </row>
    <row r="1179" spans="1:9" x14ac:dyDescent="0.15">
      <c r="A1179" t="s">
        <v>454</v>
      </c>
      <c r="B1179" t="s">
        <v>1923</v>
      </c>
      <c r="C1179" t="s">
        <v>1514</v>
      </c>
      <c r="D1179">
        <v>509</v>
      </c>
      <c r="F1179">
        <f>OUTPUTAvatarMatResID[[#This Row],[AvatarPartID]]*10000+OUTPUTAvatarMatResID[[#This Row],[SexID]]*1000+AvatarMatResID[[#This Row],[CountIndex]]</f>
        <v>12509</v>
      </c>
      <c r="G1179">
        <f>VLOOKUP(AvatarMatResID[[#This Row],[AvatarPart]],AvatarPartID[],2,0)</f>
        <v>1</v>
      </c>
      <c r="H1179">
        <f>VLOOKUP(AvatarMatResID[[#This Row],[Sex]],SexID[],2,0)</f>
        <v>2</v>
      </c>
      <c r="I1179" t="str">
        <f>AvatarMatResID[[#This Row],[Material]]</f>
        <v>Male White Barbarian 01 Blue</v>
      </c>
    </row>
    <row r="1180" spans="1:9" x14ac:dyDescent="0.15">
      <c r="A1180" t="s">
        <v>454</v>
      </c>
      <c r="B1180" t="s">
        <v>1923</v>
      </c>
      <c r="C1180" t="s">
        <v>1515</v>
      </c>
      <c r="D1180">
        <v>510</v>
      </c>
      <c r="F1180">
        <f>OUTPUTAvatarMatResID[[#This Row],[AvatarPartID]]*10000+OUTPUTAvatarMatResID[[#This Row],[SexID]]*1000+AvatarMatResID[[#This Row],[CountIndex]]</f>
        <v>12510</v>
      </c>
      <c r="G1180">
        <f>VLOOKUP(AvatarMatResID[[#This Row],[AvatarPart]],AvatarPartID[],2,0)</f>
        <v>1</v>
      </c>
      <c r="H1180">
        <f>VLOOKUP(AvatarMatResID[[#This Row],[Sex]],SexID[],2,0)</f>
        <v>2</v>
      </c>
      <c r="I1180" t="str">
        <f>AvatarMatResID[[#This Row],[Material]]</f>
        <v>Male White Barbarian 01 Green</v>
      </c>
    </row>
    <row r="1181" spans="1:9" x14ac:dyDescent="0.15">
      <c r="A1181" t="s">
        <v>454</v>
      </c>
      <c r="B1181" t="s">
        <v>1923</v>
      </c>
      <c r="C1181" t="s">
        <v>1516</v>
      </c>
      <c r="D1181">
        <v>511</v>
      </c>
      <c r="F1181">
        <f>OUTPUTAvatarMatResID[[#This Row],[AvatarPartID]]*10000+OUTPUTAvatarMatResID[[#This Row],[SexID]]*1000+AvatarMatResID[[#This Row],[CountIndex]]</f>
        <v>12511</v>
      </c>
      <c r="G1181">
        <f>VLOOKUP(AvatarMatResID[[#This Row],[AvatarPart]],AvatarPartID[],2,0)</f>
        <v>1</v>
      </c>
      <c r="H1181">
        <f>VLOOKUP(AvatarMatResID[[#This Row],[Sex]],SexID[],2,0)</f>
        <v>2</v>
      </c>
      <c r="I1181" t="str">
        <f>AvatarMatResID[[#This Row],[Material]]</f>
        <v>Male White Barbarian 01 Purple</v>
      </c>
    </row>
    <row r="1182" spans="1:9" x14ac:dyDescent="0.15">
      <c r="A1182" t="s">
        <v>454</v>
      </c>
      <c r="B1182" t="s">
        <v>1923</v>
      </c>
      <c r="C1182" t="s">
        <v>1517</v>
      </c>
      <c r="D1182">
        <v>512</v>
      </c>
      <c r="F1182">
        <f>OUTPUTAvatarMatResID[[#This Row],[AvatarPartID]]*10000+OUTPUTAvatarMatResID[[#This Row],[SexID]]*1000+AvatarMatResID[[#This Row],[CountIndex]]</f>
        <v>12512</v>
      </c>
      <c r="G1182">
        <f>VLOOKUP(AvatarMatResID[[#This Row],[AvatarPart]],AvatarPartID[],2,0)</f>
        <v>1</v>
      </c>
      <c r="H1182">
        <f>VLOOKUP(AvatarMatResID[[#This Row],[Sex]],SexID[],2,0)</f>
        <v>2</v>
      </c>
      <c r="I1182" t="str">
        <f>AvatarMatResID[[#This Row],[Material]]</f>
        <v>Male White Barbarian 01 Red</v>
      </c>
    </row>
    <row r="1183" spans="1:9" x14ac:dyDescent="0.15">
      <c r="A1183" t="s">
        <v>454</v>
      </c>
      <c r="B1183" t="s">
        <v>1923</v>
      </c>
      <c r="C1183" t="s">
        <v>1518</v>
      </c>
      <c r="D1183">
        <v>513</v>
      </c>
      <c r="F1183">
        <f>OUTPUTAvatarMatResID[[#This Row],[AvatarPartID]]*10000+OUTPUTAvatarMatResID[[#This Row],[SexID]]*1000+AvatarMatResID[[#This Row],[CountIndex]]</f>
        <v>12513</v>
      </c>
      <c r="G1183">
        <f>VLOOKUP(AvatarMatResID[[#This Row],[AvatarPart]],AvatarPartID[],2,0)</f>
        <v>1</v>
      </c>
      <c r="H1183">
        <f>VLOOKUP(AvatarMatResID[[#This Row],[Sex]],SexID[],2,0)</f>
        <v>2</v>
      </c>
      <c r="I1183" t="str">
        <f>AvatarMatResID[[#This Row],[Material]]</f>
        <v>Male White Barbarian 02 Black</v>
      </c>
    </row>
    <row r="1184" spans="1:9" x14ac:dyDescent="0.15">
      <c r="A1184" t="s">
        <v>454</v>
      </c>
      <c r="B1184" t="s">
        <v>1923</v>
      </c>
      <c r="C1184" t="s">
        <v>1519</v>
      </c>
      <c r="D1184">
        <v>514</v>
      </c>
      <c r="F1184">
        <f>OUTPUTAvatarMatResID[[#This Row],[AvatarPartID]]*10000+OUTPUTAvatarMatResID[[#This Row],[SexID]]*1000+AvatarMatResID[[#This Row],[CountIndex]]</f>
        <v>12514</v>
      </c>
      <c r="G1184">
        <f>VLOOKUP(AvatarMatResID[[#This Row],[AvatarPart]],AvatarPartID[],2,0)</f>
        <v>1</v>
      </c>
      <c r="H1184">
        <f>VLOOKUP(AvatarMatResID[[#This Row],[Sex]],SexID[],2,0)</f>
        <v>2</v>
      </c>
      <c r="I1184" t="str">
        <f>AvatarMatResID[[#This Row],[Material]]</f>
        <v>Male White Barbarian 02 Blue</v>
      </c>
    </row>
    <row r="1185" spans="1:9" x14ac:dyDescent="0.15">
      <c r="A1185" t="s">
        <v>454</v>
      </c>
      <c r="B1185" t="s">
        <v>1923</v>
      </c>
      <c r="C1185" t="s">
        <v>1520</v>
      </c>
      <c r="D1185">
        <v>515</v>
      </c>
      <c r="F1185">
        <f>OUTPUTAvatarMatResID[[#This Row],[AvatarPartID]]*10000+OUTPUTAvatarMatResID[[#This Row],[SexID]]*1000+AvatarMatResID[[#This Row],[CountIndex]]</f>
        <v>12515</v>
      </c>
      <c r="G1185">
        <f>VLOOKUP(AvatarMatResID[[#This Row],[AvatarPart]],AvatarPartID[],2,0)</f>
        <v>1</v>
      </c>
      <c r="H1185">
        <f>VLOOKUP(AvatarMatResID[[#This Row],[Sex]],SexID[],2,0)</f>
        <v>2</v>
      </c>
      <c r="I1185" t="str">
        <f>AvatarMatResID[[#This Row],[Material]]</f>
        <v>Male White Barbarian 02 Brown</v>
      </c>
    </row>
    <row r="1186" spans="1:9" x14ac:dyDescent="0.15">
      <c r="A1186" t="s">
        <v>454</v>
      </c>
      <c r="B1186" t="s">
        <v>1923</v>
      </c>
      <c r="C1186" t="s">
        <v>1521</v>
      </c>
      <c r="D1186">
        <v>516</v>
      </c>
      <c r="F1186">
        <f>OUTPUTAvatarMatResID[[#This Row],[AvatarPartID]]*10000+OUTPUTAvatarMatResID[[#This Row],[SexID]]*1000+AvatarMatResID[[#This Row],[CountIndex]]</f>
        <v>12516</v>
      </c>
      <c r="G1186">
        <f>VLOOKUP(AvatarMatResID[[#This Row],[AvatarPart]],AvatarPartID[],2,0)</f>
        <v>1</v>
      </c>
      <c r="H1186">
        <f>VLOOKUP(AvatarMatResID[[#This Row],[Sex]],SexID[],2,0)</f>
        <v>2</v>
      </c>
      <c r="I1186" t="str">
        <f>AvatarMatResID[[#This Row],[Material]]</f>
        <v>Male White Barbarian 02 Green</v>
      </c>
    </row>
    <row r="1187" spans="1:9" x14ac:dyDescent="0.15">
      <c r="A1187" t="s">
        <v>454</v>
      </c>
      <c r="B1187" t="s">
        <v>1923</v>
      </c>
      <c r="C1187" t="s">
        <v>1522</v>
      </c>
      <c r="D1187">
        <v>517</v>
      </c>
      <c r="F1187">
        <f>OUTPUTAvatarMatResID[[#This Row],[AvatarPartID]]*10000+OUTPUTAvatarMatResID[[#This Row],[SexID]]*1000+AvatarMatResID[[#This Row],[CountIndex]]</f>
        <v>12517</v>
      </c>
      <c r="G1187">
        <f>VLOOKUP(AvatarMatResID[[#This Row],[AvatarPart]],AvatarPartID[],2,0)</f>
        <v>1</v>
      </c>
      <c r="H1187">
        <f>VLOOKUP(AvatarMatResID[[#This Row],[Sex]],SexID[],2,0)</f>
        <v>2</v>
      </c>
      <c r="I1187" t="str">
        <f>AvatarMatResID[[#This Row],[Material]]</f>
        <v>Male White Barbarian 02 Purple</v>
      </c>
    </row>
    <row r="1188" spans="1:9" x14ac:dyDescent="0.15">
      <c r="A1188" t="s">
        <v>454</v>
      </c>
      <c r="B1188" t="s">
        <v>1923</v>
      </c>
      <c r="C1188" t="s">
        <v>1523</v>
      </c>
      <c r="D1188">
        <v>518</v>
      </c>
      <c r="F1188">
        <f>OUTPUTAvatarMatResID[[#This Row],[AvatarPartID]]*10000+OUTPUTAvatarMatResID[[#This Row],[SexID]]*1000+AvatarMatResID[[#This Row],[CountIndex]]</f>
        <v>12518</v>
      </c>
      <c r="G1188">
        <f>VLOOKUP(AvatarMatResID[[#This Row],[AvatarPart]],AvatarPartID[],2,0)</f>
        <v>1</v>
      </c>
      <c r="H1188">
        <f>VLOOKUP(AvatarMatResID[[#This Row],[Sex]],SexID[],2,0)</f>
        <v>2</v>
      </c>
      <c r="I1188" t="str">
        <f>AvatarMatResID[[#This Row],[Material]]</f>
        <v>Male White Barbarian 02 White</v>
      </c>
    </row>
    <row r="1189" spans="1:9" x14ac:dyDescent="0.15">
      <c r="A1189" t="s">
        <v>454</v>
      </c>
      <c r="B1189" t="s">
        <v>1923</v>
      </c>
      <c r="C1189" t="s">
        <v>1524</v>
      </c>
      <c r="D1189">
        <v>519</v>
      </c>
      <c r="F1189">
        <f>OUTPUTAvatarMatResID[[#This Row],[AvatarPartID]]*10000+OUTPUTAvatarMatResID[[#This Row],[SexID]]*1000+AvatarMatResID[[#This Row],[CountIndex]]</f>
        <v>12519</v>
      </c>
      <c r="G1189">
        <f>VLOOKUP(AvatarMatResID[[#This Row],[AvatarPart]],AvatarPartID[],2,0)</f>
        <v>1</v>
      </c>
      <c r="H1189">
        <f>VLOOKUP(AvatarMatResID[[#This Row],[Sex]],SexID[],2,0)</f>
        <v>2</v>
      </c>
      <c r="I1189" t="str">
        <f>AvatarMatResID[[#This Row],[Material]]</f>
        <v>Male White Barbarian 03 Black</v>
      </c>
    </row>
    <row r="1190" spans="1:9" x14ac:dyDescent="0.15">
      <c r="A1190" t="s">
        <v>454</v>
      </c>
      <c r="B1190" t="s">
        <v>1923</v>
      </c>
      <c r="C1190" t="s">
        <v>1525</v>
      </c>
      <c r="D1190">
        <v>520</v>
      </c>
      <c r="F1190">
        <f>OUTPUTAvatarMatResID[[#This Row],[AvatarPartID]]*10000+OUTPUTAvatarMatResID[[#This Row],[SexID]]*1000+AvatarMatResID[[#This Row],[CountIndex]]</f>
        <v>12520</v>
      </c>
      <c r="G1190">
        <f>VLOOKUP(AvatarMatResID[[#This Row],[AvatarPart]],AvatarPartID[],2,0)</f>
        <v>1</v>
      </c>
      <c r="H1190">
        <f>VLOOKUP(AvatarMatResID[[#This Row],[Sex]],SexID[],2,0)</f>
        <v>2</v>
      </c>
      <c r="I1190" t="str">
        <f>AvatarMatResID[[#This Row],[Material]]</f>
        <v>Male White Barbarian 03 Blue</v>
      </c>
    </row>
    <row r="1191" spans="1:9" x14ac:dyDescent="0.15">
      <c r="A1191" t="s">
        <v>454</v>
      </c>
      <c r="B1191" t="s">
        <v>1923</v>
      </c>
      <c r="C1191" t="s">
        <v>1526</v>
      </c>
      <c r="D1191">
        <v>521</v>
      </c>
      <c r="F1191">
        <f>OUTPUTAvatarMatResID[[#This Row],[AvatarPartID]]*10000+OUTPUTAvatarMatResID[[#This Row],[SexID]]*1000+AvatarMatResID[[#This Row],[CountIndex]]</f>
        <v>12521</v>
      </c>
      <c r="G1191">
        <f>VLOOKUP(AvatarMatResID[[#This Row],[AvatarPart]],AvatarPartID[],2,0)</f>
        <v>1</v>
      </c>
      <c r="H1191">
        <f>VLOOKUP(AvatarMatResID[[#This Row],[Sex]],SexID[],2,0)</f>
        <v>2</v>
      </c>
      <c r="I1191" t="str">
        <f>AvatarMatResID[[#This Row],[Material]]</f>
        <v>Male White Barbarian 03 Brown</v>
      </c>
    </row>
    <row r="1192" spans="1:9" x14ac:dyDescent="0.15">
      <c r="A1192" t="s">
        <v>454</v>
      </c>
      <c r="B1192" t="s">
        <v>1923</v>
      </c>
      <c r="C1192" t="s">
        <v>1527</v>
      </c>
      <c r="D1192">
        <v>522</v>
      </c>
      <c r="F1192">
        <f>OUTPUTAvatarMatResID[[#This Row],[AvatarPartID]]*10000+OUTPUTAvatarMatResID[[#This Row],[SexID]]*1000+AvatarMatResID[[#This Row],[CountIndex]]</f>
        <v>12522</v>
      </c>
      <c r="G1192">
        <f>VLOOKUP(AvatarMatResID[[#This Row],[AvatarPart]],AvatarPartID[],2,0)</f>
        <v>1</v>
      </c>
      <c r="H1192">
        <f>VLOOKUP(AvatarMatResID[[#This Row],[Sex]],SexID[],2,0)</f>
        <v>2</v>
      </c>
      <c r="I1192" t="str">
        <f>AvatarMatResID[[#This Row],[Material]]</f>
        <v>Male White Barbarian 03 Green</v>
      </c>
    </row>
    <row r="1193" spans="1:9" x14ac:dyDescent="0.15">
      <c r="A1193" t="s">
        <v>454</v>
      </c>
      <c r="B1193" t="s">
        <v>1923</v>
      </c>
      <c r="C1193" t="s">
        <v>1528</v>
      </c>
      <c r="D1193">
        <v>523</v>
      </c>
      <c r="F1193">
        <f>OUTPUTAvatarMatResID[[#This Row],[AvatarPartID]]*10000+OUTPUTAvatarMatResID[[#This Row],[SexID]]*1000+AvatarMatResID[[#This Row],[CountIndex]]</f>
        <v>12523</v>
      </c>
      <c r="G1193">
        <f>VLOOKUP(AvatarMatResID[[#This Row],[AvatarPart]],AvatarPartID[],2,0)</f>
        <v>1</v>
      </c>
      <c r="H1193">
        <f>VLOOKUP(AvatarMatResID[[#This Row],[Sex]],SexID[],2,0)</f>
        <v>2</v>
      </c>
      <c r="I1193" t="str">
        <f>AvatarMatResID[[#This Row],[Material]]</f>
        <v>Male White Barbarian 03 Magenta</v>
      </c>
    </row>
    <row r="1194" spans="1:9" x14ac:dyDescent="0.15">
      <c r="A1194" t="s">
        <v>454</v>
      </c>
      <c r="B1194" t="s">
        <v>1923</v>
      </c>
      <c r="C1194" t="s">
        <v>1529</v>
      </c>
      <c r="D1194">
        <v>524</v>
      </c>
      <c r="F1194">
        <f>OUTPUTAvatarMatResID[[#This Row],[AvatarPartID]]*10000+OUTPUTAvatarMatResID[[#This Row],[SexID]]*1000+AvatarMatResID[[#This Row],[CountIndex]]</f>
        <v>12524</v>
      </c>
      <c r="G1194">
        <f>VLOOKUP(AvatarMatResID[[#This Row],[AvatarPart]],AvatarPartID[],2,0)</f>
        <v>1</v>
      </c>
      <c r="H1194">
        <f>VLOOKUP(AvatarMatResID[[#This Row],[Sex]],SexID[],2,0)</f>
        <v>2</v>
      </c>
      <c r="I1194" t="str">
        <f>AvatarMatResID[[#This Row],[Material]]</f>
        <v>Male White Barbarian 03 Purple</v>
      </c>
    </row>
    <row r="1195" spans="1:9" x14ac:dyDescent="0.15">
      <c r="A1195" t="s">
        <v>454</v>
      </c>
      <c r="B1195" t="s">
        <v>1923</v>
      </c>
      <c r="C1195" t="s">
        <v>1530</v>
      </c>
      <c r="D1195">
        <v>525</v>
      </c>
      <c r="F1195">
        <f>OUTPUTAvatarMatResID[[#This Row],[AvatarPartID]]*10000+OUTPUTAvatarMatResID[[#This Row],[SexID]]*1000+AvatarMatResID[[#This Row],[CountIndex]]</f>
        <v>12525</v>
      </c>
      <c r="G1195">
        <f>VLOOKUP(AvatarMatResID[[#This Row],[AvatarPart]],AvatarPartID[],2,0)</f>
        <v>1</v>
      </c>
      <c r="H1195">
        <f>VLOOKUP(AvatarMatResID[[#This Row],[Sex]],SexID[],2,0)</f>
        <v>2</v>
      </c>
      <c r="I1195" t="str">
        <f>AvatarMatResID[[#This Row],[Material]]</f>
        <v>Male White Barbarian 03 Red</v>
      </c>
    </row>
    <row r="1196" spans="1:9" x14ac:dyDescent="0.15">
      <c r="A1196" t="s">
        <v>454</v>
      </c>
      <c r="B1196" t="s">
        <v>1923</v>
      </c>
      <c r="C1196" t="s">
        <v>1531</v>
      </c>
      <c r="D1196">
        <v>526</v>
      </c>
      <c r="F1196">
        <f>OUTPUTAvatarMatResID[[#This Row],[AvatarPartID]]*10000+OUTPUTAvatarMatResID[[#This Row],[SexID]]*1000+AvatarMatResID[[#This Row],[CountIndex]]</f>
        <v>12526</v>
      </c>
      <c r="G1196">
        <f>VLOOKUP(AvatarMatResID[[#This Row],[AvatarPart]],AvatarPartID[],2,0)</f>
        <v>1</v>
      </c>
      <c r="H1196">
        <f>VLOOKUP(AvatarMatResID[[#This Row],[Sex]],SexID[],2,0)</f>
        <v>2</v>
      </c>
      <c r="I1196" t="str">
        <f>AvatarMatResID[[#This Row],[Material]]</f>
        <v>Male White Barbarian 03 White</v>
      </c>
    </row>
    <row r="1197" spans="1:9" x14ac:dyDescent="0.15">
      <c r="A1197" t="s">
        <v>454</v>
      </c>
      <c r="B1197" t="s">
        <v>1923</v>
      </c>
      <c r="C1197" t="s">
        <v>1532</v>
      </c>
      <c r="D1197">
        <v>527</v>
      </c>
      <c r="F1197">
        <f>OUTPUTAvatarMatResID[[#This Row],[AvatarPartID]]*10000+OUTPUTAvatarMatResID[[#This Row],[SexID]]*1000+AvatarMatResID[[#This Row],[CountIndex]]</f>
        <v>12527</v>
      </c>
      <c r="G1197">
        <f>VLOOKUP(AvatarMatResID[[#This Row],[AvatarPart]],AvatarPartID[],2,0)</f>
        <v>1</v>
      </c>
      <c r="H1197">
        <f>VLOOKUP(AvatarMatResID[[#This Row],[Sex]],SexID[],2,0)</f>
        <v>2</v>
      </c>
      <c r="I1197" t="str">
        <f>AvatarMatResID[[#This Row],[Material]]</f>
        <v>Male White Barbarian 04 Black</v>
      </c>
    </row>
    <row r="1198" spans="1:9" x14ac:dyDescent="0.15">
      <c r="A1198" t="s">
        <v>454</v>
      </c>
      <c r="B1198" t="s">
        <v>1923</v>
      </c>
      <c r="C1198" t="s">
        <v>1533</v>
      </c>
      <c r="D1198">
        <v>528</v>
      </c>
      <c r="F1198">
        <f>OUTPUTAvatarMatResID[[#This Row],[AvatarPartID]]*10000+OUTPUTAvatarMatResID[[#This Row],[SexID]]*1000+AvatarMatResID[[#This Row],[CountIndex]]</f>
        <v>12528</v>
      </c>
      <c r="G1198">
        <f>VLOOKUP(AvatarMatResID[[#This Row],[AvatarPart]],AvatarPartID[],2,0)</f>
        <v>1</v>
      </c>
      <c r="H1198">
        <f>VLOOKUP(AvatarMatResID[[#This Row],[Sex]],SexID[],2,0)</f>
        <v>2</v>
      </c>
      <c r="I1198" t="str">
        <f>AvatarMatResID[[#This Row],[Material]]</f>
        <v>Male White Barbarian 04 Blue</v>
      </c>
    </row>
    <row r="1199" spans="1:9" x14ac:dyDescent="0.15">
      <c r="A1199" t="s">
        <v>454</v>
      </c>
      <c r="B1199" t="s">
        <v>1923</v>
      </c>
      <c r="C1199" t="s">
        <v>1534</v>
      </c>
      <c r="D1199">
        <v>529</v>
      </c>
      <c r="F1199">
        <f>OUTPUTAvatarMatResID[[#This Row],[AvatarPartID]]*10000+OUTPUTAvatarMatResID[[#This Row],[SexID]]*1000+AvatarMatResID[[#This Row],[CountIndex]]</f>
        <v>12529</v>
      </c>
      <c r="G1199">
        <f>VLOOKUP(AvatarMatResID[[#This Row],[AvatarPart]],AvatarPartID[],2,0)</f>
        <v>1</v>
      </c>
      <c r="H1199">
        <f>VLOOKUP(AvatarMatResID[[#This Row],[Sex]],SexID[],2,0)</f>
        <v>2</v>
      </c>
      <c r="I1199" t="str">
        <f>AvatarMatResID[[#This Row],[Material]]</f>
        <v>Male White Barbarian 04 Green</v>
      </c>
    </row>
    <row r="1200" spans="1:9" x14ac:dyDescent="0.15">
      <c r="A1200" t="s">
        <v>454</v>
      </c>
      <c r="B1200" t="s">
        <v>1923</v>
      </c>
      <c r="C1200" t="s">
        <v>1535</v>
      </c>
      <c r="D1200">
        <v>530</v>
      </c>
      <c r="F1200">
        <f>OUTPUTAvatarMatResID[[#This Row],[AvatarPartID]]*10000+OUTPUTAvatarMatResID[[#This Row],[SexID]]*1000+AvatarMatResID[[#This Row],[CountIndex]]</f>
        <v>12530</v>
      </c>
      <c r="G1200">
        <f>VLOOKUP(AvatarMatResID[[#This Row],[AvatarPart]],AvatarPartID[],2,0)</f>
        <v>1</v>
      </c>
      <c r="H1200">
        <f>VLOOKUP(AvatarMatResID[[#This Row],[Sex]],SexID[],2,0)</f>
        <v>2</v>
      </c>
      <c r="I1200" t="str">
        <f>AvatarMatResID[[#This Row],[Material]]</f>
        <v>Male White Barbarian 04 Magenta</v>
      </c>
    </row>
    <row r="1201" spans="1:9" x14ac:dyDescent="0.15">
      <c r="A1201" t="s">
        <v>454</v>
      </c>
      <c r="B1201" t="s">
        <v>1923</v>
      </c>
      <c r="C1201" t="s">
        <v>1536</v>
      </c>
      <c r="D1201">
        <v>531</v>
      </c>
      <c r="F1201">
        <f>OUTPUTAvatarMatResID[[#This Row],[AvatarPartID]]*10000+OUTPUTAvatarMatResID[[#This Row],[SexID]]*1000+AvatarMatResID[[#This Row],[CountIndex]]</f>
        <v>12531</v>
      </c>
      <c r="G1201">
        <f>VLOOKUP(AvatarMatResID[[#This Row],[AvatarPart]],AvatarPartID[],2,0)</f>
        <v>1</v>
      </c>
      <c r="H1201">
        <f>VLOOKUP(AvatarMatResID[[#This Row],[Sex]],SexID[],2,0)</f>
        <v>2</v>
      </c>
      <c r="I1201" t="str">
        <f>AvatarMatResID[[#This Row],[Material]]</f>
        <v>Male White Barbarian 04 Purple</v>
      </c>
    </row>
    <row r="1202" spans="1:9" x14ac:dyDescent="0.15">
      <c r="A1202" t="s">
        <v>454</v>
      </c>
      <c r="B1202" t="s">
        <v>1923</v>
      </c>
      <c r="C1202" t="s">
        <v>1537</v>
      </c>
      <c r="D1202">
        <v>532</v>
      </c>
      <c r="F1202">
        <f>OUTPUTAvatarMatResID[[#This Row],[AvatarPartID]]*10000+OUTPUTAvatarMatResID[[#This Row],[SexID]]*1000+AvatarMatResID[[#This Row],[CountIndex]]</f>
        <v>12532</v>
      </c>
      <c r="G1202">
        <f>VLOOKUP(AvatarMatResID[[#This Row],[AvatarPart]],AvatarPartID[],2,0)</f>
        <v>1</v>
      </c>
      <c r="H1202">
        <f>VLOOKUP(AvatarMatResID[[#This Row],[Sex]],SexID[],2,0)</f>
        <v>2</v>
      </c>
      <c r="I1202" t="str">
        <f>AvatarMatResID[[#This Row],[Material]]</f>
        <v>Male White Barbarian 04 Red</v>
      </c>
    </row>
    <row r="1203" spans="1:9" x14ac:dyDescent="0.15">
      <c r="A1203" t="s">
        <v>454</v>
      </c>
      <c r="B1203" t="s">
        <v>1923</v>
      </c>
      <c r="C1203" t="s">
        <v>1538</v>
      </c>
      <c r="D1203">
        <v>533</v>
      </c>
      <c r="F1203">
        <f>OUTPUTAvatarMatResID[[#This Row],[AvatarPartID]]*10000+OUTPUTAvatarMatResID[[#This Row],[SexID]]*1000+AvatarMatResID[[#This Row],[CountIndex]]</f>
        <v>12533</v>
      </c>
      <c r="G1203">
        <f>VLOOKUP(AvatarMatResID[[#This Row],[AvatarPart]],AvatarPartID[],2,0)</f>
        <v>1</v>
      </c>
      <c r="H1203">
        <f>VLOOKUP(AvatarMatResID[[#This Row],[Sex]],SexID[],2,0)</f>
        <v>2</v>
      </c>
      <c r="I1203" t="str">
        <f>AvatarMatResID[[#This Row],[Material]]</f>
        <v>Male White Barbarian 04 White</v>
      </c>
    </row>
    <row r="1204" spans="1:9" x14ac:dyDescent="0.15">
      <c r="A1204" t="s">
        <v>454</v>
      </c>
      <c r="B1204" t="s">
        <v>1923</v>
      </c>
      <c r="C1204" t="s">
        <v>1539</v>
      </c>
      <c r="D1204">
        <v>534</v>
      </c>
      <c r="F1204">
        <f>OUTPUTAvatarMatResID[[#This Row],[AvatarPartID]]*10000+OUTPUTAvatarMatResID[[#This Row],[SexID]]*1000+AvatarMatResID[[#This Row],[CountIndex]]</f>
        <v>12534</v>
      </c>
      <c r="G1204">
        <f>VLOOKUP(AvatarMatResID[[#This Row],[AvatarPart]],AvatarPartID[],2,0)</f>
        <v>1</v>
      </c>
      <c r="H1204">
        <f>VLOOKUP(AvatarMatResID[[#This Row],[Sex]],SexID[],2,0)</f>
        <v>2</v>
      </c>
      <c r="I1204" t="str">
        <f>AvatarMatResID[[#This Row],[Material]]</f>
        <v>Male White Barbarian 04 Yellow</v>
      </c>
    </row>
    <row r="1205" spans="1:9" x14ac:dyDescent="0.15">
      <c r="A1205" t="s">
        <v>454</v>
      </c>
      <c r="B1205" t="s">
        <v>1923</v>
      </c>
      <c r="C1205" t="s">
        <v>1540</v>
      </c>
      <c r="D1205">
        <v>535</v>
      </c>
      <c r="F1205">
        <f>OUTPUTAvatarMatResID[[#This Row],[AvatarPartID]]*10000+OUTPUTAvatarMatResID[[#This Row],[SexID]]*1000+AvatarMatResID[[#This Row],[CountIndex]]</f>
        <v>12535</v>
      </c>
      <c r="G1205">
        <f>VLOOKUP(AvatarMatResID[[#This Row],[AvatarPart]],AvatarPartID[],2,0)</f>
        <v>1</v>
      </c>
      <c r="H1205">
        <f>VLOOKUP(AvatarMatResID[[#This Row],[Sex]],SexID[],2,0)</f>
        <v>2</v>
      </c>
      <c r="I1205" t="str">
        <f>AvatarMatResID[[#This Row],[Material]]</f>
        <v>Male White Barbarian 05 Black</v>
      </c>
    </row>
    <row r="1206" spans="1:9" x14ac:dyDescent="0.15">
      <c r="A1206" t="s">
        <v>454</v>
      </c>
      <c r="B1206" t="s">
        <v>1923</v>
      </c>
      <c r="C1206" t="s">
        <v>1541</v>
      </c>
      <c r="D1206">
        <v>536</v>
      </c>
      <c r="F1206">
        <f>OUTPUTAvatarMatResID[[#This Row],[AvatarPartID]]*10000+OUTPUTAvatarMatResID[[#This Row],[SexID]]*1000+AvatarMatResID[[#This Row],[CountIndex]]</f>
        <v>12536</v>
      </c>
      <c r="G1206">
        <f>VLOOKUP(AvatarMatResID[[#This Row],[AvatarPart]],AvatarPartID[],2,0)</f>
        <v>1</v>
      </c>
      <c r="H1206">
        <f>VLOOKUP(AvatarMatResID[[#This Row],[Sex]],SexID[],2,0)</f>
        <v>2</v>
      </c>
      <c r="I1206" t="str">
        <f>AvatarMatResID[[#This Row],[Material]]</f>
        <v>Male White Barbarian 05 Blue</v>
      </c>
    </row>
    <row r="1207" spans="1:9" x14ac:dyDescent="0.15">
      <c r="A1207" t="s">
        <v>454</v>
      </c>
      <c r="B1207" t="s">
        <v>1923</v>
      </c>
      <c r="C1207" t="s">
        <v>1542</v>
      </c>
      <c r="D1207">
        <v>537</v>
      </c>
      <c r="F1207">
        <f>OUTPUTAvatarMatResID[[#This Row],[AvatarPartID]]*10000+OUTPUTAvatarMatResID[[#This Row],[SexID]]*1000+AvatarMatResID[[#This Row],[CountIndex]]</f>
        <v>12537</v>
      </c>
      <c r="G1207">
        <f>VLOOKUP(AvatarMatResID[[#This Row],[AvatarPart]],AvatarPartID[],2,0)</f>
        <v>1</v>
      </c>
      <c r="H1207">
        <f>VLOOKUP(AvatarMatResID[[#This Row],[Sex]],SexID[],2,0)</f>
        <v>2</v>
      </c>
      <c r="I1207" t="str">
        <f>AvatarMatResID[[#This Row],[Material]]</f>
        <v>Male White Barbarian 05 Green</v>
      </c>
    </row>
    <row r="1208" spans="1:9" x14ac:dyDescent="0.15">
      <c r="A1208" t="s">
        <v>454</v>
      </c>
      <c r="B1208" t="s">
        <v>1923</v>
      </c>
      <c r="C1208" t="s">
        <v>1543</v>
      </c>
      <c r="D1208">
        <v>538</v>
      </c>
      <c r="F1208">
        <f>OUTPUTAvatarMatResID[[#This Row],[AvatarPartID]]*10000+OUTPUTAvatarMatResID[[#This Row],[SexID]]*1000+AvatarMatResID[[#This Row],[CountIndex]]</f>
        <v>12538</v>
      </c>
      <c r="G1208">
        <f>VLOOKUP(AvatarMatResID[[#This Row],[AvatarPart]],AvatarPartID[],2,0)</f>
        <v>1</v>
      </c>
      <c r="H1208">
        <f>VLOOKUP(AvatarMatResID[[#This Row],[Sex]],SexID[],2,0)</f>
        <v>2</v>
      </c>
      <c r="I1208" t="str">
        <f>AvatarMatResID[[#This Row],[Material]]</f>
        <v>Male White Barbarian 05 Magenta</v>
      </c>
    </row>
    <row r="1209" spans="1:9" x14ac:dyDescent="0.15">
      <c r="A1209" t="s">
        <v>454</v>
      </c>
      <c r="B1209" t="s">
        <v>1923</v>
      </c>
      <c r="C1209" t="s">
        <v>1544</v>
      </c>
      <c r="D1209">
        <v>539</v>
      </c>
      <c r="F1209">
        <f>OUTPUTAvatarMatResID[[#This Row],[AvatarPartID]]*10000+OUTPUTAvatarMatResID[[#This Row],[SexID]]*1000+AvatarMatResID[[#This Row],[CountIndex]]</f>
        <v>12539</v>
      </c>
      <c r="G1209">
        <f>VLOOKUP(AvatarMatResID[[#This Row],[AvatarPart]],AvatarPartID[],2,0)</f>
        <v>1</v>
      </c>
      <c r="H1209">
        <f>VLOOKUP(AvatarMatResID[[#This Row],[Sex]],SexID[],2,0)</f>
        <v>2</v>
      </c>
      <c r="I1209" t="str">
        <f>AvatarMatResID[[#This Row],[Material]]</f>
        <v>Male White Barbarian 05 Purple</v>
      </c>
    </row>
    <row r="1210" spans="1:9" x14ac:dyDescent="0.15">
      <c r="A1210" t="s">
        <v>454</v>
      </c>
      <c r="B1210" t="s">
        <v>1923</v>
      </c>
      <c r="C1210" t="s">
        <v>1545</v>
      </c>
      <c r="D1210">
        <v>540</v>
      </c>
      <c r="F1210">
        <f>OUTPUTAvatarMatResID[[#This Row],[AvatarPartID]]*10000+OUTPUTAvatarMatResID[[#This Row],[SexID]]*1000+AvatarMatResID[[#This Row],[CountIndex]]</f>
        <v>12540</v>
      </c>
      <c r="G1210">
        <f>VLOOKUP(AvatarMatResID[[#This Row],[AvatarPart]],AvatarPartID[],2,0)</f>
        <v>1</v>
      </c>
      <c r="H1210">
        <f>VLOOKUP(AvatarMatResID[[#This Row],[Sex]],SexID[],2,0)</f>
        <v>2</v>
      </c>
      <c r="I1210" t="str">
        <f>AvatarMatResID[[#This Row],[Material]]</f>
        <v>Male White Barbarian 05 Red</v>
      </c>
    </row>
    <row r="1211" spans="1:9" x14ac:dyDescent="0.15">
      <c r="A1211" t="s">
        <v>454</v>
      </c>
      <c r="B1211" t="s">
        <v>1923</v>
      </c>
      <c r="C1211" t="s">
        <v>1546</v>
      </c>
      <c r="D1211">
        <v>541</v>
      </c>
      <c r="F1211">
        <f>OUTPUTAvatarMatResID[[#This Row],[AvatarPartID]]*10000+OUTPUTAvatarMatResID[[#This Row],[SexID]]*1000+AvatarMatResID[[#This Row],[CountIndex]]</f>
        <v>12541</v>
      </c>
      <c r="G1211">
        <f>VLOOKUP(AvatarMatResID[[#This Row],[AvatarPart]],AvatarPartID[],2,0)</f>
        <v>1</v>
      </c>
      <c r="H1211">
        <f>VLOOKUP(AvatarMatResID[[#This Row],[Sex]],SexID[],2,0)</f>
        <v>2</v>
      </c>
      <c r="I1211" t="str">
        <f>AvatarMatResID[[#This Row],[Material]]</f>
        <v>Male White Barbarian 05 White</v>
      </c>
    </row>
    <row r="1212" spans="1:9" x14ac:dyDescent="0.15">
      <c r="A1212" t="s">
        <v>454</v>
      </c>
      <c r="B1212" t="s">
        <v>1923</v>
      </c>
      <c r="C1212" t="s">
        <v>1547</v>
      </c>
      <c r="D1212">
        <v>542</v>
      </c>
      <c r="F1212">
        <f>OUTPUTAvatarMatResID[[#This Row],[AvatarPartID]]*10000+OUTPUTAvatarMatResID[[#This Row],[SexID]]*1000+AvatarMatResID[[#This Row],[CountIndex]]</f>
        <v>12542</v>
      </c>
      <c r="G1212">
        <f>VLOOKUP(AvatarMatResID[[#This Row],[AvatarPart]],AvatarPartID[],2,0)</f>
        <v>1</v>
      </c>
      <c r="H1212">
        <f>VLOOKUP(AvatarMatResID[[#This Row],[Sex]],SexID[],2,0)</f>
        <v>2</v>
      </c>
      <c r="I1212" t="str">
        <f>AvatarMatResID[[#This Row],[Material]]</f>
        <v>Male White Barbarian 05 Yellow</v>
      </c>
    </row>
    <row r="1213" spans="1:9" x14ac:dyDescent="0.15">
      <c r="A1213" t="s">
        <v>454</v>
      </c>
      <c r="B1213" t="s">
        <v>1923</v>
      </c>
      <c r="C1213" t="s">
        <v>1548</v>
      </c>
      <c r="D1213">
        <v>543</v>
      </c>
      <c r="F1213">
        <f>OUTPUTAvatarMatResID[[#This Row],[AvatarPartID]]*10000+OUTPUTAvatarMatResID[[#This Row],[SexID]]*1000+AvatarMatResID[[#This Row],[CountIndex]]</f>
        <v>12543</v>
      </c>
      <c r="G1213">
        <f>VLOOKUP(AvatarMatResID[[#This Row],[AvatarPart]],AvatarPartID[],2,0)</f>
        <v>1</v>
      </c>
      <c r="H1213">
        <f>VLOOKUP(AvatarMatResID[[#This Row],[Sex]],SexID[],2,0)</f>
        <v>2</v>
      </c>
      <c r="I1213" t="str">
        <f>AvatarMatResID[[#This Row],[Material]]</f>
        <v>Male White Barbarian 06 Black</v>
      </c>
    </row>
    <row r="1214" spans="1:9" x14ac:dyDescent="0.15">
      <c r="A1214" t="s">
        <v>454</v>
      </c>
      <c r="B1214" t="s">
        <v>1923</v>
      </c>
      <c r="C1214" t="s">
        <v>1549</v>
      </c>
      <c r="D1214">
        <v>544</v>
      </c>
      <c r="F1214">
        <f>OUTPUTAvatarMatResID[[#This Row],[AvatarPartID]]*10000+OUTPUTAvatarMatResID[[#This Row],[SexID]]*1000+AvatarMatResID[[#This Row],[CountIndex]]</f>
        <v>12544</v>
      </c>
      <c r="G1214">
        <f>VLOOKUP(AvatarMatResID[[#This Row],[AvatarPart]],AvatarPartID[],2,0)</f>
        <v>1</v>
      </c>
      <c r="H1214">
        <f>VLOOKUP(AvatarMatResID[[#This Row],[Sex]],SexID[],2,0)</f>
        <v>2</v>
      </c>
      <c r="I1214" t="str">
        <f>AvatarMatResID[[#This Row],[Material]]</f>
        <v>Male White Barbarian 06 Blue</v>
      </c>
    </row>
    <row r="1215" spans="1:9" x14ac:dyDescent="0.15">
      <c r="A1215" t="s">
        <v>454</v>
      </c>
      <c r="B1215" t="s">
        <v>1923</v>
      </c>
      <c r="C1215" t="s">
        <v>1550</v>
      </c>
      <c r="D1215">
        <v>545</v>
      </c>
      <c r="F1215">
        <f>OUTPUTAvatarMatResID[[#This Row],[AvatarPartID]]*10000+OUTPUTAvatarMatResID[[#This Row],[SexID]]*1000+AvatarMatResID[[#This Row],[CountIndex]]</f>
        <v>12545</v>
      </c>
      <c r="G1215">
        <f>VLOOKUP(AvatarMatResID[[#This Row],[AvatarPart]],AvatarPartID[],2,0)</f>
        <v>1</v>
      </c>
      <c r="H1215">
        <f>VLOOKUP(AvatarMatResID[[#This Row],[Sex]],SexID[],2,0)</f>
        <v>2</v>
      </c>
      <c r="I1215" t="str">
        <f>AvatarMatResID[[#This Row],[Material]]</f>
        <v>Male White Barbarian 06 Green</v>
      </c>
    </row>
    <row r="1216" spans="1:9" x14ac:dyDescent="0.15">
      <c r="A1216" t="s">
        <v>454</v>
      </c>
      <c r="B1216" t="s">
        <v>1923</v>
      </c>
      <c r="C1216" t="s">
        <v>1551</v>
      </c>
      <c r="D1216">
        <v>546</v>
      </c>
      <c r="F1216">
        <f>OUTPUTAvatarMatResID[[#This Row],[AvatarPartID]]*10000+OUTPUTAvatarMatResID[[#This Row],[SexID]]*1000+AvatarMatResID[[#This Row],[CountIndex]]</f>
        <v>12546</v>
      </c>
      <c r="G1216">
        <f>VLOOKUP(AvatarMatResID[[#This Row],[AvatarPart]],AvatarPartID[],2,0)</f>
        <v>1</v>
      </c>
      <c r="H1216">
        <f>VLOOKUP(AvatarMatResID[[#This Row],[Sex]],SexID[],2,0)</f>
        <v>2</v>
      </c>
      <c r="I1216" t="str">
        <f>AvatarMatResID[[#This Row],[Material]]</f>
        <v>Male White Barbarian 06 Magenta</v>
      </c>
    </row>
    <row r="1217" spans="1:9" x14ac:dyDescent="0.15">
      <c r="A1217" t="s">
        <v>454</v>
      </c>
      <c r="B1217" t="s">
        <v>1923</v>
      </c>
      <c r="C1217" t="s">
        <v>1552</v>
      </c>
      <c r="D1217">
        <v>547</v>
      </c>
      <c r="F1217">
        <f>OUTPUTAvatarMatResID[[#This Row],[AvatarPartID]]*10000+OUTPUTAvatarMatResID[[#This Row],[SexID]]*1000+AvatarMatResID[[#This Row],[CountIndex]]</f>
        <v>12547</v>
      </c>
      <c r="G1217">
        <f>VLOOKUP(AvatarMatResID[[#This Row],[AvatarPart]],AvatarPartID[],2,0)</f>
        <v>1</v>
      </c>
      <c r="H1217">
        <f>VLOOKUP(AvatarMatResID[[#This Row],[Sex]],SexID[],2,0)</f>
        <v>2</v>
      </c>
      <c r="I1217" t="str">
        <f>AvatarMatResID[[#This Row],[Material]]</f>
        <v>Male White Barbarian 06 Purple</v>
      </c>
    </row>
    <row r="1218" spans="1:9" x14ac:dyDescent="0.15">
      <c r="A1218" t="s">
        <v>454</v>
      </c>
      <c r="B1218" t="s">
        <v>1923</v>
      </c>
      <c r="C1218" t="s">
        <v>1553</v>
      </c>
      <c r="D1218">
        <v>548</v>
      </c>
      <c r="F1218">
        <f>OUTPUTAvatarMatResID[[#This Row],[AvatarPartID]]*10000+OUTPUTAvatarMatResID[[#This Row],[SexID]]*1000+AvatarMatResID[[#This Row],[CountIndex]]</f>
        <v>12548</v>
      </c>
      <c r="G1218">
        <f>VLOOKUP(AvatarMatResID[[#This Row],[AvatarPart]],AvatarPartID[],2,0)</f>
        <v>1</v>
      </c>
      <c r="H1218">
        <f>VLOOKUP(AvatarMatResID[[#This Row],[Sex]],SexID[],2,0)</f>
        <v>2</v>
      </c>
      <c r="I1218" t="str">
        <f>AvatarMatResID[[#This Row],[Material]]</f>
        <v>Male White Barbarian 06 Red</v>
      </c>
    </row>
    <row r="1219" spans="1:9" x14ac:dyDescent="0.15">
      <c r="A1219" t="s">
        <v>454</v>
      </c>
      <c r="B1219" t="s">
        <v>1923</v>
      </c>
      <c r="C1219" t="s">
        <v>1554</v>
      </c>
      <c r="D1219">
        <v>549</v>
      </c>
      <c r="F1219">
        <f>OUTPUTAvatarMatResID[[#This Row],[AvatarPartID]]*10000+OUTPUTAvatarMatResID[[#This Row],[SexID]]*1000+AvatarMatResID[[#This Row],[CountIndex]]</f>
        <v>12549</v>
      </c>
      <c r="G1219">
        <f>VLOOKUP(AvatarMatResID[[#This Row],[AvatarPart]],AvatarPartID[],2,0)</f>
        <v>1</v>
      </c>
      <c r="H1219">
        <f>VLOOKUP(AvatarMatResID[[#This Row],[Sex]],SexID[],2,0)</f>
        <v>2</v>
      </c>
      <c r="I1219" t="str">
        <f>AvatarMatResID[[#This Row],[Material]]</f>
        <v>Male White Barbarian 06 White</v>
      </c>
    </row>
    <row r="1220" spans="1:9" x14ac:dyDescent="0.15">
      <c r="A1220" t="s">
        <v>454</v>
      </c>
      <c r="B1220" t="s">
        <v>1923</v>
      </c>
      <c r="C1220" t="s">
        <v>1555</v>
      </c>
      <c r="D1220">
        <v>550</v>
      </c>
      <c r="F1220">
        <f>OUTPUTAvatarMatResID[[#This Row],[AvatarPartID]]*10000+OUTPUTAvatarMatResID[[#This Row],[SexID]]*1000+AvatarMatResID[[#This Row],[CountIndex]]</f>
        <v>12550</v>
      </c>
      <c r="G1220">
        <f>VLOOKUP(AvatarMatResID[[#This Row],[AvatarPart]],AvatarPartID[],2,0)</f>
        <v>1</v>
      </c>
      <c r="H1220">
        <f>VLOOKUP(AvatarMatResID[[#This Row],[Sex]],SexID[],2,0)</f>
        <v>2</v>
      </c>
      <c r="I1220" t="str">
        <f>AvatarMatResID[[#This Row],[Material]]</f>
        <v>Male White Barbarian 06 Yellow</v>
      </c>
    </row>
    <row r="1221" spans="1:9" x14ac:dyDescent="0.15">
      <c r="A1221" t="s">
        <v>454</v>
      </c>
      <c r="B1221" t="s">
        <v>1923</v>
      </c>
      <c r="C1221" t="s">
        <v>1556</v>
      </c>
      <c r="D1221">
        <v>551</v>
      </c>
      <c r="F1221">
        <f>OUTPUTAvatarMatResID[[#This Row],[AvatarPartID]]*10000+OUTPUTAvatarMatResID[[#This Row],[SexID]]*1000+AvatarMatResID[[#This Row],[CountIndex]]</f>
        <v>12551</v>
      </c>
      <c r="G1221">
        <f>VLOOKUP(AvatarMatResID[[#This Row],[AvatarPart]],AvatarPartID[],2,0)</f>
        <v>1</v>
      </c>
      <c r="H1221">
        <f>VLOOKUP(AvatarMatResID[[#This Row],[Sex]],SexID[],2,0)</f>
        <v>2</v>
      </c>
      <c r="I1221" t="str">
        <f>AvatarMatResID[[#This Row],[Material]]</f>
        <v>Male White Casual 01A</v>
      </c>
    </row>
    <row r="1222" spans="1:9" x14ac:dyDescent="0.15">
      <c r="A1222" t="s">
        <v>454</v>
      </c>
      <c r="B1222" t="s">
        <v>1923</v>
      </c>
      <c r="C1222" t="s">
        <v>1557</v>
      </c>
      <c r="D1222">
        <v>552</v>
      </c>
      <c r="F1222">
        <f>OUTPUTAvatarMatResID[[#This Row],[AvatarPartID]]*10000+OUTPUTAvatarMatResID[[#This Row],[SexID]]*1000+AvatarMatResID[[#This Row],[CountIndex]]</f>
        <v>12552</v>
      </c>
      <c r="G1222">
        <f>VLOOKUP(AvatarMatResID[[#This Row],[AvatarPart]],AvatarPartID[],2,0)</f>
        <v>1</v>
      </c>
      <c r="H1222">
        <f>VLOOKUP(AvatarMatResID[[#This Row],[Sex]],SexID[],2,0)</f>
        <v>2</v>
      </c>
      <c r="I1222" t="str">
        <f>AvatarMatResID[[#This Row],[Material]]</f>
        <v>Male White Casual 01B</v>
      </c>
    </row>
    <row r="1223" spans="1:9" x14ac:dyDescent="0.15">
      <c r="A1223" t="s">
        <v>454</v>
      </c>
      <c r="B1223" t="s">
        <v>1923</v>
      </c>
      <c r="C1223" t="s">
        <v>1558</v>
      </c>
      <c r="D1223">
        <v>553</v>
      </c>
      <c r="F1223">
        <f>OUTPUTAvatarMatResID[[#This Row],[AvatarPartID]]*10000+OUTPUTAvatarMatResID[[#This Row],[SexID]]*1000+AvatarMatResID[[#This Row],[CountIndex]]</f>
        <v>12553</v>
      </c>
      <c r="G1223">
        <f>VLOOKUP(AvatarMatResID[[#This Row],[AvatarPart]],AvatarPartID[],2,0)</f>
        <v>1</v>
      </c>
      <c r="H1223">
        <f>VLOOKUP(AvatarMatResID[[#This Row],[Sex]],SexID[],2,0)</f>
        <v>2</v>
      </c>
      <c r="I1223" t="str">
        <f>AvatarMatResID[[#This Row],[Material]]</f>
        <v>Male White Casual 01C</v>
      </c>
    </row>
    <row r="1224" spans="1:9" x14ac:dyDescent="0.15">
      <c r="A1224" t="s">
        <v>454</v>
      </c>
      <c r="B1224" t="s">
        <v>1923</v>
      </c>
      <c r="C1224" t="s">
        <v>1559</v>
      </c>
      <c r="D1224">
        <v>554</v>
      </c>
      <c r="F1224">
        <f>OUTPUTAvatarMatResID[[#This Row],[AvatarPartID]]*10000+OUTPUTAvatarMatResID[[#This Row],[SexID]]*1000+AvatarMatResID[[#This Row],[CountIndex]]</f>
        <v>12554</v>
      </c>
      <c r="G1224">
        <f>VLOOKUP(AvatarMatResID[[#This Row],[AvatarPart]],AvatarPartID[],2,0)</f>
        <v>1</v>
      </c>
      <c r="H1224">
        <f>VLOOKUP(AvatarMatResID[[#This Row],[Sex]],SexID[],2,0)</f>
        <v>2</v>
      </c>
      <c r="I1224" t="str">
        <f>AvatarMatResID[[#This Row],[Material]]</f>
        <v>Male White Casual 02A</v>
      </c>
    </row>
    <row r="1225" spans="1:9" x14ac:dyDescent="0.15">
      <c r="A1225" t="s">
        <v>454</v>
      </c>
      <c r="B1225" t="s">
        <v>1923</v>
      </c>
      <c r="C1225" t="s">
        <v>1560</v>
      </c>
      <c r="D1225">
        <v>555</v>
      </c>
      <c r="F1225">
        <f>OUTPUTAvatarMatResID[[#This Row],[AvatarPartID]]*10000+OUTPUTAvatarMatResID[[#This Row],[SexID]]*1000+AvatarMatResID[[#This Row],[CountIndex]]</f>
        <v>12555</v>
      </c>
      <c r="G1225">
        <f>VLOOKUP(AvatarMatResID[[#This Row],[AvatarPart]],AvatarPartID[],2,0)</f>
        <v>1</v>
      </c>
      <c r="H1225">
        <f>VLOOKUP(AvatarMatResID[[#This Row],[Sex]],SexID[],2,0)</f>
        <v>2</v>
      </c>
      <c r="I1225" t="str">
        <f>AvatarMatResID[[#This Row],[Material]]</f>
        <v>Male White Casual 02B</v>
      </c>
    </row>
    <row r="1226" spans="1:9" x14ac:dyDescent="0.15">
      <c r="A1226" t="s">
        <v>454</v>
      </c>
      <c r="B1226" t="s">
        <v>1923</v>
      </c>
      <c r="C1226" t="s">
        <v>1561</v>
      </c>
      <c r="D1226">
        <v>556</v>
      </c>
      <c r="F1226">
        <f>OUTPUTAvatarMatResID[[#This Row],[AvatarPartID]]*10000+OUTPUTAvatarMatResID[[#This Row],[SexID]]*1000+AvatarMatResID[[#This Row],[CountIndex]]</f>
        <v>12556</v>
      </c>
      <c r="G1226">
        <f>VLOOKUP(AvatarMatResID[[#This Row],[AvatarPart]],AvatarPartID[],2,0)</f>
        <v>1</v>
      </c>
      <c r="H1226">
        <f>VLOOKUP(AvatarMatResID[[#This Row],[Sex]],SexID[],2,0)</f>
        <v>2</v>
      </c>
      <c r="I1226" t="str">
        <f>AvatarMatResID[[#This Row],[Material]]</f>
        <v>Male White Casual 02C</v>
      </c>
    </row>
    <row r="1227" spans="1:9" x14ac:dyDescent="0.15">
      <c r="A1227" t="s">
        <v>454</v>
      </c>
      <c r="B1227" t="s">
        <v>1923</v>
      </c>
      <c r="C1227" t="s">
        <v>1562</v>
      </c>
      <c r="D1227">
        <v>557</v>
      </c>
      <c r="F1227">
        <f>OUTPUTAvatarMatResID[[#This Row],[AvatarPartID]]*10000+OUTPUTAvatarMatResID[[#This Row],[SexID]]*1000+AvatarMatResID[[#This Row],[CountIndex]]</f>
        <v>12557</v>
      </c>
      <c r="G1227">
        <f>VLOOKUP(AvatarMatResID[[#This Row],[AvatarPart]],AvatarPartID[],2,0)</f>
        <v>1</v>
      </c>
      <c r="H1227">
        <f>VLOOKUP(AvatarMatResID[[#This Row],[Sex]],SexID[],2,0)</f>
        <v>2</v>
      </c>
      <c r="I1227" t="str">
        <f>AvatarMatResID[[#This Row],[Material]]</f>
        <v>Male White Casual 03</v>
      </c>
    </row>
    <row r="1228" spans="1:9" x14ac:dyDescent="0.15">
      <c r="A1228" t="s">
        <v>454</v>
      </c>
      <c r="B1228" t="s">
        <v>1923</v>
      </c>
      <c r="C1228" t="s">
        <v>1563</v>
      </c>
      <c r="D1228">
        <v>558</v>
      </c>
      <c r="F1228">
        <f>OUTPUTAvatarMatResID[[#This Row],[AvatarPartID]]*10000+OUTPUTAvatarMatResID[[#This Row],[SexID]]*1000+AvatarMatResID[[#This Row],[CountIndex]]</f>
        <v>12558</v>
      </c>
      <c r="G1228">
        <f>VLOOKUP(AvatarMatResID[[#This Row],[AvatarPart]],AvatarPartID[],2,0)</f>
        <v>1</v>
      </c>
      <c r="H1228">
        <f>VLOOKUP(AvatarMatResID[[#This Row],[Sex]],SexID[],2,0)</f>
        <v>2</v>
      </c>
      <c r="I1228" t="str">
        <f>AvatarMatResID[[#This Row],[Material]]</f>
        <v>Male White Casual 03A</v>
      </c>
    </row>
    <row r="1229" spans="1:9" x14ac:dyDescent="0.15">
      <c r="A1229" t="s">
        <v>454</v>
      </c>
      <c r="B1229" t="s">
        <v>1923</v>
      </c>
      <c r="C1229" t="s">
        <v>1564</v>
      </c>
      <c r="D1229">
        <v>559</v>
      </c>
      <c r="F1229">
        <f>OUTPUTAvatarMatResID[[#This Row],[AvatarPartID]]*10000+OUTPUTAvatarMatResID[[#This Row],[SexID]]*1000+AvatarMatResID[[#This Row],[CountIndex]]</f>
        <v>12559</v>
      </c>
      <c r="G1229">
        <f>VLOOKUP(AvatarMatResID[[#This Row],[AvatarPart]],AvatarPartID[],2,0)</f>
        <v>1</v>
      </c>
      <c r="H1229">
        <f>VLOOKUP(AvatarMatResID[[#This Row],[Sex]],SexID[],2,0)</f>
        <v>2</v>
      </c>
      <c r="I1229" t="str">
        <f>AvatarMatResID[[#This Row],[Material]]</f>
        <v>Male White Casual 03B</v>
      </c>
    </row>
    <row r="1230" spans="1:9" x14ac:dyDescent="0.15">
      <c r="A1230" t="s">
        <v>454</v>
      </c>
      <c r="B1230" t="s">
        <v>1923</v>
      </c>
      <c r="C1230" t="s">
        <v>1565</v>
      </c>
      <c r="D1230">
        <v>560</v>
      </c>
      <c r="F1230">
        <f>OUTPUTAvatarMatResID[[#This Row],[AvatarPartID]]*10000+OUTPUTAvatarMatResID[[#This Row],[SexID]]*1000+AvatarMatResID[[#This Row],[CountIndex]]</f>
        <v>12560</v>
      </c>
      <c r="G1230">
        <f>VLOOKUP(AvatarMatResID[[#This Row],[AvatarPart]],AvatarPartID[],2,0)</f>
        <v>1</v>
      </c>
      <c r="H1230">
        <f>VLOOKUP(AvatarMatResID[[#This Row],[Sex]],SexID[],2,0)</f>
        <v>2</v>
      </c>
      <c r="I1230" t="str">
        <f>AvatarMatResID[[#This Row],[Material]]</f>
        <v>Male White Casual 03C</v>
      </c>
    </row>
    <row r="1231" spans="1:9" x14ac:dyDescent="0.15">
      <c r="A1231" t="s">
        <v>454</v>
      </c>
      <c r="B1231" t="s">
        <v>1923</v>
      </c>
      <c r="C1231" t="s">
        <v>1566</v>
      </c>
      <c r="D1231">
        <v>561</v>
      </c>
      <c r="F1231">
        <f>OUTPUTAvatarMatResID[[#This Row],[AvatarPartID]]*10000+OUTPUTAvatarMatResID[[#This Row],[SexID]]*1000+AvatarMatResID[[#This Row],[CountIndex]]</f>
        <v>12561</v>
      </c>
      <c r="G1231">
        <f>VLOOKUP(AvatarMatResID[[#This Row],[AvatarPart]],AvatarPartID[],2,0)</f>
        <v>1</v>
      </c>
      <c r="H1231">
        <f>VLOOKUP(AvatarMatResID[[#This Row],[Sex]],SexID[],2,0)</f>
        <v>2</v>
      </c>
      <c r="I1231" t="str">
        <f>AvatarMatResID[[#This Row],[Material]]</f>
        <v>Male White Casual 04A</v>
      </c>
    </row>
    <row r="1232" spans="1:9" x14ac:dyDescent="0.15">
      <c r="A1232" t="s">
        <v>454</v>
      </c>
      <c r="B1232" t="s">
        <v>1923</v>
      </c>
      <c r="C1232" t="s">
        <v>1567</v>
      </c>
      <c r="D1232">
        <v>562</v>
      </c>
      <c r="F1232">
        <f>OUTPUTAvatarMatResID[[#This Row],[AvatarPartID]]*10000+OUTPUTAvatarMatResID[[#This Row],[SexID]]*1000+AvatarMatResID[[#This Row],[CountIndex]]</f>
        <v>12562</v>
      </c>
      <c r="G1232">
        <f>VLOOKUP(AvatarMatResID[[#This Row],[AvatarPart]],AvatarPartID[],2,0)</f>
        <v>1</v>
      </c>
      <c r="H1232">
        <f>VLOOKUP(AvatarMatResID[[#This Row],[Sex]],SexID[],2,0)</f>
        <v>2</v>
      </c>
      <c r="I1232" t="str">
        <f>AvatarMatResID[[#This Row],[Material]]</f>
        <v>Male White Casual 04B</v>
      </c>
    </row>
    <row r="1233" spans="1:9" x14ac:dyDescent="0.15">
      <c r="A1233" t="s">
        <v>454</v>
      </c>
      <c r="B1233" t="s">
        <v>1923</v>
      </c>
      <c r="C1233" t="s">
        <v>1568</v>
      </c>
      <c r="D1233">
        <v>563</v>
      </c>
      <c r="F1233">
        <f>OUTPUTAvatarMatResID[[#This Row],[AvatarPartID]]*10000+OUTPUTAvatarMatResID[[#This Row],[SexID]]*1000+AvatarMatResID[[#This Row],[CountIndex]]</f>
        <v>12563</v>
      </c>
      <c r="G1233">
        <f>VLOOKUP(AvatarMatResID[[#This Row],[AvatarPart]],AvatarPartID[],2,0)</f>
        <v>1</v>
      </c>
      <c r="H1233">
        <f>VLOOKUP(AvatarMatResID[[#This Row],[Sex]],SexID[],2,0)</f>
        <v>2</v>
      </c>
      <c r="I1233" t="str">
        <f>AvatarMatResID[[#This Row],[Material]]</f>
        <v>Male White Casual 04C</v>
      </c>
    </row>
    <row r="1234" spans="1:9" x14ac:dyDescent="0.15">
      <c r="A1234" t="s">
        <v>454</v>
      </c>
      <c r="B1234" t="s">
        <v>1923</v>
      </c>
      <c r="C1234" t="s">
        <v>1569</v>
      </c>
      <c r="D1234">
        <v>564</v>
      </c>
      <c r="F1234">
        <f>OUTPUTAvatarMatResID[[#This Row],[AvatarPartID]]*10000+OUTPUTAvatarMatResID[[#This Row],[SexID]]*1000+AvatarMatResID[[#This Row],[CountIndex]]</f>
        <v>12564</v>
      </c>
      <c r="G1234">
        <f>VLOOKUP(AvatarMatResID[[#This Row],[AvatarPart]],AvatarPartID[],2,0)</f>
        <v>1</v>
      </c>
      <c r="H1234">
        <f>VLOOKUP(AvatarMatResID[[#This Row],[Sex]],SexID[],2,0)</f>
        <v>2</v>
      </c>
      <c r="I1234" t="str">
        <f>AvatarMatResID[[#This Row],[Material]]</f>
        <v>Male White Casual 05</v>
      </c>
    </row>
    <row r="1235" spans="1:9" x14ac:dyDescent="0.15">
      <c r="A1235" t="s">
        <v>454</v>
      </c>
      <c r="B1235" t="s">
        <v>1923</v>
      </c>
      <c r="C1235" t="s">
        <v>1570</v>
      </c>
      <c r="D1235">
        <v>565</v>
      </c>
      <c r="F1235">
        <f>OUTPUTAvatarMatResID[[#This Row],[AvatarPartID]]*10000+OUTPUTAvatarMatResID[[#This Row],[SexID]]*1000+AvatarMatResID[[#This Row],[CountIndex]]</f>
        <v>12565</v>
      </c>
      <c r="G1235">
        <f>VLOOKUP(AvatarMatResID[[#This Row],[AvatarPart]],AvatarPartID[],2,0)</f>
        <v>1</v>
      </c>
      <c r="H1235">
        <f>VLOOKUP(AvatarMatResID[[#This Row],[Sex]],SexID[],2,0)</f>
        <v>2</v>
      </c>
      <c r="I1235" t="str">
        <f>AvatarMatResID[[#This Row],[Material]]</f>
        <v>Male White Casual 05A</v>
      </c>
    </row>
    <row r="1236" spans="1:9" x14ac:dyDescent="0.15">
      <c r="A1236" t="s">
        <v>454</v>
      </c>
      <c r="B1236" t="s">
        <v>1923</v>
      </c>
      <c r="C1236" t="s">
        <v>1571</v>
      </c>
      <c r="D1236">
        <v>566</v>
      </c>
      <c r="F1236">
        <f>OUTPUTAvatarMatResID[[#This Row],[AvatarPartID]]*10000+OUTPUTAvatarMatResID[[#This Row],[SexID]]*1000+AvatarMatResID[[#This Row],[CountIndex]]</f>
        <v>12566</v>
      </c>
      <c r="G1236">
        <f>VLOOKUP(AvatarMatResID[[#This Row],[AvatarPart]],AvatarPartID[],2,0)</f>
        <v>1</v>
      </c>
      <c r="H1236">
        <f>VLOOKUP(AvatarMatResID[[#This Row],[Sex]],SexID[],2,0)</f>
        <v>2</v>
      </c>
      <c r="I1236" t="str">
        <f>AvatarMatResID[[#This Row],[Material]]</f>
        <v>Male White Casual 05B</v>
      </c>
    </row>
    <row r="1237" spans="1:9" x14ac:dyDescent="0.15">
      <c r="A1237" t="s">
        <v>454</v>
      </c>
      <c r="B1237" t="s">
        <v>1923</v>
      </c>
      <c r="C1237" t="s">
        <v>1572</v>
      </c>
      <c r="D1237">
        <v>567</v>
      </c>
      <c r="F1237">
        <f>OUTPUTAvatarMatResID[[#This Row],[AvatarPartID]]*10000+OUTPUTAvatarMatResID[[#This Row],[SexID]]*1000+AvatarMatResID[[#This Row],[CountIndex]]</f>
        <v>12567</v>
      </c>
      <c r="G1237">
        <f>VLOOKUP(AvatarMatResID[[#This Row],[AvatarPart]],AvatarPartID[],2,0)</f>
        <v>1</v>
      </c>
      <c r="H1237">
        <f>VLOOKUP(AvatarMatResID[[#This Row],[Sex]],SexID[],2,0)</f>
        <v>2</v>
      </c>
      <c r="I1237" t="str">
        <f>AvatarMatResID[[#This Row],[Material]]</f>
        <v>Male White Casual 05C</v>
      </c>
    </row>
    <row r="1238" spans="1:9" x14ac:dyDescent="0.15">
      <c r="A1238" t="s">
        <v>454</v>
      </c>
      <c r="B1238" t="s">
        <v>1923</v>
      </c>
      <c r="C1238" t="s">
        <v>1573</v>
      </c>
      <c r="D1238">
        <v>568</v>
      </c>
      <c r="F1238">
        <f>OUTPUTAvatarMatResID[[#This Row],[AvatarPartID]]*10000+OUTPUTAvatarMatResID[[#This Row],[SexID]]*1000+AvatarMatResID[[#This Row],[CountIndex]]</f>
        <v>12568</v>
      </c>
      <c r="G1238">
        <f>VLOOKUP(AvatarMatResID[[#This Row],[AvatarPart]],AvatarPartID[],2,0)</f>
        <v>1</v>
      </c>
      <c r="H1238">
        <f>VLOOKUP(AvatarMatResID[[#This Row],[Sex]],SexID[],2,0)</f>
        <v>2</v>
      </c>
      <c r="I1238" t="str">
        <f>AvatarMatResID[[#This Row],[Material]]</f>
        <v>Male White Casual 06</v>
      </c>
    </row>
    <row r="1239" spans="1:9" x14ac:dyDescent="0.15">
      <c r="A1239" t="s">
        <v>454</v>
      </c>
      <c r="B1239" t="s">
        <v>1923</v>
      </c>
      <c r="C1239" t="s">
        <v>1574</v>
      </c>
      <c r="D1239">
        <v>569</v>
      </c>
      <c r="F1239">
        <f>OUTPUTAvatarMatResID[[#This Row],[AvatarPartID]]*10000+OUTPUTAvatarMatResID[[#This Row],[SexID]]*1000+AvatarMatResID[[#This Row],[CountIndex]]</f>
        <v>12569</v>
      </c>
      <c r="G1239">
        <f>VLOOKUP(AvatarMatResID[[#This Row],[AvatarPart]],AvatarPartID[],2,0)</f>
        <v>1</v>
      </c>
      <c r="H1239">
        <f>VLOOKUP(AvatarMatResID[[#This Row],[Sex]],SexID[],2,0)</f>
        <v>2</v>
      </c>
      <c r="I1239" t="str">
        <f>AvatarMatResID[[#This Row],[Material]]</f>
        <v>Male White Casual 06A</v>
      </c>
    </row>
    <row r="1240" spans="1:9" x14ac:dyDescent="0.15">
      <c r="A1240" t="s">
        <v>454</v>
      </c>
      <c r="B1240" t="s">
        <v>1923</v>
      </c>
      <c r="C1240" t="s">
        <v>1575</v>
      </c>
      <c r="D1240">
        <v>570</v>
      </c>
      <c r="F1240">
        <f>OUTPUTAvatarMatResID[[#This Row],[AvatarPartID]]*10000+OUTPUTAvatarMatResID[[#This Row],[SexID]]*1000+AvatarMatResID[[#This Row],[CountIndex]]</f>
        <v>12570</v>
      </c>
      <c r="G1240">
        <f>VLOOKUP(AvatarMatResID[[#This Row],[AvatarPart]],AvatarPartID[],2,0)</f>
        <v>1</v>
      </c>
      <c r="H1240">
        <f>VLOOKUP(AvatarMatResID[[#This Row],[Sex]],SexID[],2,0)</f>
        <v>2</v>
      </c>
      <c r="I1240" t="str">
        <f>AvatarMatResID[[#This Row],[Material]]</f>
        <v>Male White Casual 06B</v>
      </c>
    </row>
    <row r="1241" spans="1:9" x14ac:dyDescent="0.15">
      <c r="A1241" t="s">
        <v>454</v>
      </c>
      <c r="B1241" t="s">
        <v>1923</v>
      </c>
      <c r="C1241" t="s">
        <v>1576</v>
      </c>
      <c r="D1241">
        <v>571</v>
      </c>
      <c r="F1241">
        <f>OUTPUTAvatarMatResID[[#This Row],[AvatarPartID]]*10000+OUTPUTAvatarMatResID[[#This Row],[SexID]]*1000+AvatarMatResID[[#This Row],[CountIndex]]</f>
        <v>12571</v>
      </c>
      <c r="G1241">
        <f>VLOOKUP(AvatarMatResID[[#This Row],[AvatarPart]],AvatarPartID[],2,0)</f>
        <v>1</v>
      </c>
      <c r="H1241">
        <f>VLOOKUP(AvatarMatResID[[#This Row],[Sex]],SexID[],2,0)</f>
        <v>2</v>
      </c>
      <c r="I1241" t="str">
        <f>AvatarMatResID[[#This Row],[Material]]</f>
        <v>Male White Casual 06C</v>
      </c>
    </row>
    <row r="1242" spans="1:9" x14ac:dyDescent="0.15">
      <c r="A1242" t="s">
        <v>454</v>
      </c>
      <c r="B1242" t="s">
        <v>1923</v>
      </c>
      <c r="C1242" t="s">
        <v>1577</v>
      </c>
      <c r="D1242">
        <v>572</v>
      </c>
      <c r="F1242">
        <f>OUTPUTAvatarMatResID[[#This Row],[AvatarPartID]]*10000+OUTPUTAvatarMatResID[[#This Row],[SexID]]*1000+AvatarMatResID[[#This Row],[CountIndex]]</f>
        <v>12572</v>
      </c>
      <c r="G1242">
        <f>VLOOKUP(AvatarMatResID[[#This Row],[AvatarPart]],AvatarPartID[],2,0)</f>
        <v>1</v>
      </c>
      <c r="H1242">
        <f>VLOOKUP(AvatarMatResID[[#This Row],[Sex]],SexID[],2,0)</f>
        <v>2</v>
      </c>
      <c r="I1242" t="str">
        <f>AvatarMatResID[[#This Row],[Material]]</f>
        <v>Male White Casual 07A</v>
      </c>
    </row>
    <row r="1243" spans="1:9" x14ac:dyDescent="0.15">
      <c r="A1243" t="s">
        <v>454</v>
      </c>
      <c r="B1243" t="s">
        <v>1923</v>
      </c>
      <c r="C1243" t="s">
        <v>1578</v>
      </c>
      <c r="D1243">
        <v>573</v>
      </c>
      <c r="F1243">
        <f>OUTPUTAvatarMatResID[[#This Row],[AvatarPartID]]*10000+OUTPUTAvatarMatResID[[#This Row],[SexID]]*1000+AvatarMatResID[[#This Row],[CountIndex]]</f>
        <v>12573</v>
      </c>
      <c r="G1243">
        <f>VLOOKUP(AvatarMatResID[[#This Row],[AvatarPart]],AvatarPartID[],2,0)</f>
        <v>1</v>
      </c>
      <c r="H1243">
        <f>VLOOKUP(AvatarMatResID[[#This Row],[Sex]],SexID[],2,0)</f>
        <v>2</v>
      </c>
      <c r="I1243" t="str">
        <f>AvatarMatResID[[#This Row],[Material]]</f>
        <v>Male White Casual 07B</v>
      </c>
    </row>
    <row r="1244" spans="1:9" x14ac:dyDescent="0.15">
      <c r="A1244" t="s">
        <v>454</v>
      </c>
      <c r="B1244" t="s">
        <v>1923</v>
      </c>
      <c r="C1244" t="s">
        <v>1579</v>
      </c>
      <c r="D1244">
        <v>574</v>
      </c>
      <c r="F1244">
        <f>OUTPUTAvatarMatResID[[#This Row],[AvatarPartID]]*10000+OUTPUTAvatarMatResID[[#This Row],[SexID]]*1000+AvatarMatResID[[#This Row],[CountIndex]]</f>
        <v>12574</v>
      </c>
      <c r="G1244">
        <f>VLOOKUP(AvatarMatResID[[#This Row],[AvatarPart]],AvatarPartID[],2,0)</f>
        <v>1</v>
      </c>
      <c r="H1244">
        <f>VLOOKUP(AvatarMatResID[[#This Row],[Sex]],SexID[],2,0)</f>
        <v>2</v>
      </c>
      <c r="I1244" t="str">
        <f>AvatarMatResID[[#This Row],[Material]]</f>
        <v>Male White Casual 07C</v>
      </c>
    </row>
    <row r="1245" spans="1:9" x14ac:dyDescent="0.15">
      <c r="A1245" t="s">
        <v>454</v>
      </c>
      <c r="B1245" t="s">
        <v>1923</v>
      </c>
      <c r="C1245" t="s">
        <v>1580</v>
      </c>
      <c r="D1245">
        <v>575</v>
      </c>
      <c r="F1245">
        <f>OUTPUTAvatarMatResID[[#This Row],[AvatarPartID]]*10000+OUTPUTAvatarMatResID[[#This Row],[SexID]]*1000+AvatarMatResID[[#This Row],[CountIndex]]</f>
        <v>12575</v>
      </c>
      <c r="G1245">
        <f>VLOOKUP(AvatarMatResID[[#This Row],[AvatarPart]],AvatarPartID[],2,0)</f>
        <v>1</v>
      </c>
      <c r="H1245">
        <f>VLOOKUP(AvatarMatResID[[#This Row],[Sex]],SexID[],2,0)</f>
        <v>2</v>
      </c>
      <c r="I1245" t="str">
        <f>AvatarMatResID[[#This Row],[Material]]</f>
        <v>Male White Casual 08A</v>
      </c>
    </row>
    <row r="1246" spans="1:9" x14ac:dyDescent="0.15">
      <c r="A1246" t="s">
        <v>454</v>
      </c>
      <c r="B1246" t="s">
        <v>1923</v>
      </c>
      <c r="C1246" t="s">
        <v>1581</v>
      </c>
      <c r="D1246">
        <v>576</v>
      </c>
      <c r="F1246">
        <f>OUTPUTAvatarMatResID[[#This Row],[AvatarPartID]]*10000+OUTPUTAvatarMatResID[[#This Row],[SexID]]*1000+AvatarMatResID[[#This Row],[CountIndex]]</f>
        <v>12576</v>
      </c>
      <c r="G1246">
        <f>VLOOKUP(AvatarMatResID[[#This Row],[AvatarPart]],AvatarPartID[],2,0)</f>
        <v>1</v>
      </c>
      <c r="H1246">
        <f>VLOOKUP(AvatarMatResID[[#This Row],[Sex]],SexID[],2,0)</f>
        <v>2</v>
      </c>
      <c r="I1246" t="str">
        <f>AvatarMatResID[[#This Row],[Material]]</f>
        <v>Male White Casual 08B</v>
      </c>
    </row>
    <row r="1247" spans="1:9" x14ac:dyDescent="0.15">
      <c r="A1247" t="s">
        <v>454</v>
      </c>
      <c r="B1247" t="s">
        <v>1923</v>
      </c>
      <c r="C1247" t="s">
        <v>1582</v>
      </c>
      <c r="D1247">
        <v>577</v>
      </c>
      <c r="F1247">
        <f>OUTPUTAvatarMatResID[[#This Row],[AvatarPartID]]*10000+OUTPUTAvatarMatResID[[#This Row],[SexID]]*1000+AvatarMatResID[[#This Row],[CountIndex]]</f>
        <v>12577</v>
      </c>
      <c r="G1247">
        <f>VLOOKUP(AvatarMatResID[[#This Row],[AvatarPart]],AvatarPartID[],2,0)</f>
        <v>1</v>
      </c>
      <c r="H1247">
        <f>VLOOKUP(AvatarMatResID[[#This Row],[Sex]],SexID[],2,0)</f>
        <v>2</v>
      </c>
      <c r="I1247" t="str">
        <f>AvatarMatResID[[#This Row],[Material]]</f>
        <v>Male White Casual 08C</v>
      </c>
    </row>
    <row r="1248" spans="1:9" x14ac:dyDescent="0.15">
      <c r="A1248" t="s">
        <v>454</v>
      </c>
      <c r="B1248" t="s">
        <v>1923</v>
      </c>
      <c r="C1248" t="s">
        <v>1583</v>
      </c>
      <c r="D1248">
        <v>578</v>
      </c>
      <c r="F1248">
        <f>OUTPUTAvatarMatResID[[#This Row],[AvatarPartID]]*10000+OUTPUTAvatarMatResID[[#This Row],[SexID]]*1000+AvatarMatResID[[#This Row],[CountIndex]]</f>
        <v>12578</v>
      </c>
      <c r="G1248">
        <f>VLOOKUP(AvatarMatResID[[#This Row],[AvatarPart]],AvatarPartID[],2,0)</f>
        <v>1</v>
      </c>
      <c r="H1248">
        <f>VLOOKUP(AvatarMatResID[[#This Row],[Sex]],SexID[],2,0)</f>
        <v>2</v>
      </c>
      <c r="I1248" t="str">
        <f>AvatarMatResID[[#This Row],[Material]]</f>
        <v>Male White King 01 Black</v>
      </c>
    </row>
    <row r="1249" spans="1:9" x14ac:dyDescent="0.15">
      <c r="A1249" t="s">
        <v>454</v>
      </c>
      <c r="B1249" t="s">
        <v>1923</v>
      </c>
      <c r="C1249" t="s">
        <v>1584</v>
      </c>
      <c r="D1249">
        <v>579</v>
      </c>
      <c r="F1249">
        <f>OUTPUTAvatarMatResID[[#This Row],[AvatarPartID]]*10000+OUTPUTAvatarMatResID[[#This Row],[SexID]]*1000+AvatarMatResID[[#This Row],[CountIndex]]</f>
        <v>12579</v>
      </c>
      <c r="G1249">
        <f>VLOOKUP(AvatarMatResID[[#This Row],[AvatarPart]],AvatarPartID[],2,0)</f>
        <v>1</v>
      </c>
      <c r="H1249">
        <f>VLOOKUP(AvatarMatResID[[#This Row],[Sex]],SexID[],2,0)</f>
        <v>2</v>
      </c>
      <c r="I1249" t="str">
        <f>AvatarMatResID[[#This Row],[Material]]</f>
        <v>Male White King 01 Blue</v>
      </c>
    </row>
    <row r="1250" spans="1:9" x14ac:dyDescent="0.15">
      <c r="A1250" t="s">
        <v>454</v>
      </c>
      <c r="B1250" t="s">
        <v>1923</v>
      </c>
      <c r="C1250" t="s">
        <v>1585</v>
      </c>
      <c r="D1250">
        <v>580</v>
      </c>
      <c r="F1250">
        <f>OUTPUTAvatarMatResID[[#This Row],[AvatarPartID]]*10000+OUTPUTAvatarMatResID[[#This Row],[SexID]]*1000+AvatarMatResID[[#This Row],[CountIndex]]</f>
        <v>12580</v>
      </c>
      <c r="G1250">
        <f>VLOOKUP(AvatarMatResID[[#This Row],[AvatarPart]],AvatarPartID[],2,0)</f>
        <v>1</v>
      </c>
      <c r="H1250">
        <f>VLOOKUP(AvatarMatResID[[#This Row],[Sex]],SexID[],2,0)</f>
        <v>2</v>
      </c>
      <c r="I1250" t="str">
        <f>AvatarMatResID[[#This Row],[Material]]</f>
        <v>Male White King 01 Green</v>
      </c>
    </row>
    <row r="1251" spans="1:9" x14ac:dyDescent="0.15">
      <c r="A1251" t="s">
        <v>454</v>
      </c>
      <c r="B1251" t="s">
        <v>1923</v>
      </c>
      <c r="C1251" t="s">
        <v>1586</v>
      </c>
      <c r="D1251">
        <v>581</v>
      </c>
      <c r="F1251">
        <f>OUTPUTAvatarMatResID[[#This Row],[AvatarPartID]]*10000+OUTPUTAvatarMatResID[[#This Row],[SexID]]*1000+AvatarMatResID[[#This Row],[CountIndex]]</f>
        <v>12581</v>
      </c>
      <c r="G1251">
        <f>VLOOKUP(AvatarMatResID[[#This Row],[AvatarPart]],AvatarPartID[],2,0)</f>
        <v>1</v>
      </c>
      <c r="H1251">
        <f>VLOOKUP(AvatarMatResID[[#This Row],[Sex]],SexID[],2,0)</f>
        <v>2</v>
      </c>
      <c r="I1251" t="str">
        <f>AvatarMatResID[[#This Row],[Material]]</f>
        <v>Male White King 01 Magenta</v>
      </c>
    </row>
    <row r="1252" spans="1:9" x14ac:dyDescent="0.15">
      <c r="A1252" t="s">
        <v>454</v>
      </c>
      <c r="B1252" t="s">
        <v>1923</v>
      </c>
      <c r="C1252" t="s">
        <v>1587</v>
      </c>
      <c r="D1252">
        <v>582</v>
      </c>
      <c r="F1252">
        <f>OUTPUTAvatarMatResID[[#This Row],[AvatarPartID]]*10000+OUTPUTAvatarMatResID[[#This Row],[SexID]]*1000+AvatarMatResID[[#This Row],[CountIndex]]</f>
        <v>12582</v>
      </c>
      <c r="G1252">
        <f>VLOOKUP(AvatarMatResID[[#This Row],[AvatarPart]],AvatarPartID[],2,0)</f>
        <v>1</v>
      </c>
      <c r="H1252">
        <f>VLOOKUP(AvatarMatResID[[#This Row],[Sex]],SexID[],2,0)</f>
        <v>2</v>
      </c>
      <c r="I1252" t="str">
        <f>AvatarMatResID[[#This Row],[Material]]</f>
        <v>Male White King 01 Purple</v>
      </c>
    </row>
    <row r="1253" spans="1:9" x14ac:dyDescent="0.15">
      <c r="A1253" t="s">
        <v>454</v>
      </c>
      <c r="B1253" t="s">
        <v>1923</v>
      </c>
      <c r="C1253" t="s">
        <v>1588</v>
      </c>
      <c r="D1253">
        <v>583</v>
      </c>
      <c r="F1253">
        <f>OUTPUTAvatarMatResID[[#This Row],[AvatarPartID]]*10000+OUTPUTAvatarMatResID[[#This Row],[SexID]]*1000+AvatarMatResID[[#This Row],[CountIndex]]</f>
        <v>12583</v>
      </c>
      <c r="G1253">
        <f>VLOOKUP(AvatarMatResID[[#This Row],[AvatarPart]],AvatarPartID[],2,0)</f>
        <v>1</v>
      </c>
      <c r="H1253">
        <f>VLOOKUP(AvatarMatResID[[#This Row],[Sex]],SexID[],2,0)</f>
        <v>2</v>
      </c>
      <c r="I1253" t="str">
        <f>AvatarMatResID[[#This Row],[Material]]</f>
        <v>Male White King 01 Red</v>
      </c>
    </row>
    <row r="1254" spans="1:9" x14ac:dyDescent="0.15">
      <c r="A1254" t="s">
        <v>454</v>
      </c>
      <c r="B1254" t="s">
        <v>1923</v>
      </c>
      <c r="C1254" t="s">
        <v>1589</v>
      </c>
      <c r="D1254">
        <v>584</v>
      </c>
      <c r="F1254">
        <f>OUTPUTAvatarMatResID[[#This Row],[AvatarPartID]]*10000+OUTPUTAvatarMatResID[[#This Row],[SexID]]*1000+AvatarMatResID[[#This Row],[CountIndex]]</f>
        <v>12584</v>
      </c>
      <c r="G1254">
        <f>VLOOKUP(AvatarMatResID[[#This Row],[AvatarPart]],AvatarPartID[],2,0)</f>
        <v>1</v>
      </c>
      <c r="H1254">
        <f>VLOOKUP(AvatarMatResID[[#This Row],[Sex]],SexID[],2,0)</f>
        <v>2</v>
      </c>
      <c r="I1254" t="str">
        <f>AvatarMatResID[[#This Row],[Material]]</f>
        <v>Male White King 01 White</v>
      </c>
    </row>
    <row r="1255" spans="1:9" x14ac:dyDescent="0.15">
      <c r="A1255" t="s">
        <v>454</v>
      </c>
      <c r="B1255" t="s">
        <v>1923</v>
      </c>
      <c r="C1255" t="s">
        <v>1590</v>
      </c>
      <c r="D1255">
        <v>585</v>
      </c>
      <c r="F1255">
        <f>OUTPUTAvatarMatResID[[#This Row],[AvatarPartID]]*10000+OUTPUTAvatarMatResID[[#This Row],[SexID]]*1000+AvatarMatResID[[#This Row],[CountIndex]]</f>
        <v>12585</v>
      </c>
      <c r="G1255">
        <f>VLOOKUP(AvatarMatResID[[#This Row],[AvatarPart]],AvatarPartID[],2,0)</f>
        <v>1</v>
      </c>
      <c r="H1255">
        <f>VLOOKUP(AvatarMatResID[[#This Row],[Sex]],SexID[],2,0)</f>
        <v>2</v>
      </c>
      <c r="I1255" t="str">
        <f>AvatarMatResID[[#This Row],[Material]]</f>
        <v>Male White King 01 Yellow</v>
      </c>
    </row>
    <row r="1256" spans="1:9" x14ac:dyDescent="0.15">
      <c r="A1256" t="s">
        <v>454</v>
      </c>
      <c r="B1256" t="s">
        <v>1923</v>
      </c>
      <c r="C1256" t="s">
        <v>1595</v>
      </c>
      <c r="D1256">
        <v>586</v>
      </c>
      <c r="F1256">
        <f>OUTPUTAvatarMatResID[[#This Row],[AvatarPartID]]*10000+OUTPUTAvatarMatResID[[#This Row],[SexID]]*1000+AvatarMatResID[[#This Row],[CountIndex]]</f>
        <v>12586</v>
      </c>
      <c r="G1256">
        <f>VLOOKUP(AvatarMatResID[[#This Row],[AvatarPart]],AvatarPartID[],2,0)</f>
        <v>1</v>
      </c>
      <c r="H1256">
        <f>VLOOKUP(AvatarMatResID[[#This Row],[Sex]],SexID[],2,0)</f>
        <v>2</v>
      </c>
      <c r="I1256" t="str">
        <f>AvatarMatResID[[#This Row],[Material]]</f>
        <v>Male White Knight 01</v>
      </c>
    </row>
    <row r="1257" spans="1:9" x14ac:dyDescent="0.15">
      <c r="A1257" t="s">
        <v>454</v>
      </c>
      <c r="B1257" t="s">
        <v>1923</v>
      </c>
      <c r="C1257" t="s">
        <v>1591</v>
      </c>
      <c r="D1257">
        <v>587</v>
      </c>
      <c r="F1257">
        <f>OUTPUTAvatarMatResID[[#This Row],[AvatarPartID]]*10000+OUTPUTAvatarMatResID[[#This Row],[SexID]]*1000+AvatarMatResID[[#This Row],[CountIndex]]</f>
        <v>12587</v>
      </c>
      <c r="G1257">
        <f>VLOOKUP(AvatarMatResID[[#This Row],[AvatarPart]],AvatarPartID[],2,0)</f>
        <v>1</v>
      </c>
      <c r="H1257">
        <f>VLOOKUP(AvatarMatResID[[#This Row],[Sex]],SexID[],2,0)</f>
        <v>2</v>
      </c>
      <c r="I1257" t="str">
        <f>AvatarMatResID[[#This Row],[Material]]</f>
        <v>Male White Knight 01 Black</v>
      </c>
    </row>
    <row r="1258" spans="1:9" x14ac:dyDescent="0.15">
      <c r="A1258" t="s">
        <v>454</v>
      </c>
      <c r="B1258" t="s">
        <v>1923</v>
      </c>
      <c r="C1258" t="s">
        <v>1592</v>
      </c>
      <c r="D1258">
        <v>588</v>
      </c>
      <c r="F1258">
        <f>OUTPUTAvatarMatResID[[#This Row],[AvatarPartID]]*10000+OUTPUTAvatarMatResID[[#This Row],[SexID]]*1000+AvatarMatResID[[#This Row],[CountIndex]]</f>
        <v>12588</v>
      </c>
      <c r="G1258">
        <f>VLOOKUP(AvatarMatResID[[#This Row],[AvatarPart]],AvatarPartID[],2,0)</f>
        <v>1</v>
      </c>
      <c r="H1258">
        <f>VLOOKUP(AvatarMatResID[[#This Row],[Sex]],SexID[],2,0)</f>
        <v>2</v>
      </c>
      <c r="I1258" t="str">
        <f>AvatarMatResID[[#This Row],[Material]]</f>
        <v>Male White Knight 01 Blue</v>
      </c>
    </row>
    <row r="1259" spans="1:9" x14ac:dyDescent="0.15">
      <c r="A1259" t="s">
        <v>454</v>
      </c>
      <c r="B1259" t="s">
        <v>1923</v>
      </c>
      <c r="C1259" t="s">
        <v>1593</v>
      </c>
      <c r="D1259">
        <v>589</v>
      </c>
      <c r="F1259">
        <f>OUTPUTAvatarMatResID[[#This Row],[AvatarPartID]]*10000+OUTPUTAvatarMatResID[[#This Row],[SexID]]*1000+AvatarMatResID[[#This Row],[CountIndex]]</f>
        <v>12589</v>
      </c>
      <c r="G1259">
        <f>VLOOKUP(AvatarMatResID[[#This Row],[AvatarPart]],AvatarPartID[],2,0)</f>
        <v>1</v>
      </c>
      <c r="H1259">
        <f>VLOOKUP(AvatarMatResID[[#This Row],[Sex]],SexID[],2,0)</f>
        <v>2</v>
      </c>
      <c r="I1259" t="str">
        <f>AvatarMatResID[[#This Row],[Material]]</f>
        <v>Male White Knight 01 Red</v>
      </c>
    </row>
    <row r="1260" spans="1:9" x14ac:dyDescent="0.15">
      <c r="A1260" t="s">
        <v>454</v>
      </c>
      <c r="B1260" t="s">
        <v>1923</v>
      </c>
      <c r="C1260" t="s">
        <v>1594</v>
      </c>
      <c r="D1260">
        <v>590</v>
      </c>
      <c r="F1260">
        <f>OUTPUTAvatarMatResID[[#This Row],[AvatarPartID]]*10000+OUTPUTAvatarMatResID[[#This Row],[SexID]]*1000+AvatarMatResID[[#This Row],[CountIndex]]</f>
        <v>12590</v>
      </c>
      <c r="G1260">
        <f>VLOOKUP(AvatarMatResID[[#This Row],[AvatarPart]],AvatarPartID[],2,0)</f>
        <v>1</v>
      </c>
      <c r="H1260">
        <f>VLOOKUP(AvatarMatResID[[#This Row],[Sex]],SexID[],2,0)</f>
        <v>2</v>
      </c>
      <c r="I1260" t="str">
        <f>AvatarMatResID[[#This Row],[Material]]</f>
        <v>Male White Knight 01 White</v>
      </c>
    </row>
    <row r="1261" spans="1:9" x14ac:dyDescent="0.15">
      <c r="A1261" t="s">
        <v>454</v>
      </c>
      <c r="B1261" t="s">
        <v>1923</v>
      </c>
      <c r="C1261" t="s">
        <v>1596</v>
      </c>
      <c r="D1261">
        <v>591</v>
      </c>
      <c r="F1261">
        <f>OUTPUTAvatarMatResID[[#This Row],[AvatarPartID]]*10000+OUTPUTAvatarMatResID[[#This Row],[SexID]]*1000+AvatarMatResID[[#This Row],[CountIndex]]</f>
        <v>12591</v>
      </c>
      <c r="G1261">
        <f>VLOOKUP(AvatarMatResID[[#This Row],[AvatarPart]],AvatarPartID[],2,0)</f>
        <v>1</v>
      </c>
      <c r="H1261">
        <f>VLOOKUP(AvatarMatResID[[#This Row],[Sex]],SexID[],2,0)</f>
        <v>2</v>
      </c>
      <c r="I1261" t="str">
        <f>AvatarMatResID[[#This Row],[Material]]</f>
        <v>Male White Knight 02 Black</v>
      </c>
    </row>
    <row r="1262" spans="1:9" x14ac:dyDescent="0.15">
      <c r="A1262" t="s">
        <v>454</v>
      </c>
      <c r="B1262" t="s">
        <v>1923</v>
      </c>
      <c r="C1262" t="s">
        <v>1597</v>
      </c>
      <c r="D1262">
        <v>592</v>
      </c>
      <c r="F1262">
        <f>OUTPUTAvatarMatResID[[#This Row],[AvatarPartID]]*10000+OUTPUTAvatarMatResID[[#This Row],[SexID]]*1000+AvatarMatResID[[#This Row],[CountIndex]]</f>
        <v>12592</v>
      </c>
      <c r="G1262">
        <f>VLOOKUP(AvatarMatResID[[#This Row],[AvatarPart]],AvatarPartID[],2,0)</f>
        <v>1</v>
      </c>
      <c r="H1262">
        <f>VLOOKUP(AvatarMatResID[[#This Row],[Sex]],SexID[],2,0)</f>
        <v>2</v>
      </c>
      <c r="I1262" t="str">
        <f>AvatarMatResID[[#This Row],[Material]]</f>
        <v>Male White Knight 02 Blue</v>
      </c>
    </row>
    <row r="1263" spans="1:9" x14ac:dyDescent="0.15">
      <c r="A1263" t="s">
        <v>454</v>
      </c>
      <c r="B1263" t="s">
        <v>1923</v>
      </c>
      <c r="C1263" t="s">
        <v>1598</v>
      </c>
      <c r="D1263">
        <v>593</v>
      </c>
      <c r="F1263">
        <f>OUTPUTAvatarMatResID[[#This Row],[AvatarPartID]]*10000+OUTPUTAvatarMatResID[[#This Row],[SexID]]*1000+AvatarMatResID[[#This Row],[CountIndex]]</f>
        <v>12593</v>
      </c>
      <c r="G1263">
        <f>VLOOKUP(AvatarMatResID[[#This Row],[AvatarPart]],AvatarPartID[],2,0)</f>
        <v>1</v>
      </c>
      <c r="H1263">
        <f>VLOOKUP(AvatarMatResID[[#This Row],[Sex]],SexID[],2,0)</f>
        <v>2</v>
      </c>
      <c r="I1263" t="str">
        <f>AvatarMatResID[[#This Row],[Material]]</f>
        <v>Male White Knight 02 Green</v>
      </c>
    </row>
    <row r="1264" spans="1:9" x14ac:dyDescent="0.15">
      <c r="A1264" t="s">
        <v>454</v>
      </c>
      <c r="B1264" t="s">
        <v>1923</v>
      </c>
      <c r="C1264" t="s">
        <v>1599</v>
      </c>
      <c r="D1264">
        <v>594</v>
      </c>
      <c r="F1264">
        <f>OUTPUTAvatarMatResID[[#This Row],[AvatarPartID]]*10000+OUTPUTAvatarMatResID[[#This Row],[SexID]]*1000+AvatarMatResID[[#This Row],[CountIndex]]</f>
        <v>12594</v>
      </c>
      <c r="G1264">
        <f>VLOOKUP(AvatarMatResID[[#This Row],[AvatarPart]],AvatarPartID[],2,0)</f>
        <v>1</v>
      </c>
      <c r="H1264">
        <f>VLOOKUP(AvatarMatResID[[#This Row],[Sex]],SexID[],2,0)</f>
        <v>2</v>
      </c>
      <c r="I1264" t="str">
        <f>AvatarMatResID[[#This Row],[Material]]</f>
        <v>Male White Knight 02 Purple</v>
      </c>
    </row>
    <row r="1265" spans="1:9" x14ac:dyDescent="0.15">
      <c r="A1265" t="s">
        <v>454</v>
      </c>
      <c r="B1265" t="s">
        <v>1923</v>
      </c>
      <c r="C1265" t="s">
        <v>1600</v>
      </c>
      <c r="D1265">
        <v>595</v>
      </c>
      <c r="F1265">
        <f>OUTPUTAvatarMatResID[[#This Row],[AvatarPartID]]*10000+OUTPUTAvatarMatResID[[#This Row],[SexID]]*1000+AvatarMatResID[[#This Row],[CountIndex]]</f>
        <v>12595</v>
      </c>
      <c r="G1265">
        <f>VLOOKUP(AvatarMatResID[[#This Row],[AvatarPart]],AvatarPartID[],2,0)</f>
        <v>1</v>
      </c>
      <c r="H1265">
        <f>VLOOKUP(AvatarMatResID[[#This Row],[Sex]],SexID[],2,0)</f>
        <v>2</v>
      </c>
      <c r="I1265" t="str">
        <f>AvatarMatResID[[#This Row],[Material]]</f>
        <v>Male White Knight 02 Red</v>
      </c>
    </row>
    <row r="1266" spans="1:9" x14ac:dyDescent="0.15">
      <c r="A1266" t="s">
        <v>454</v>
      </c>
      <c r="B1266" t="s">
        <v>1923</v>
      </c>
      <c r="C1266" t="s">
        <v>1601</v>
      </c>
      <c r="D1266">
        <v>596</v>
      </c>
      <c r="F1266">
        <f>OUTPUTAvatarMatResID[[#This Row],[AvatarPartID]]*10000+OUTPUTAvatarMatResID[[#This Row],[SexID]]*1000+AvatarMatResID[[#This Row],[CountIndex]]</f>
        <v>12596</v>
      </c>
      <c r="G1266">
        <f>VLOOKUP(AvatarMatResID[[#This Row],[AvatarPart]],AvatarPartID[],2,0)</f>
        <v>1</v>
      </c>
      <c r="H1266">
        <f>VLOOKUP(AvatarMatResID[[#This Row],[Sex]],SexID[],2,0)</f>
        <v>2</v>
      </c>
      <c r="I1266" t="str">
        <f>AvatarMatResID[[#This Row],[Material]]</f>
        <v>Male White Knight 02 White</v>
      </c>
    </row>
    <row r="1267" spans="1:9" x14ac:dyDescent="0.15">
      <c r="A1267" t="s">
        <v>454</v>
      </c>
      <c r="B1267" t="s">
        <v>1923</v>
      </c>
      <c r="C1267" t="s">
        <v>1602</v>
      </c>
      <c r="D1267">
        <v>597</v>
      </c>
      <c r="F1267">
        <f>OUTPUTAvatarMatResID[[#This Row],[AvatarPartID]]*10000+OUTPUTAvatarMatResID[[#This Row],[SexID]]*1000+AvatarMatResID[[#This Row],[CountIndex]]</f>
        <v>12597</v>
      </c>
      <c r="G1267">
        <f>VLOOKUP(AvatarMatResID[[#This Row],[AvatarPart]],AvatarPartID[],2,0)</f>
        <v>1</v>
      </c>
      <c r="H1267">
        <f>VLOOKUP(AvatarMatResID[[#This Row],[Sex]],SexID[],2,0)</f>
        <v>2</v>
      </c>
      <c r="I1267" t="str">
        <f>AvatarMatResID[[#This Row],[Material]]</f>
        <v>Male White Knight 03 Black</v>
      </c>
    </row>
    <row r="1268" spans="1:9" x14ac:dyDescent="0.15">
      <c r="A1268" t="s">
        <v>454</v>
      </c>
      <c r="B1268" t="s">
        <v>1923</v>
      </c>
      <c r="C1268" t="s">
        <v>1603</v>
      </c>
      <c r="D1268">
        <v>598</v>
      </c>
      <c r="F1268">
        <f>OUTPUTAvatarMatResID[[#This Row],[AvatarPartID]]*10000+OUTPUTAvatarMatResID[[#This Row],[SexID]]*1000+AvatarMatResID[[#This Row],[CountIndex]]</f>
        <v>12598</v>
      </c>
      <c r="G1268">
        <f>VLOOKUP(AvatarMatResID[[#This Row],[AvatarPart]],AvatarPartID[],2,0)</f>
        <v>1</v>
      </c>
      <c r="H1268">
        <f>VLOOKUP(AvatarMatResID[[#This Row],[Sex]],SexID[],2,0)</f>
        <v>2</v>
      </c>
      <c r="I1268" t="str">
        <f>AvatarMatResID[[#This Row],[Material]]</f>
        <v>Male White Knight 03 Blue</v>
      </c>
    </row>
    <row r="1269" spans="1:9" x14ac:dyDescent="0.15">
      <c r="A1269" t="s">
        <v>454</v>
      </c>
      <c r="B1269" t="s">
        <v>1923</v>
      </c>
      <c r="C1269" t="s">
        <v>1604</v>
      </c>
      <c r="D1269">
        <v>599</v>
      </c>
      <c r="F1269">
        <f>OUTPUTAvatarMatResID[[#This Row],[AvatarPartID]]*10000+OUTPUTAvatarMatResID[[#This Row],[SexID]]*1000+AvatarMatResID[[#This Row],[CountIndex]]</f>
        <v>12599</v>
      </c>
      <c r="G1269">
        <f>VLOOKUP(AvatarMatResID[[#This Row],[AvatarPart]],AvatarPartID[],2,0)</f>
        <v>1</v>
      </c>
      <c r="H1269">
        <f>VLOOKUP(AvatarMatResID[[#This Row],[Sex]],SexID[],2,0)</f>
        <v>2</v>
      </c>
      <c r="I1269" t="str">
        <f>AvatarMatResID[[#This Row],[Material]]</f>
        <v>Male White Knight 03 Brown</v>
      </c>
    </row>
    <row r="1270" spans="1:9" x14ac:dyDescent="0.15">
      <c r="A1270" t="s">
        <v>454</v>
      </c>
      <c r="B1270" t="s">
        <v>1923</v>
      </c>
      <c r="C1270" t="s">
        <v>1605</v>
      </c>
      <c r="D1270">
        <v>600</v>
      </c>
      <c r="F1270">
        <f>OUTPUTAvatarMatResID[[#This Row],[AvatarPartID]]*10000+OUTPUTAvatarMatResID[[#This Row],[SexID]]*1000+AvatarMatResID[[#This Row],[CountIndex]]</f>
        <v>12600</v>
      </c>
      <c r="G1270">
        <f>VLOOKUP(AvatarMatResID[[#This Row],[AvatarPart]],AvatarPartID[],2,0)</f>
        <v>1</v>
      </c>
      <c r="H1270">
        <f>VLOOKUP(AvatarMatResID[[#This Row],[Sex]],SexID[],2,0)</f>
        <v>2</v>
      </c>
      <c r="I1270" t="str">
        <f>AvatarMatResID[[#This Row],[Material]]</f>
        <v>Male White Knight 03 Green</v>
      </c>
    </row>
    <row r="1271" spans="1:9" x14ac:dyDescent="0.15">
      <c r="A1271" t="s">
        <v>454</v>
      </c>
      <c r="B1271" t="s">
        <v>1923</v>
      </c>
      <c r="C1271" t="s">
        <v>1606</v>
      </c>
      <c r="D1271">
        <v>601</v>
      </c>
      <c r="F1271">
        <f>OUTPUTAvatarMatResID[[#This Row],[AvatarPartID]]*10000+OUTPUTAvatarMatResID[[#This Row],[SexID]]*1000+AvatarMatResID[[#This Row],[CountIndex]]</f>
        <v>12601</v>
      </c>
      <c r="G1271">
        <f>VLOOKUP(AvatarMatResID[[#This Row],[AvatarPart]],AvatarPartID[],2,0)</f>
        <v>1</v>
      </c>
      <c r="H1271">
        <f>VLOOKUP(AvatarMatResID[[#This Row],[Sex]],SexID[],2,0)</f>
        <v>2</v>
      </c>
      <c r="I1271" t="str">
        <f>AvatarMatResID[[#This Row],[Material]]</f>
        <v>Male White Knight 03 Magenta</v>
      </c>
    </row>
    <row r="1272" spans="1:9" x14ac:dyDescent="0.15">
      <c r="A1272" t="s">
        <v>454</v>
      </c>
      <c r="B1272" t="s">
        <v>1923</v>
      </c>
      <c r="C1272" t="s">
        <v>1607</v>
      </c>
      <c r="D1272">
        <v>602</v>
      </c>
      <c r="F1272">
        <f>OUTPUTAvatarMatResID[[#This Row],[AvatarPartID]]*10000+OUTPUTAvatarMatResID[[#This Row],[SexID]]*1000+AvatarMatResID[[#This Row],[CountIndex]]</f>
        <v>12602</v>
      </c>
      <c r="G1272">
        <f>VLOOKUP(AvatarMatResID[[#This Row],[AvatarPart]],AvatarPartID[],2,0)</f>
        <v>1</v>
      </c>
      <c r="H1272">
        <f>VLOOKUP(AvatarMatResID[[#This Row],[Sex]],SexID[],2,0)</f>
        <v>2</v>
      </c>
      <c r="I1272" t="str">
        <f>AvatarMatResID[[#This Row],[Material]]</f>
        <v>Male White Knight 03 Purple</v>
      </c>
    </row>
    <row r="1273" spans="1:9" x14ac:dyDescent="0.15">
      <c r="A1273" t="s">
        <v>454</v>
      </c>
      <c r="B1273" t="s">
        <v>1923</v>
      </c>
      <c r="C1273" t="s">
        <v>1608</v>
      </c>
      <c r="D1273">
        <v>603</v>
      </c>
      <c r="F1273">
        <f>OUTPUTAvatarMatResID[[#This Row],[AvatarPartID]]*10000+OUTPUTAvatarMatResID[[#This Row],[SexID]]*1000+AvatarMatResID[[#This Row],[CountIndex]]</f>
        <v>12603</v>
      </c>
      <c r="G1273">
        <f>VLOOKUP(AvatarMatResID[[#This Row],[AvatarPart]],AvatarPartID[],2,0)</f>
        <v>1</v>
      </c>
      <c r="H1273">
        <f>VLOOKUP(AvatarMatResID[[#This Row],[Sex]],SexID[],2,0)</f>
        <v>2</v>
      </c>
      <c r="I1273" t="str">
        <f>AvatarMatResID[[#This Row],[Material]]</f>
        <v>Male White Knight 03 Red</v>
      </c>
    </row>
    <row r="1274" spans="1:9" x14ac:dyDescent="0.15">
      <c r="A1274" t="s">
        <v>454</v>
      </c>
      <c r="B1274" t="s">
        <v>1923</v>
      </c>
      <c r="C1274" t="s">
        <v>1609</v>
      </c>
      <c r="D1274">
        <v>604</v>
      </c>
      <c r="F1274">
        <f>OUTPUTAvatarMatResID[[#This Row],[AvatarPartID]]*10000+OUTPUTAvatarMatResID[[#This Row],[SexID]]*1000+AvatarMatResID[[#This Row],[CountIndex]]</f>
        <v>12604</v>
      </c>
      <c r="G1274">
        <f>VLOOKUP(AvatarMatResID[[#This Row],[AvatarPart]],AvatarPartID[],2,0)</f>
        <v>1</v>
      </c>
      <c r="H1274">
        <f>VLOOKUP(AvatarMatResID[[#This Row],[Sex]],SexID[],2,0)</f>
        <v>2</v>
      </c>
      <c r="I1274" t="str">
        <f>AvatarMatResID[[#This Row],[Material]]</f>
        <v>Male White Knight 03 White</v>
      </c>
    </row>
    <row r="1275" spans="1:9" x14ac:dyDescent="0.15">
      <c r="A1275" t="s">
        <v>454</v>
      </c>
      <c r="B1275" t="s">
        <v>1923</v>
      </c>
      <c r="C1275" t="s">
        <v>1610</v>
      </c>
      <c r="D1275">
        <v>605</v>
      </c>
      <c r="F1275">
        <f>OUTPUTAvatarMatResID[[#This Row],[AvatarPartID]]*10000+OUTPUTAvatarMatResID[[#This Row],[SexID]]*1000+AvatarMatResID[[#This Row],[CountIndex]]</f>
        <v>12605</v>
      </c>
      <c r="G1275">
        <f>VLOOKUP(AvatarMatResID[[#This Row],[AvatarPart]],AvatarPartID[],2,0)</f>
        <v>1</v>
      </c>
      <c r="H1275">
        <f>VLOOKUP(AvatarMatResID[[#This Row],[Sex]],SexID[],2,0)</f>
        <v>2</v>
      </c>
      <c r="I1275" t="str">
        <f>AvatarMatResID[[#This Row],[Material]]</f>
        <v>Male White Knight 04 Black</v>
      </c>
    </row>
    <row r="1276" spans="1:9" x14ac:dyDescent="0.15">
      <c r="A1276" t="s">
        <v>454</v>
      </c>
      <c r="B1276" t="s">
        <v>1923</v>
      </c>
      <c r="C1276" t="s">
        <v>1611</v>
      </c>
      <c r="D1276">
        <v>606</v>
      </c>
      <c r="F1276">
        <f>OUTPUTAvatarMatResID[[#This Row],[AvatarPartID]]*10000+OUTPUTAvatarMatResID[[#This Row],[SexID]]*1000+AvatarMatResID[[#This Row],[CountIndex]]</f>
        <v>12606</v>
      </c>
      <c r="G1276">
        <f>VLOOKUP(AvatarMatResID[[#This Row],[AvatarPart]],AvatarPartID[],2,0)</f>
        <v>1</v>
      </c>
      <c r="H1276">
        <f>VLOOKUP(AvatarMatResID[[#This Row],[Sex]],SexID[],2,0)</f>
        <v>2</v>
      </c>
      <c r="I1276" t="str">
        <f>AvatarMatResID[[#This Row],[Material]]</f>
        <v>Male White Knight 04 Blue</v>
      </c>
    </row>
    <row r="1277" spans="1:9" x14ac:dyDescent="0.15">
      <c r="A1277" t="s">
        <v>454</v>
      </c>
      <c r="B1277" t="s">
        <v>1923</v>
      </c>
      <c r="C1277" t="s">
        <v>1612</v>
      </c>
      <c r="D1277">
        <v>607</v>
      </c>
      <c r="F1277">
        <f>OUTPUTAvatarMatResID[[#This Row],[AvatarPartID]]*10000+OUTPUTAvatarMatResID[[#This Row],[SexID]]*1000+AvatarMatResID[[#This Row],[CountIndex]]</f>
        <v>12607</v>
      </c>
      <c r="G1277">
        <f>VLOOKUP(AvatarMatResID[[#This Row],[AvatarPart]],AvatarPartID[],2,0)</f>
        <v>1</v>
      </c>
      <c r="H1277">
        <f>VLOOKUP(AvatarMatResID[[#This Row],[Sex]],SexID[],2,0)</f>
        <v>2</v>
      </c>
      <c r="I1277" t="str">
        <f>AvatarMatResID[[#This Row],[Material]]</f>
        <v>Male White Knight 04 Brown</v>
      </c>
    </row>
    <row r="1278" spans="1:9" x14ac:dyDescent="0.15">
      <c r="A1278" t="s">
        <v>454</v>
      </c>
      <c r="B1278" t="s">
        <v>1923</v>
      </c>
      <c r="C1278" t="s">
        <v>1613</v>
      </c>
      <c r="D1278">
        <v>608</v>
      </c>
      <c r="F1278">
        <f>OUTPUTAvatarMatResID[[#This Row],[AvatarPartID]]*10000+OUTPUTAvatarMatResID[[#This Row],[SexID]]*1000+AvatarMatResID[[#This Row],[CountIndex]]</f>
        <v>12608</v>
      </c>
      <c r="G1278">
        <f>VLOOKUP(AvatarMatResID[[#This Row],[AvatarPart]],AvatarPartID[],2,0)</f>
        <v>1</v>
      </c>
      <c r="H1278">
        <f>VLOOKUP(AvatarMatResID[[#This Row],[Sex]],SexID[],2,0)</f>
        <v>2</v>
      </c>
      <c r="I1278" t="str">
        <f>AvatarMatResID[[#This Row],[Material]]</f>
        <v>Male White Knight 04 Green</v>
      </c>
    </row>
    <row r="1279" spans="1:9" x14ac:dyDescent="0.15">
      <c r="A1279" t="s">
        <v>454</v>
      </c>
      <c r="B1279" t="s">
        <v>1923</v>
      </c>
      <c r="C1279" t="s">
        <v>1614</v>
      </c>
      <c r="D1279">
        <v>609</v>
      </c>
      <c r="F1279">
        <f>OUTPUTAvatarMatResID[[#This Row],[AvatarPartID]]*10000+OUTPUTAvatarMatResID[[#This Row],[SexID]]*1000+AvatarMatResID[[#This Row],[CountIndex]]</f>
        <v>12609</v>
      </c>
      <c r="G1279">
        <f>VLOOKUP(AvatarMatResID[[#This Row],[AvatarPart]],AvatarPartID[],2,0)</f>
        <v>1</v>
      </c>
      <c r="H1279">
        <f>VLOOKUP(AvatarMatResID[[#This Row],[Sex]],SexID[],2,0)</f>
        <v>2</v>
      </c>
      <c r="I1279" t="str">
        <f>AvatarMatResID[[#This Row],[Material]]</f>
        <v>Male White Knight 04 Magenta</v>
      </c>
    </row>
    <row r="1280" spans="1:9" x14ac:dyDescent="0.15">
      <c r="A1280" t="s">
        <v>454</v>
      </c>
      <c r="B1280" t="s">
        <v>1923</v>
      </c>
      <c r="C1280" t="s">
        <v>1615</v>
      </c>
      <c r="D1280">
        <v>610</v>
      </c>
      <c r="F1280">
        <f>OUTPUTAvatarMatResID[[#This Row],[AvatarPartID]]*10000+OUTPUTAvatarMatResID[[#This Row],[SexID]]*1000+AvatarMatResID[[#This Row],[CountIndex]]</f>
        <v>12610</v>
      </c>
      <c r="G1280">
        <f>VLOOKUP(AvatarMatResID[[#This Row],[AvatarPart]],AvatarPartID[],2,0)</f>
        <v>1</v>
      </c>
      <c r="H1280">
        <f>VLOOKUP(AvatarMatResID[[#This Row],[Sex]],SexID[],2,0)</f>
        <v>2</v>
      </c>
      <c r="I1280" t="str">
        <f>AvatarMatResID[[#This Row],[Material]]</f>
        <v>Male White Knight 04 Purple</v>
      </c>
    </row>
    <row r="1281" spans="1:9" x14ac:dyDescent="0.15">
      <c r="A1281" t="s">
        <v>454</v>
      </c>
      <c r="B1281" t="s">
        <v>1923</v>
      </c>
      <c r="C1281" t="s">
        <v>1616</v>
      </c>
      <c r="D1281">
        <v>611</v>
      </c>
      <c r="F1281">
        <f>OUTPUTAvatarMatResID[[#This Row],[AvatarPartID]]*10000+OUTPUTAvatarMatResID[[#This Row],[SexID]]*1000+AvatarMatResID[[#This Row],[CountIndex]]</f>
        <v>12611</v>
      </c>
      <c r="G1281">
        <f>VLOOKUP(AvatarMatResID[[#This Row],[AvatarPart]],AvatarPartID[],2,0)</f>
        <v>1</v>
      </c>
      <c r="H1281">
        <f>VLOOKUP(AvatarMatResID[[#This Row],[Sex]],SexID[],2,0)</f>
        <v>2</v>
      </c>
      <c r="I1281" t="str">
        <f>AvatarMatResID[[#This Row],[Material]]</f>
        <v>Male White Knight 04 Red</v>
      </c>
    </row>
    <row r="1282" spans="1:9" x14ac:dyDescent="0.15">
      <c r="A1282" t="s">
        <v>454</v>
      </c>
      <c r="B1282" t="s">
        <v>1923</v>
      </c>
      <c r="C1282" t="s">
        <v>1617</v>
      </c>
      <c r="D1282">
        <v>612</v>
      </c>
      <c r="F1282">
        <f>OUTPUTAvatarMatResID[[#This Row],[AvatarPartID]]*10000+OUTPUTAvatarMatResID[[#This Row],[SexID]]*1000+AvatarMatResID[[#This Row],[CountIndex]]</f>
        <v>12612</v>
      </c>
      <c r="G1282">
        <f>VLOOKUP(AvatarMatResID[[#This Row],[AvatarPart]],AvatarPartID[],2,0)</f>
        <v>1</v>
      </c>
      <c r="H1282">
        <f>VLOOKUP(AvatarMatResID[[#This Row],[Sex]],SexID[],2,0)</f>
        <v>2</v>
      </c>
      <c r="I1282" t="str">
        <f>AvatarMatResID[[#This Row],[Material]]</f>
        <v>Male White Knight 04 White</v>
      </c>
    </row>
    <row r="1283" spans="1:9" x14ac:dyDescent="0.15">
      <c r="A1283" t="s">
        <v>454</v>
      </c>
      <c r="B1283" t="s">
        <v>1923</v>
      </c>
      <c r="C1283" t="s">
        <v>1618</v>
      </c>
      <c r="D1283">
        <v>613</v>
      </c>
      <c r="F1283">
        <f>OUTPUTAvatarMatResID[[#This Row],[AvatarPartID]]*10000+OUTPUTAvatarMatResID[[#This Row],[SexID]]*1000+AvatarMatResID[[#This Row],[CountIndex]]</f>
        <v>12613</v>
      </c>
      <c r="G1283">
        <f>VLOOKUP(AvatarMatResID[[#This Row],[AvatarPart]],AvatarPartID[],2,0)</f>
        <v>1</v>
      </c>
      <c r="H1283">
        <f>VLOOKUP(AvatarMatResID[[#This Row],[Sex]],SexID[],2,0)</f>
        <v>2</v>
      </c>
      <c r="I1283" t="str">
        <f>AvatarMatResID[[#This Row],[Material]]</f>
        <v>Male White Knight 05 Black</v>
      </c>
    </row>
    <row r="1284" spans="1:9" x14ac:dyDescent="0.15">
      <c r="A1284" t="s">
        <v>454</v>
      </c>
      <c r="B1284" t="s">
        <v>1923</v>
      </c>
      <c r="C1284" t="s">
        <v>1619</v>
      </c>
      <c r="D1284">
        <v>614</v>
      </c>
      <c r="F1284">
        <f>OUTPUTAvatarMatResID[[#This Row],[AvatarPartID]]*10000+OUTPUTAvatarMatResID[[#This Row],[SexID]]*1000+AvatarMatResID[[#This Row],[CountIndex]]</f>
        <v>12614</v>
      </c>
      <c r="G1284">
        <f>VLOOKUP(AvatarMatResID[[#This Row],[AvatarPart]],AvatarPartID[],2,0)</f>
        <v>1</v>
      </c>
      <c r="H1284">
        <f>VLOOKUP(AvatarMatResID[[#This Row],[Sex]],SexID[],2,0)</f>
        <v>2</v>
      </c>
      <c r="I1284" t="str">
        <f>AvatarMatResID[[#This Row],[Material]]</f>
        <v>Male White Knight 05 Blue</v>
      </c>
    </row>
    <row r="1285" spans="1:9" x14ac:dyDescent="0.15">
      <c r="A1285" t="s">
        <v>454</v>
      </c>
      <c r="B1285" t="s">
        <v>1923</v>
      </c>
      <c r="C1285" t="s">
        <v>1620</v>
      </c>
      <c r="D1285">
        <v>615</v>
      </c>
      <c r="F1285">
        <f>OUTPUTAvatarMatResID[[#This Row],[AvatarPartID]]*10000+OUTPUTAvatarMatResID[[#This Row],[SexID]]*1000+AvatarMatResID[[#This Row],[CountIndex]]</f>
        <v>12615</v>
      </c>
      <c r="G1285">
        <f>VLOOKUP(AvatarMatResID[[#This Row],[AvatarPart]],AvatarPartID[],2,0)</f>
        <v>1</v>
      </c>
      <c r="H1285">
        <f>VLOOKUP(AvatarMatResID[[#This Row],[Sex]],SexID[],2,0)</f>
        <v>2</v>
      </c>
      <c r="I1285" t="str">
        <f>AvatarMatResID[[#This Row],[Material]]</f>
        <v>Male White Knight 05 Brown</v>
      </c>
    </row>
    <row r="1286" spans="1:9" x14ac:dyDescent="0.15">
      <c r="A1286" t="s">
        <v>454</v>
      </c>
      <c r="B1286" t="s">
        <v>1923</v>
      </c>
      <c r="C1286" t="s">
        <v>1621</v>
      </c>
      <c r="D1286">
        <v>616</v>
      </c>
      <c r="F1286">
        <f>OUTPUTAvatarMatResID[[#This Row],[AvatarPartID]]*10000+OUTPUTAvatarMatResID[[#This Row],[SexID]]*1000+AvatarMatResID[[#This Row],[CountIndex]]</f>
        <v>12616</v>
      </c>
      <c r="G1286">
        <f>VLOOKUP(AvatarMatResID[[#This Row],[AvatarPart]],AvatarPartID[],2,0)</f>
        <v>1</v>
      </c>
      <c r="H1286">
        <f>VLOOKUP(AvatarMatResID[[#This Row],[Sex]],SexID[],2,0)</f>
        <v>2</v>
      </c>
      <c r="I1286" t="str">
        <f>AvatarMatResID[[#This Row],[Material]]</f>
        <v>Male White Knight 05 Green</v>
      </c>
    </row>
    <row r="1287" spans="1:9" x14ac:dyDescent="0.15">
      <c r="A1287" t="s">
        <v>454</v>
      </c>
      <c r="B1287" t="s">
        <v>1923</v>
      </c>
      <c r="C1287" t="s">
        <v>1622</v>
      </c>
      <c r="D1287">
        <v>617</v>
      </c>
      <c r="F1287">
        <f>OUTPUTAvatarMatResID[[#This Row],[AvatarPartID]]*10000+OUTPUTAvatarMatResID[[#This Row],[SexID]]*1000+AvatarMatResID[[#This Row],[CountIndex]]</f>
        <v>12617</v>
      </c>
      <c r="G1287">
        <f>VLOOKUP(AvatarMatResID[[#This Row],[AvatarPart]],AvatarPartID[],2,0)</f>
        <v>1</v>
      </c>
      <c r="H1287">
        <f>VLOOKUP(AvatarMatResID[[#This Row],[Sex]],SexID[],2,0)</f>
        <v>2</v>
      </c>
      <c r="I1287" t="str">
        <f>AvatarMatResID[[#This Row],[Material]]</f>
        <v>Male White Knight 05 Magenta</v>
      </c>
    </row>
    <row r="1288" spans="1:9" x14ac:dyDescent="0.15">
      <c r="A1288" t="s">
        <v>454</v>
      </c>
      <c r="B1288" t="s">
        <v>1923</v>
      </c>
      <c r="C1288" t="s">
        <v>1623</v>
      </c>
      <c r="D1288">
        <v>618</v>
      </c>
      <c r="F1288">
        <f>OUTPUTAvatarMatResID[[#This Row],[AvatarPartID]]*10000+OUTPUTAvatarMatResID[[#This Row],[SexID]]*1000+AvatarMatResID[[#This Row],[CountIndex]]</f>
        <v>12618</v>
      </c>
      <c r="G1288">
        <f>VLOOKUP(AvatarMatResID[[#This Row],[AvatarPart]],AvatarPartID[],2,0)</f>
        <v>1</v>
      </c>
      <c r="H1288">
        <f>VLOOKUP(AvatarMatResID[[#This Row],[Sex]],SexID[],2,0)</f>
        <v>2</v>
      </c>
      <c r="I1288" t="str">
        <f>AvatarMatResID[[#This Row],[Material]]</f>
        <v>Male White Knight 05 Purple</v>
      </c>
    </row>
    <row r="1289" spans="1:9" x14ac:dyDescent="0.15">
      <c r="A1289" t="s">
        <v>454</v>
      </c>
      <c r="B1289" t="s">
        <v>1923</v>
      </c>
      <c r="C1289" t="s">
        <v>1624</v>
      </c>
      <c r="D1289">
        <v>619</v>
      </c>
      <c r="F1289">
        <f>OUTPUTAvatarMatResID[[#This Row],[AvatarPartID]]*10000+OUTPUTAvatarMatResID[[#This Row],[SexID]]*1000+AvatarMatResID[[#This Row],[CountIndex]]</f>
        <v>12619</v>
      </c>
      <c r="G1289">
        <f>VLOOKUP(AvatarMatResID[[#This Row],[AvatarPart]],AvatarPartID[],2,0)</f>
        <v>1</v>
      </c>
      <c r="H1289">
        <f>VLOOKUP(AvatarMatResID[[#This Row],[Sex]],SexID[],2,0)</f>
        <v>2</v>
      </c>
      <c r="I1289" t="str">
        <f>AvatarMatResID[[#This Row],[Material]]</f>
        <v>Male White Knight 05 Red</v>
      </c>
    </row>
    <row r="1290" spans="1:9" x14ac:dyDescent="0.15">
      <c r="A1290" t="s">
        <v>454</v>
      </c>
      <c r="B1290" t="s">
        <v>1923</v>
      </c>
      <c r="C1290" t="s">
        <v>1625</v>
      </c>
      <c r="D1290">
        <v>620</v>
      </c>
      <c r="F1290">
        <f>OUTPUTAvatarMatResID[[#This Row],[AvatarPartID]]*10000+OUTPUTAvatarMatResID[[#This Row],[SexID]]*1000+AvatarMatResID[[#This Row],[CountIndex]]</f>
        <v>12620</v>
      </c>
      <c r="G1290">
        <f>VLOOKUP(AvatarMatResID[[#This Row],[AvatarPart]],AvatarPartID[],2,0)</f>
        <v>1</v>
      </c>
      <c r="H1290">
        <f>VLOOKUP(AvatarMatResID[[#This Row],[Sex]],SexID[],2,0)</f>
        <v>2</v>
      </c>
      <c r="I1290" t="str">
        <f>AvatarMatResID[[#This Row],[Material]]</f>
        <v>Male White Knight 05 White</v>
      </c>
    </row>
    <row r="1291" spans="1:9" x14ac:dyDescent="0.15">
      <c r="A1291" t="s">
        <v>454</v>
      </c>
      <c r="B1291" t="s">
        <v>1923</v>
      </c>
      <c r="C1291" t="s">
        <v>1626</v>
      </c>
      <c r="D1291">
        <v>621</v>
      </c>
      <c r="F1291">
        <f>OUTPUTAvatarMatResID[[#This Row],[AvatarPartID]]*10000+OUTPUTAvatarMatResID[[#This Row],[SexID]]*1000+AvatarMatResID[[#This Row],[CountIndex]]</f>
        <v>12621</v>
      </c>
      <c r="G1291">
        <f>VLOOKUP(AvatarMatResID[[#This Row],[AvatarPart]],AvatarPartID[],2,0)</f>
        <v>1</v>
      </c>
      <c r="H1291">
        <f>VLOOKUP(AvatarMatResID[[#This Row],[Sex]],SexID[],2,0)</f>
        <v>2</v>
      </c>
      <c r="I1291" t="str">
        <f>AvatarMatResID[[#This Row],[Material]]</f>
        <v>Male White Knight 06 Black</v>
      </c>
    </row>
    <row r="1292" spans="1:9" x14ac:dyDescent="0.15">
      <c r="A1292" t="s">
        <v>454</v>
      </c>
      <c r="B1292" t="s">
        <v>1923</v>
      </c>
      <c r="C1292" t="s">
        <v>1627</v>
      </c>
      <c r="D1292">
        <v>622</v>
      </c>
      <c r="F1292">
        <f>OUTPUTAvatarMatResID[[#This Row],[AvatarPartID]]*10000+OUTPUTAvatarMatResID[[#This Row],[SexID]]*1000+AvatarMatResID[[#This Row],[CountIndex]]</f>
        <v>12622</v>
      </c>
      <c r="G1292">
        <f>VLOOKUP(AvatarMatResID[[#This Row],[AvatarPart]],AvatarPartID[],2,0)</f>
        <v>1</v>
      </c>
      <c r="H1292">
        <f>VLOOKUP(AvatarMatResID[[#This Row],[Sex]],SexID[],2,0)</f>
        <v>2</v>
      </c>
      <c r="I1292" t="str">
        <f>AvatarMatResID[[#This Row],[Material]]</f>
        <v>Male White Knight 06 Blue</v>
      </c>
    </row>
    <row r="1293" spans="1:9" x14ac:dyDescent="0.15">
      <c r="A1293" t="s">
        <v>454</v>
      </c>
      <c r="B1293" t="s">
        <v>1923</v>
      </c>
      <c r="C1293" t="s">
        <v>1628</v>
      </c>
      <c r="D1293">
        <v>623</v>
      </c>
      <c r="F1293">
        <f>OUTPUTAvatarMatResID[[#This Row],[AvatarPartID]]*10000+OUTPUTAvatarMatResID[[#This Row],[SexID]]*1000+AvatarMatResID[[#This Row],[CountIndex]]</f>
        <v>12623</v>
      </c>
      <c r="G1293">
        <f>VLOOKUP(AvatarMatResID[[#This Row],[AvatarPart]],AvatarPartID[],2,0)</f>
        <v>1</v>
      </c>
      <c r="H1293">
        <f>VLOOKUP(AvatarMatResID[[#This Row],[Sex]],SexID[],2,0)</f>
        <v>2</v>
      </c>
      <c r="I1293" t="str">
        <f>AvatarMatResID[[#This Row],[Material]]</f>
        <v>Male White Knight 06 Brown</v>
      </c>
    </row>
    <row r="1294" spans="1:9" x14ac:dyDescent="0.15">
      <c r="A1294" t="s">
        <v>454</v>
      </c>
      <c r="B1294" t="s">
        <v>1923</v>
      </c>
      <c r="C1294" t="s">
        <v>1629</v>
      </c>
      <c r="D1294">
        <v>624</v>
      </c>
      <c r="F1294">
        <f>OUTPUTAvatarMatResID[[#This Row],[AvatarPartID]]*10000+OUTPUTAvatarMatResID[[#This Row],[SexID]]*1000+AvatarMatResID[[#This Row],[CountIndex]]</f>
        <v>12624</v>
      </c>
      <c r="G1294">
        <f>VLOOKUP(AvatarMatResID[[#This Row],[AvatarPart]],AvatarPartID[],2,0)</f>
        <v>1</v>
      </c>
      <c r="H1294">
        <f>VLOOKUP(AvatarMatResID[[#This Row],[Sex]],SexID[],2,0)</f>
        <v>2</v>
      </c>
      <c r="I1294" t="str">
        <f>AvatarMatResID[[#This Row],[Material]]</f>
        <v>Male White Knight 06 Green</v>
      </c>
    </row>
    <row r="1295" spans="1:9" x14ac:dyDescent="0.15">
      <c r="A1295" t="s">
        <v>454</v>
      </c>
      <c r="B1295" t="s">
        <v>1923</v>
      </c>
      <c r="C1295" t="s">
        <v>1630</v>
      </c>
      <c r="D1295">
        <v>625</v>
      </c>
      <c r="F1295">
        <f>OUTPUTAvatarMatResID[[#This Row],[AvatarPartID]]*10000+OUTPUTAvatarMatResID[[#This Row],[SexID]]*1000+AvatarMatResID[[#This Row],[CountIndex]]</f>
        <v>12625</v>
      </c>
      <c r="G1295">
        <f>VLOOKUP(AvatarMatResID[[#This Row],[AvatarPart]],AvatarPartID[],2,0)</f>
        <v>1</v>
      </c>
      <c r="H1295">
        <f>VLOOKUP(AvatarMatResID[[#This Row],[Sex]],SexID[],2,0)</f>
        <v>2</v>
      </c>
      <c r="I1295" t="str">
        <f>AvatarMatResID[[#This Row],[Material]]</f>
        <v>Male White Knight 06 Magenta</v>
      </c>
    </row>
    <row r="1296" spans="1:9" x14ac:dyDescent="0.15">
      <c r="A1296" t="s">
        <v>454</v>
      </c>
      <c r="B1296" t="s">
        <v>1923</v>
      </c>
      <c r="C1296" t="s">
        <v>1631</v>
      </c>
      <c r="D1296">
        <v>626</v>
      </c>
      <c r="F1296">
        <f>OUTPUTAvatarMatResID[[#This Row],[AvatarPartID]]*10000+OUTPUTAvatarMatResID[[#This Row],[SexID]]*1000+AvatarMatResID[[#This Row],[CountIndex]]</f>
        <v>12626</v>
      </c>
      <c r="G1296">
        <f>VLOOKUP(AvatarMatResID[[#This Row],[AvatarPart]],AvatarPartID[],2,0)</f>
        <v>1</v>
      </c>
      <c r="H1296">
        <f>VLOOKUP(AvatarMatResID[[#This Row],[Sex]],SexID[],2,0)</f>
        <v>2</v>
      </c>
      <c r="I1296" t="str">
        <f>AvatarMatResID[[#This Row],[Material]]</f>
        <v>Male White Knight 06 Purple</v>
      </c>
    </row>
    <row r="1297" spans="1:9" x14ac:dyDescent="0.15">
      <c r="A1297" t="s">
        <v>454</v>
      </c>
      <c r="B1297" t="s">
        <v>1923</v>
      </c>
      <c r="C1297" t="s">
        <v>1632</v>
      </c>
      <c r="D1297">
        <v>627</v>
      </c>
      <c r="F1297">
        <f>OUTPUTAvatarMatResID[[#This Row],[AvatarPartID]]*10000+OUTPUTAvatarMatResID[[#This Row],[SexID]]*1000+AvatarMatResID[[#This Row],[CountIndex]]</f>
        <v>12627</v>
      </c>
      <c r="G1297">
        <f>VLOOKUP(AvatarMatResID[[#This Row],[AvatarPart]],AvatarPartID[],2,0)</f>
        <v>1</v>
      </c>
      <c r="H1297">
        <f>VLOOKUP(AvatarMatResID[[#This Row],[Sex]],SexID[],2,0)</f>
        <v>2</v>
      </c>
      <c r="I1297" t="str">
        <f>AvatarMatResID[[#This Row],[Material]]</f>
        <v>Male White Knight 06 Red</v>
      </c>
    </row>
    <row r="1298" spans="1:9" x14ac:dyDescent="0.15">
      <c r="A1298" t="s">
        <v>454</v>
      </c>
      <c r="B1298" t="s">
        <v>1923</v>
      </c>
      <c r="C1298" t="s">
        <v>1633</v>
      </c>
      <c r="D1298">
        <v>628</v>
      </c>
      <c r="F1298">
        <f>OUTPUTAvatarMatResID[[#This Row],[AvatarPartID]]*10000+OUTPUTAvatarMatResID[[#This Row],[SexID]]*1000+AvatarMatResID[[#This Row],[CountIndex]]</f>
        <v>12628</v>
      </c>
      <c r="G1298">
        <f>VLOOKUP(AvatarMatResID[[#This Row],[AvatarPart]],AvatarPartID[],2,0)</f>
        <v>1</v>
      </c>
      <c r="H1298">
        <f>VLOOKUP(AvatarMatResID[[#This Row],[Sex]],SexID[],2,0)</f>
        <v>2</v>
      </c>
      <c r="I1298" t="str">
        <f>AvatarMatResID[[#This Row],[Material]]</f>
        <v>Male White Knight 06 White</v>
      </c>
    </row>
    <row r="1299" spans="1:9" x14ac:dyDescent="0.15">
      <c r="A1299" t="s">
        <v>454</v>
      </c>
      <c r="B1299" t="s">
        <v>1923</v>
      </c>
      <c r="C1299" t="s">
        <v>1634</v>
      </c>
      <c r="D1299">
        <v>629</v>
      </c>
      <c r="F1299">
        <f>OUTPUTAvatarMatResID[[#This Row],[AvatarPartID]]*10000+OUTPUTAvatarMatResID[[#This Row],[SexID]]*1000+AvatarMatResID[[#This Row],[CountIndex]]</f>
        <v>12629</v>
      </c>
      <c r="G1299">
        <f>VLOOKUP(AvatarMatResID[[#This Row],[AvatarPart]],AvatarPartID[],2,0)</f>
        <v>1</v>
      </c>
      <c r="H1299">
        <f>VLOOKUP(AvatarMatResID[[#This Row],[Sex]],SexID[],2,0)</f>
        <v>2</v>
      </c>
      <c r="I1299" t="str">
        <f>AvatarMatResID[[#This Row],[Material]]</f>
        <v>Male White Knight 06 Yellow</v>
      </c>
    </row>
    <row r="1300" spans="1:9" x14ac:dyDescent="0.15">
      <c r="A1300" t="s">
        <v>454</v>
      </c>
      <c r="B1300" t="s">
        <v>1923</v>
      </c>
      <c r="C1300" t="s">
        <v>1635</v>
      </c>
      <c r="D1300">
        <v>630</v>
      </c>
      <c r="F1300">
        <f>OUTPUTAvatarMatResID[[#This Row],[AvatarPartID]]*10000+OUTPUTAvatarMatResID[[#This Row],[SexID]]*1000+AvatarMatResID[[#This Row],[CountIndex]]</f>
        <v>12630</v>
      </c>
      <c r="G1300">
        <f>VLOOKUP(AvatarMatResID[[#This Row],[AvatarPart]],AvatarPartID[],2,0)</f>
        <v>1</v>
      </c>
      <c r="H1300">
        <f>VLOOKUP(AvatarMatResID[[#This Row],[Sex]],SexID[],2,0)</f>
        <v>2</v>
      </c>
      <c r="I1300" t="str">
        <f>AvatarMatResID[[#This Row],[Material]]</f>
        <v>Male White Knight 07 Black</v>
      </c>
    </row>
    <row r="1301" spans="1:9" x14ac:dyDescent="0.15">
      <c r="A1301" t="s">
        <v>454</v>
      </c>
      <c r="B1301" t="s">
        <v>1923</v>
      </c>
      <c r="C1301" t="s">
        <v>1636</v>
      </c>
      <c r="D1301">
        <v>631</v>
      </c>
      <c r="F1301">
        <f>OUTPUTAvatarMatResID[[#This Row],[AvatarPartID]]*10000+OUTPUTAvatarMatResID[[#This Row],[SexID]]*1000+AvatarMatResID[[#This Row],[CountIndex]]</f>
        <v>12631</v>
      </c>
      <c r="G1301">
        <f>VLOOKUP(AvatarMatResID[[#This Row],[AvatarPart]],AvatarPartID[],2,0)</f>
        <v>1</v>
      </c>
      <c r="H1301">
        <f>VLOOKUP(AvatarMatResID[[#This Row],[Sex]],SexID[],2,0)</f>
        <v>2</v>
      </c>
      <c r="I1301" t="str">
        <f>AvatarMatResID[[#This Row],[Material]]</f>
        <v>Male White Knight 07 Blue</v>
      </c>
    </row>
    <row r="1302" spans="1:9" x14ac:dyDescent="0.15">
      <c r="A1302" t="s">
        <v>454</v>
      </c>
      <c r="B1302" t="s">
        <v>1923</v>
      </c>
      <c r="C1302" t="s">
        <v>1637</v>
      </c>
      <c r="D1302">
        <v>632</v>
      </c>
      <c r="F1302">
        <f>OUTPUTAvatarMatResID[[#This Row],[AvatarPartID]]*10000+OUTPUTAvatarMatResID[[#This Row],[SexID]]*1000+AvatarMatResID[[#This Row],[CountIndex]]</f>
        <v>12632</v>
      </c>
      <c r="G1302">
        <f>VLOOKUP(AvatarMatResID[[#This Row],[AvatarPart]],AvatarPartID[],2,0)</f>
        <v>1</v>
      </c>
      <c r="H1302">
        <f>VLOOKUP(AvatarMatResID[[#This Row],[Sex]],SexID[],2,0)</f>
        <v>2</v>
      </c>
      <c r="I1302" t="str">
        <f>AvatarMatResID[[#This Row],[Material]]</f>
        <v>Male White Knight 07 Green</v>
      </c>
    </row>
    <row r="1303" spans="1:9" x14ac:dyDescent="0.15">
      <c r="A1303" t="s">
        <v>454</v>
      </c>
      <c r="B1303" t="s">
        <v>1923</v>
      </c>
      <c r="C1303" t="s">
        <v>1638</v>
      </c>
      <c r="D1303">
        <v>633</v>
      </c>
      <c r="F1303">
        <f>OUTPUTAvatarMatResID[[#This Row],[AvatarPartID]]*10000+OUTPUTAvatarMatResID[[#This Row],[SexID]]*1000+AvatarMatResID[[#This Row],[CountIndex]]</f>
        <v>12633</v>
      </c>
      <c r="G1303">
        <f>VLOOKUP(AvatarMatResID[[#This Row],[AvatarPart]],AvatarPartID[],2,0)</f>
        <v>1</v>
      </c>
      <c r="H1303">
        <f>VLOOKUP(AvatarMatResID[[#This Row],[Sex]],SexID[],2,0)</f>
        <v>2</v>
      </c>
      <c r="I1303" t="str">
        <f>AvatarMatResID[[#This Row],[Material]]</f>
        <v>Male White Knight 07 Magenta</v>
      </c>
    </row>
    <row r="1304" spans="1:9" x14ac:dyDescent="0.15">
      <c r="A1304" t="s">
        <v>454</v>
      </c>
      <c r="B1304" t="s">
        <v>1923</v>
      </c>
      <c r="C1304" t="s">
        <v>1639</v>
      </c>
      <c r="D1304">
        <v>634</v>
      </c>
      <c r="F1304">
        <f>OUTPUTAvatarMatResID[[#This Row],[AvatarPartID]]*10000+OUTPUTAvatarMatResID[[#This Row],[SexID]]*1000+AvatarMatResID[[#This Row],[CountIndex]]</f>
        <v>12634</v>
      </c>
      <c r="G1304">
        <f>VLOOKUP(AvatarMatResID[[#This Row],[AvatarPart]],AvatarPartID[],2,0)</f>
        <v>1</v>
      </c>
      <c r="H1304">
        <f>VLOOKUP(AvatarMatResID[[#This Row],[Sex]],SexID[],2,0)</f>
        <v>2</v>
      </c>
      <c r="I1304" t="str">
        <f>AvatarMatResID[[#This Row],[Material]]</f>
        <v>Male White Knight 07 Purple</v>
      </c>
    </row>
    <row r="1305" spans="1:9" x14ac:dyDescent="0.15">
      <c r="A1305" t="s">
        <v>454</v>
      </c>
      <c r="B1305" t="s">
        <v>1923</v>
      </c>
      <c r="C1305" t="s">
        <v>1640</v>
      </c>
      <c r="D1305">
        <v>635</v>
      </c>
      <c r="F1305">
        <f>OUTPUTAvatarMatResID[[#This Row],[AvatarPartID]]*10000+OUTPUTAvatarMatResID[[#This Row],[SexID]]*1000+AvatarMatResID[[#This Row],[CountIndex]]</f>
        <v>12635</v>
      </c>
      <c r="G1305">
        <f>VLOOKUP(AvatarMatResID[[#This Row],[AvatarPart]],AvatarPartID[],2,0)</f>
        <v>1</v>
      </c>
      <c r="H1305">
        <f>VLOOKUP(AvatarMatResID[[#This Row],[Sex]],SexID[],2,0)</f>
        <v>2</v>
      </c>
      <c r="I1305" t="str">
        <f>AvatarMatResID[[#This Row],[Material]]</f>
        <v>Male White Knight 07 Red</v>
      </c>
    </row>
    <row r="1306" spans="1:9" x14ac:dyDescent="0.15">
      <c r="A1306" t="s">
        <v>454</v>
      </c>
      <c r="B1306" t="s">
        <v>1923</v>
      </c>
      <c r="C1306" t="s">
        <v>1641</v>
      </c>
      <c r="D1306">
        <v>636</v>
      </c>
      <c r="F1306">
        <f>OUTPUTAvatarMatResID[[#This Row],[AvatarPartID]]*10000+OUTPUTAvatarMatResID[[#This Row],[SexID]]*1000+AvatarMatResID[[#This Row],[CountIndex]]</f>
        <v>12636</v>
      </c>
      <c r="G1306">
        <f>VLOOKUP(AvatarMatResID[[#This Row],[AvatarPart]],AvatarPartID[],2,0)</f>
        <v>1</v>
      </c>
      <c r="H1306">
        <f>VLOOKUP(AvatarMatResID[[#This Row],[Sex]],SexID[],2,0)</f>
        <v>2</v>
      </c>
      <c r="I1306" t="str">
        <f>AvatarMatResID[[#This Row],[Material]]</f>
        <v>Male White Knight 07 White</v>
      </c>
    </row>
    <row r="1307" spans="1:9" x14ac:dyDescent="0.15">
      <c r="A1307" t="s">
        <v>454</v>
      </c>
      <c r="B1307" t="s">
        <v>1923</v>
      </c>
      <c r="C1307" t="s">
        <v>1642</v>
      </c>
      <c r="D1307">
        <v>637</v>
      </c>
      <c r="F1307">
        <f>OUTPUTAvatarMatResID[[#This Row],[AvatarPartID]]*10000+OUTPUTAvatarMatResID[[#This Row],[SexID]]*1000+AvatarMatResID[[#This Row],[CountIndex]]</f>
        <v>12637</v>
      </c>
      <c r="G1307">
        <f>VLOOKUP(AvatarMatResID[[#This Row],[AvatarPart]],AvatarPartID[],2,0)</f>
        <v>1</v>
      </c>
      <c r="H1307">
        <f>VLOOKUP(AvatarMatResID[[#This Row],[Sex]],SexID[],2,0)</f>
        <v>2</v>
      </c>
      <c r="I1307" t="str">
        <f>AvatarMatResID[[#This Row],[Material]]</f>
        <v>Male White Knight 07 Yellow</v>
      </c>
    </row>
    <row r="1308" spans="1:9" x14ac:dyDescent="0.15">
      <c r="A1308" t="s">
        <v>454</v>
      </c>
      <c r="B1308" t="s">
        <v>1923</v>
      </c>
      <c r="C1308" t="s">
        <v>1643</v>
      </c>
      <c r="D1308">
        <v>638</v>
      </c>
      <c r="F1308">
        <f>OUTPUTAvatarMatResID[[#This Row],[AvatarPartID]]*10000+OUTPUTAvatarMatResID[[#This Row],[SexID]]*1000+AvatarMatResID[[#This Row],[CountIndex]]</f>
        <v>12638</v>
      </c>
      <c r="G1308">
        <f>VLOOKUP(AvatarMatResID[[#This Row],[AvatarPart]],AvatarPartID[],2,0)</f>
        <v>1</v>
      </c>
      <c r="H1308">
        <f>VLOOKUP(AvatarMatResID[[#This Row],[Sex]],SexID[],2,0)</f>
        <v>2</v>
      </c>
      <c r="I1308" t="str">
        <f>AvatarMatResID[[#This Row],[Material]]</f>
        <v>Male White Knight 08 Black</v>
      </c>
    </row>
    <row r="1309" spans="1:9" x14ac:dyDescent="0.15">
      <c r="A1309" t="s">
        <v>454</v>
      </c>
      <c r="B1309" t="s">
        <v>1923</v>
      </c>
      <c r="C1309" t="s">
        <v>1644</v>
      </c>
      <c r="D1309">
        <v>639</v>
      </c>
      <c r="F1309">
        <f>OUTPUTAvatarMatResID[[#This Row],[AvatarPartID]]*10000+OUTPUTAvatarMatResID[[#This Row],[SexID]]*1000+AvatarMatResID[[#This Row],[CountIndex]]</f>
        <v>12639</v>
      </c>
      <c r="G1309">
        <f>VLOOKUP(AvatarMatResID[[#This Row],[AvatarPart]],AvatarPartID[],2,0)</f>
        <v>1</v>
      </c>
      <c r="H1309">
        <f>VLOOKUP(AvatarMatResID[[#This Row],[Sex]],SexID[],2,0)</f>
        <v>2</v>
      </c>
      <c r="I1309" t="str">
        <f>AvatarMatResID[[#This Row],[Material]]</f>
        <v>Male White Knight 08 Blue</v>
      </c>
    </row>
    <row r="1310" spans="1:9" x14ac:dyDescent="0.15">
      <c r="A1310" t="s">
        <v>454</v>
      </c>
      <c r="B1310" t="s">
        <v>1923</v>
      </c>
      <c r="C1310" t="s">
        <v>1645</v>
      </c>
      <c r="D1310">
        <v>640</v>
      </c>
      <c r="F1310">
        <f>OUTPUTAvatarMatResID[[#This Row],[AvatarPartID]]*10000+OUTPUTAvatarMatResID[[#This Row],[SexID]]*1000+AvatarMatResID[[#This Row],[CountIndex]]</f>
        <v>12640</v>
      </c>
      <c r="G1310">
        <f>VLOOKUP(AvatarMatResID[[#This Row],[AvatarPart]],AvatarPartID[],2,0)</f>
        <v>1</v>
      </c>
      <c r="H1310">
        <f>VLOOKUP(AvatarMatResID[[#This Row],[Sex]],SexID[],2,0)</f>
        <v>2</v>
      </c>
      <c r="I1310" t="str">
        <f>AvatarMatResID[[#This Row],[Material]]</f>
        <v>Male White Knight 08 Green</v>
      </c>
    </row>
    <row r="1311" spans="1:9" x14ac:dyDescent="0.15">
      <c r="A1311" t="s">
        <v>454</v>
      </c>
      <c r="B1311" t="s">
        <v>1923</v>
      </c>
      <c r="C1311" t="s">
        <v>1646</v>
      </c>
      <c r="D1311">
        <v>641</v>
      </c>
      <c r="F1311">
        <f>OUTPUTAvatarMatResID[[#This Row],[AvatarPartID]]*10000+OUTPUTAvatarMatResID[[#This Row],[SexID]]*1000+AvatarMatResID[[#This Row],[CountIndex]]</f>
        <v>12641</v>
      </c>
      <c r="G1311">
        <f>VLOOKUP(AvatarMatResID[[#This Row],[AvatarPart]],AvatarPartID[],2,0)</f>
        <v>1</v>
      </c>
      <c r="H1311">
        <f>VLOOKUP(AvatarMatResID[[#This Row],[Sex]],SexID[],2,0)</f>
        <v>2</v>
      </c>
      <c r="I1311" t="str">
        <f>AvatarMatResID[[#This Row],[Material]]</f>
        <v>Male White Knight 08 Magenta</v>
      </c>
    </row>
    <row r="1312" spans="1:9" x14ac:dyDescent="0.15">
      <c r="A1312" t="s">
        <v>454</v>
      </c>
      <c r="B1312" t="s">
        <v>1923</v>
      </c>
      <c r="C1312" t="s">
        <v>1647</v>
      </c>
      <c r="D1312">
        <v>642</v>
      </c>
      <c r="F1312">
        <f>OUTPUTAvatarMatResID[[#This Row],[AvatarPartID]]*10000+OUTPUTAvatarMatResID[[#This Row],[SexID]]*1000+AvatarMatResID[[#This Row],[CountIndex]]</f>
        <v>12642</v>
      </c>
      <c r="G1312">
        <f>VLOOKUP(AvatarMatResID[[#This Row],[AvatarPart]],AvatarPartID[],2,0)</f>
        <v>1</v>
      </c>
      <c r="H1312">
        <f>VLOOKUP(AvatarMatResID[[#This Row],[Sex]],SexID[],2,0)</f>
        <v>2</v>
      </c>
      <c r="I1312" t="str">
        <f>AvatarMatResID[[#This Row],[Material]]</f>
        <v>Male White Knight 08 Purple</v>
      </c>
    </row>
    <row r="1313" spans="1:9" x14ac:dyDescent="0.15">
      <c r="A1313" t="s">
        <v>454</v>
      </c>
      <c r="B1313" t="s">
        <v>1923</v>
      </c>
      <c r="C1313" t="s">
        <v>1648</v>
      </c>
      <c r="D1313">
        <v>643</v>
      </c>
      <c r="F1313">
        <f>OUTPUTAvatarMatResID[[#This Row],[AvatarPartID]]*10000+OUTPUTAvatarMatResID[[#This Row],[SexID]]*1000+AvatarMatResID[[#This Row],[CountIndex]]</f>
        <v>12643</v>
      </c>
      <c r="G1313">
        <f>VLOOKUP(AvatarMatResID[[#This Row],[AvatarPart]],AvatarPartID[],2,0)</f>
        <v>1</v>
      </c>
      <c r="H1313">
        <f>VLOOKUP(AvatarMatResID[[#This Row],[Sex]],SexID[],2,0)</f>
        <v>2</v>
      </c>
      <c r="I1313" t="str">
        <f>AvatarMatResID[[#This Row],[Material]]</f>
        <v>Male White Knight 08 Red</v>
      </c>
    </row>
    <row r="1314" spans="1:9" x14ac:dyDescent="0.15">
      <c r="A1314" t="s">
        <v>454</v>
      </c>
      <c r="B1314" t="s">
        <v>1923</v>
      </c>
      <c r="C1314" t="s">
        <v>1649</v>
      </c>
      <c r="D1314">
        <v>644</v>
      </c>
      <c r="F1314">
        <f>OUTPUTAvatarMatResID[[#This Row],[AvatarPartID]]*10000+OUTPUTAvatarMatResID[[#This Row],[SexID]]*1000+AvatarMatResID[[#This Row],[CountIndex]]</f>
        <v>12644</v>
      </c>
      <c r="G1314">
        <f>VLOOKUP(AvatarMatResID[[#This Row],[AvatarPart]],AvatarPartID[],2,0)</f>
        <v>1</v>
      </c>
      <c r="H1314">
        <f>VLOOKUP(AvatarMatResID[[#This Row],[Sex]],SexID[],2,0)</f>
        <v>2</v>
      </c>
      <c r="I1314" t="str">
        <f>AvatarMatResID[[#This Row],[Material]]</f>
        <v>Male White Knight 08 White</v>
      </c>
    </row>
    <row r="1315" spans="1:9" x14ac:dyDescent="0.15">
      <c r="A1315" t="s">
        <v>454</v>
      </c>
      <c r="B1315" t="s">
        <v>1923</v>
      </c>
      <c r="C1315" t="s">
        <v>1650</v>
      </c>
      <c r="D1315">
        <v>645</v>
      </c>
      <c r="F1315">
        <f>OUTPUTAvatarMatResID[[#This Row],[AvatarPartID]]*10000+OUTPUTAvatarMatResID[[#This Row],[SexID]]*1000+AvatarMatResID[[#This Row],[CountIndex]]</f>
        <v>12645</v>
      </c>
      <c r="G1315">
        <f>VLOOKUP(AvatarMatResID[[#This Row],[AvatarPart]],AvatarPartID[],2,0)</f>
        <v>1</v>
      </c>
      <c r="H1315">
        <f>VLOOKUP(AvatarMatResID[[#This Row],[Sex]],SexID[],2,0)</f>
        <v>2</v>
      </c>
      <c r="I1315" t="str">
        <f>AvatarMatResID[[#This Row],[Material]]</f>
        <v>Male White Knight 08 Yellow</v>
      </c>
    </row>
    <row r="1316" spans="1:9" x14ac:dyDescent="0.15">
      <c r="A1316" t="s">
        <v>454</v>
      </c>
      <c r="B1316" t="s">
        <v>1923</v>
      </c>
      <c r="C1316" t="s">
        <v>1806</v>
      </c>
      <c r="D1316">
        <v>646</v>
      </c>
      <c r="F1316">
        <f>OUTPUTAvatarMatResID[[#This Row],[AvatarPartID]]*10000+OUTPUTAvatarMatResID[[#This Row],[SexID]]*1000+AvatarMatResID[[#This Row],[CountIndex]]</f>
        <v>12646</v>
      </c>
      <c r="G1316">
        <f>VLOOKUP(AvatarMatResID[[#This Row],[AvatarPart]],AvatarPartID[],2,0)</f>
        <v>1</v>
      </c>
      <c r="H1316">
        <f>VLOOKUP(AvatarMatResID[[#This Row],[Sex]],SexID[],2,0)</f>
        <v>2</v>
      </c>
      <c r="I1316" t="str">
        <f>AvatarMatResID[[#This Row],[Material]]</f>
        <v>Male White L Robe 01 Blue</v>
      </c>
    </row>
    <row r="1317" spans="1:9" x14ac:dyDescent="0.15">
      <c r="A1317" t="s">
        <v>454</v>
      </c>
      <c r="B1317" t="s">
        <v>1923</v>
      </c>
      <c r="C1317" t="s">
        <v>1807</v>
      </c>
      <c r="D1317">
        <v>647</v>
      </c>
      <c r="F1317">
        <f>OUTPUTAvatarMatResID[[#This Row],[AvatarPartID]]*10000+OUTPUTAvatarMatResID[[#This Row],[SexID]]*1000+AvatarMatResID[[#This Row],[CountIndex]]</f>
        <v>12647</v>
      </c>
      <c r="G1317">
        <f>VLOOKUP(AvatarMatResID[[#This Row],[AvatarPart]],AvatarPartID[],2,0)</f>
        <v>1</v>
      </c>
      <c r="H1317">
        <f>VLOOKUP(AvatarMatResID[[#This Row],[Sex]],SexID[],2,0)</f>
        <v>2</v>
      </c>
      <c r="I1317" t="str">
        <f>AvatarMatResID[[#This Row],[Material]]</f>
        <v>Male White L Robe 01 Brown</v>
      </c>
    </row>
    <row r="1318" spans="1:9" x14ac:dyDescent="0.15">
      <c r="A1318" t="s">
        <v>454</v>
      </c>
      <c r="B1318" t="s">
        <v>1923</v>
      </c>
      <c r="C1318" t="s">
        <v>1808</v>
      </c>
      <c r="D1318">
        <v>648</v>
      </c>
      <c r="F1318">
        <f>OUTPUTAvatarMatResID[[#This Row],[AvatarPartID]]*10000+OUTPUTAvatarMatResID[[#This Row],[SexID]]*1000+AvatarMatResID[[#This Row],[CountIndex]]</f>
        <v>12648</v>
      </c>
      <c r="G1318">
        <f>VLOOKUP(AvatarMatResID[[#This Row],[AvatarPart]],AvatarPartID[],2,0)</f>
        <v>1</v>
      </c>
      <c r="H1318">
        <f>VLOOKUP(AvatarMatResID[[#This Row],[Sex]],SexID[],2,0)</f>
        <v>2</v>
      </c>
      <c r="I1318" t="str">
        <f>AvatarMatResID[[#This Row],[Material]]</f>
        <v>Male White L Robe 01 Green</v>
      </c>
    </row>
    <row r="1319" spans="1:9" x14ac:dyDescent="0.15">
      <c r="A1319" t="s">
        <v>454</v>
      </c>
      <c r="B1319" t="s">
        <v>1923</v>
      </c>
      <c r="C1319" t="s">
        <v>1809</v>
      </c>
      <c r="D1319">
        <v>649</v>
      </c>
      <c r="F1319">
        <f>OUTPUTAvatarMatResID[[#This Row],[AvatarPartID]]*10000+OUTPUTAvatarMatResID[[#This Row],[SexID]]*1000+AvatarMatResID[[#This Row],[CountIndex]]</f>
        <v>12649</v>
      </c>
      <c r="G1319">
        <f>VLOOKUP(AvatarMatResID[[#This Row],[AvatarPart]],AvatarPartID[],2,0)</f>
        <v>1</v>
      </c>
      <c r="H1319">
        <f>VLOOKUP(AvatarMatResID[[#This Row],[Sex]],SexID[],2,0)</f>
        <v>2</v>
      </c>
      <c r="I1319" t="str">
        <f>AvatarMatResID[[#This Row],[Material]]</f>
        <v>Male White L Robe 01 Purple</v>
      </c>
    </row>
    <row r="1320" spans="1:9" x14ac:dyDescent="0.15">
      <c r="A1320" t="s">
        <v>454</v>
      </c>
      <c r="B1320" t="s">
        <v>1923</v>
      </c>
      <c r="C1320" t="s">
        <v>1810</v>
      </c>
      <c r="D1320">
        <v>650</v>
      </c>
      <c r="F1320">
        <f>OUTPUTAvatarMatResID[[#This Row],[AvatarPartID]]*10000+OUTPUTAvatarMatResID[[#This Row],[SexID]]*1000+AvatarMatResID[[#This Row],[CountIndex]]</f>
        <v>12650</v>
      </c>
      <c r="G1320">
        <f>VLOOKUP(AvatarMatResID[[#This Row],[AvatarPart]],AvatarPartID[],2,0)</f>
        <v>1</v>
      </c>
      <c r="H1320">
        <f>VLOOKUP(AvatarMatResID[[#This Row],[Sex]],SexID[],2,0)</f>
        <v>2</v>
      </c>
      <c r="I1320" t="str">
        <f>AvatarMatResID[[#This Row],[Material]]</f>
        <v>Male White L Robe 01 Red</v>
      </c>
    </row>
    <row r="1321" spans="1:9" x14ac:dyDescent="0.15">
      <c r="A1321" t="s">
        <v>454</v>
      </c>
      <c r="B1321" t="s">
        <v>1923</v>
      </c>
      <c r="C1321" t="s">
        <v>1811</v>
      </c>
      <c r="D1321">
        <v>651</v>
      </c>
      <c r="F1321">
        <f>OUTPUTAvatarMatResID[[#This Row],[AvatarPartID]]*10000+OUTPUTAvatarMatResID[[#This Row],[SexID]]*1000+AvatarMatResID[[#This Row],[CountIndex]]</f>
        <v>12651</v>
      </c>
      <c r="G1321">
        <f>VLOOKUP(AvatarMatResID[[#This Row],[AvatarPart]],AvatarPartID[],2,0)</f>
        <v>1</v>
      </c>
      <c r="H1321">
        <f>VLOOKUP(AvatarMatResID[[#This Row],[Sex]],SexID[],2,0)</f>
        <v>2</v>
      </c>
      <c r="I1321" t="str">
        <f>AvatarMatResID[[#This Row],[Material]]</f>
        <v>Male White L Robe 02 Blue</v>
      </c>
    </row>
    <row r="1322" spans="1:9" x14ac:dyDescent="0.15">
      <c r="A1322" t="s">
        <v>454</v>
      </c>
      <c r="B1322" t="s">
        <v>1923</v>
      </c>
      <c r="C1322" t="s">
        <v>1812</v>
      </c>
      <c r="D1322">
        <v>652</v>
      </c>
      <c r="F1322">
        <f>OUTPUTAvatarMatResID[[#This Row],[AvatarPartID]]*10000+OUTPUTAvatarMatResID[[#This Row],[SexID]]*1000+AvatarMatResID[[#This Row],[CountIndex]]</f>
        <v>12652</v>
      </c>
      <c r="G1322">
        <f>VLOOKUP(AvatarMatResID[[#This Row],[AvatarPart]],AvatarPartID[],2,0)</f>
        <v>1</v>
      </c>
      <c r="H1322">
        <f>VLOOKUP(AvatarMatResID[[#This Row],[Sex]],SexID[],2,0)</f>
        <v>2</v>
      </c>
      <c r="I1322" t="str">
        <f>AvatarMatResID[[#This Row],[Material]]</f>
        <v>Male White L Robe 02 Brown</v>
      </c>
    </row>
    <row r="1323" spans="1:9" x14ac:dyDescent="0.15">
      <c r="A1323" t="s">
        <v>454</v>
      </c>
      <c r="B1323" t="s">
        <v>1923</v>
      </c>
      <c r="C1323" t="s">
        <v>1813</v>
      </c>
      <c r="D1323">
        <v>653</v>
      </c>
      <c r="F1323">
        <f>OUTPUTAvatarMatResID[[#This Row],[AvatarPartID]]*10000+OUTPUTAvatarMatResID[[#This Row],[SexID]]*1000+AvatarMatResID[[#This Row],[CountIndex]]</f>
        <v>12653</v>
      </c>
      <c r="G1323">
        <f>VLOOKUP(AvatarMatResID[[#This Row],[AvatarPart]],AvatarPartID[],2,0)</f>
        <v>1</v>
      </c>
      <c r="H1323">
        <f>VLOOKUP(AvatarMatResID[[#This Row],[Sex]],SexID[],2,0)</f>
        <v>2</v>
      </c>
      <c r="I1323" t="str">
        <f>AvatarMatResID[[#This Row],[Material]]</f>
        <v>Male White L Robe 02 Green</v>
      </c>
    </row>
    <row r="1324" spans="1:9" x14ac:dyDescent="0.15">
      <c r="A1324" t="s">
        <v>454</v>
      </c>
      <c r="B1324" t="s">
        <v>1923</v>
      </c>
      <c r="C1324" t="s">
        <v>1814</v>
      </c>
      <c r="D1324">
        <v>654</v>
      </c>
      <c r="F1324">
        <f>OUTPUTAvatarMatResID[[#This Row],[AvatarPartID]]*10000+OUTPUTAvatarMatResID[[#This Row],[SexID]]*1000+AvatarMatResID[[#This Row],[CountIndex]]</f>
        <v>12654</v>
      </c>
      <c r="G1324">
        <f>VLOOKUP(AvatarMatResID[[#This Row],[AvatarPart]],AvatarPartID[],2,0)</f>
        <v>1</v>
      </c>
      <c r="H1324">
        <f>VLOOKUP(AvatarMatResID[[#This Row],[Sex]],SexID[],2,0)</f>
        <v>2</v>
      </c>
      <c r="I1324" t="str">
        <f>AvatarMatResID[[#This Row],[Material]]</f>
        <v>Male White L Robe 02 Purple</v>
      </c>
    </row>
    <row r="1325" spans="1:9" x14ac:dyDescent="0.15">
      <c r="A1325" t="s">
        <v>454</v>
      </c>
      <c r="B1325" t="s">
        <v>1923</v>
      </c>
      <c r="C1325" t="s">
        <v>1815</v>
      </c>
      <c r="D1325">
        <v>655</v>
      </c>
      <c r="F1325">
        <f>OUTPUTAvatarMatResID[[#This Row],[AvatarPartID]]*10000+OUTPUTAvatarMatResID[[#This Row],[SexID]]*1000+AvatarMatResID[[#This Row],[CountIndex]]</f>
        <v>12655</v>
      </c>
      <c r="G1325">
        <f>VLOOKUP(AvatarMatResID[[#This Row],[AvatarPart]],AvatarPartID[],2,0)</f>
        <v>1</v>
      </c>
      <c r="H1325">
        <f>VLOOKUP(AvatarMatResID[[#This Row],[Sex]],SexID[],2,0)</f>
        <v>2</v>
      </c>
      <c r="I1325" t="str">
        <f>AvatarMatResID[[#This Row],[Material]]</f>
        <v>Male White L Robe 02 Red</v>
      </c>
    </row>
    <row r="1326" spans="1:9" x14ac:dyDescent="0.15">
      <c r="A1326" t="s">
        <v>454</v>
      </c>
      <c r="B1326" t="s">
        <v>1923</v>
      </c>
      <c r="C1326" t="s">
        <v>1651</v>
      </c>
      <c r="D1326">
        <v>656</v>
      </c>
      <c r="F1326">
        <f>OUTPUTAvatarMatResID[[#This Row],[AvatarPartID]]*10000+OUTPUTAvatarMatResID[[#This Row],[SexID]]*1000+AvatarMatResID[[#This Row],[CountIndex]]</f>
        <v>12656</v>
      </c>
      <c r="G1326">
        <f>VLOOKUP(AvatarMatResID[[#This Row],[AvatarPart]],AvatarPartID[],2,0)</f>
        <v>1</v>
      </c>
      <c r="H1326">
        <f>VLOOKUP(AvatarMatResID[[#This Row],[Sex]],SexID[],2,0)</f>
        <v>2</v>
      </c>
      <c r="I1326" t="str">
        <f>AvatarMatResID[[#This Row],[Material]]</f>
        <v>Male White Naked</v>
      </c>
    </row>
    <row r="1327" spans="1:9" x14ac:dyDescent="0.15">
      <c r="A1327" t="s">
        <v>454</v>
      </c>
      <c r="B1327" t="s">
        <v>1923</v>
      </c>
      <c r="C1327" t="s">
        <v>1716</v>
      </c>
      <c r="D1327">
        <v>657</v>
      </c>
      <c r="F1327">
        <f>OUTPUTAvatarMatResID[[#This Row],[AvatarPartID]]*10000+OUTPUTAvatarMatResID[[#This Row],[SexID]]*1000+AvatarMatResID[[#This Row],[CountIndex]]</f>
        <v>12657</v>
      </c>
      <c r="G1327">
        <f>VLOOKUP(AvatarMatResID[[#This Row],[AvatarPart]],AvatarPartID[],2,0)</f>
        <v>1</v>
      </c>
      <c r="H1327">
        <f>VLOOKUP(AvatarMatResID[[#This Row],[Sex]],SexID[],2,0)</f>
        <v>2</v>
      </c>
      <c r="I1327" t="str">
        <f>AvatarMatResID[[#This Row],[Material]]</f>
        <v>Male White S Robe 01 Blue</v>
      </c>
    </row>
    <row r="1328" spans="1:9" x14ac:dyDescent="0.15">
      <c r="A1328" t="s">
        <v>454</v>
      </c>
      <c r="B1328" t="s">
        <v>1923</v>
      </c>
      <c r="C1328" t="s">
        <v>1717</v>
      </c>
      <c r="D1328">
        <v>658</v>
      </c>
      <c r="F1328">
        <f>OUTPUTAvatarMatResID[[#This Row],[AvatarPartID]]*10000+OUTPUTAvatarMatResID[[#This Row],[SexID]]*1000+AvatarMatResID[[#This Row],[CountIndex]]</f>
        <v>12658</v>
      </c>
      <c r="G1328">
        <f>VLOOKUP(AvatarMatResID[[#This Row],[AvatarPart]],AvatarPartID[],2,0)</f>
        <v>1</v>
      </c>
      <c r="H1328">
        <f>VLOOKUP(AvatarMatResID[[#This Row],[Sex]],SexID[],2,0)</f>
        <v>2</v>
      </c>
      <c r="I1328" t="str">
        <f>AvatarMatResID[[#This Row],[Material]]</f>
        <v>Male White S Robe 01 Brown</v>
      </c>
    </row>
    <row r="1329" spans="1:9" x14ac:dyDescent="0.15">
      <c r="A1329" t="s">
        <v>454</v>
      </c>
      <c r="B1329" t="s">
        <v>1923</v>
      </c>
      <c r="C1329" t="s">
        <v>1718</v>
      </c>
      <c r="D1329">
        <v>659</v>
      </c>
      <c r="F1329">
        <f>OUTPUTAvatarMatResID[[#This Row],[AvatarPartID]]*10000+OUTPUTAvatarMatResID[[#This Row],[SexID]]*1000+AvatarMatResID[[#This Row],[CountIndex]]</f>
        <v>12659</v>
      </c>
      <c r="G1329">
        <f>VLOOKUP(AvatarMatResID[[#This Row],[AvatarPart]],AvatarPartID[],2,0)</f>
        <v>1</v>
      </c>
      <c r="H1329">
        <f>VLOOKUP(AvatarMatResID[[#This Row],[Sex]],SexID[],2,0)</f>
        <v>2</v>
      </c>
      <c r="I1329" t="str">
        <f>AvatarMatResID[[#This Row],[Material]]</f>
        <v>Male White S Robe 01 Green</v>
      </c>
    </row>
    <row r="1330" spans="1:9" x14ac:dyDescent="0.15">
      <c r="A1330" t="s">
        <v>454</v>
      </c>
      <c r="B1330" t="s">
        <v>1923</v>
      </c>
      <c r="C1330" t="s">
        <v>1719</v>
      </c>
      <c r="D1330">
        <v>660</v>
      </c>
      <c r="F1330">
        <f>OUTPUTAvatarMatResID[[#This Row],[AvatarPartID]]*10000+OUTPUTAvatarMatResID[[#This Row],[SexID]]*1000+AvatarMatResID[[#This Row],[CountIndex]]</f>
        <v>12660</v>
      </c>
      <c r="G1330">
        <f>VLOOKUP(AvatarMatResID[[#This Row],[AvatarPart]],AvatarPartID[],2,0)</f>
        <v>1</v>
      </c>
      <c r="H1330">
        <f>VLOOKUP(AvatarMatResID[[#This Row],[Sex]],SexID[],2,0)</f>
        <v>2</v>
      </c>
      <c r="I1330" t="str">
        <f>AvatarMatResID[[#This Row],[Material]]</f>
        <v>Male White S Robe 01 Purple</v>
      </c>
    </row>
    <row r="1331" spans="1:9" x14ac:dyDescent="0.15">
      <c r="A1331" t="s">
        <v>454</v>
      </c>
      <c r="B1331" t="s">
        <v>1923</v>
      </c>
      <c r="C1331" t="s">
        <v>1720</v>
      </c>
      <c r="D1331">
        <v>661</v>
      </c>
      <c r="F1331">
        <f>OUTPUTAvatarMatResID[[#This Row],[AvatarPartID]]*10000+OUTPUTAvatarMatResID[[#This Row],[SexID]]*1000+AvatarMatResID[[#This Row],[CountIndex]]</f>
        <v>12661</v>
      </c>
      <c r="G1331">
        <f>VLOOKUP(AvatarMatResID[[#This Row],[AvatarPart]],AvatarPartID[],2,0)</f>
        <v>1</v>
      </c>
      <c r="H1331">
        <f>VLOOKUP(AvatarMatResID[[#This Row],[Sex]],SexID[],2,0)</f>
        <v>2</v>
      </c>
      <c r="I1331" t="str">
        <f>AvatarMatResID[[#This Row],[Material]]</f>
        <v>Male White S Robe 01 Red</v>
      </c>
    </row>
    <row r="1332" spans="1:9" x14ac:dyDescent="0.15">
      <c r="A1332" t="s">
        <v>454</v>
      </c>
      <c r="B1332" t="s">
        <v>1923</v>
      </c>
      <c r="C1332" t="s">
        <v>1721</v>
      </c>
      <c r="D1332">
        <v>662</v>
      </c>
      <c r="F1332">
        <f>OUTPUTAvatarMatResID[[#This Row],[AvatarPartID]]*10000+OUTPUTAvatarMatResID[[#This Row],[SexID]]*1000+AvatarMatResID[[#This Row],[CountIndex]]</f>
        <v>12662</v>
      </c>
      <c r="G1332">
        <f>VLOOKUP(AvatarMatResID[[#This Row],[AvatarPart]],AvatarPartID[],2,0)</f>
        <v>1</v>
      </c>
      <c r="H1332">
        <f>VLOOKUP(AvatarMatResID[[#This Row],[Sex]],SexID[],2,0)</f>
        <v>2</v>
      </c>
      <c r="I1332" t="str">
        <f>AvatarMatResID[[#This Row],[Material]]</f>
        <v>Male White S Robe 02 Blue</v>
      </c>
    </row>
    <row r="1333" spans="1:9" x14ac:dyDescent="0.15">
      <c r="A1333" t="s">
        <v>454</v>
      </c>
      <c r="B1333" t="s">
        <v>1923</v>
      </c>
      <c r="C1333" t="s">
        <v>1722</v>
      </c>
      <c r="D1333">
        <v>663</v>
      </c>
      <c r="F1333">
        <f>OUTPUTAvatarMatResID[[#This Row],[AvatarPartID]]*10000+OUTPUTAvatarMatResID[[#This Row],[SexID]]*1000+AvatarMatResID[[#This Row],[CountIndex]]</f>
        <v>12663</v>
      </c>
      <c r="G1333">
        <f>VLOOKUP(AvatarMatResID[[#This Row],[AvatarPart]],AvatarPartID[],2,0)</f>
        <v>1</v>
      </c>
      <c r="H1333">
        <f>VLOOKUP(AvatarMatResID[[#This Row],[Sex]],SexID[],2,0)</f>
        <v>2</v>
      </c>
      <c r="I1333" t="str">
        <f>AvatarMatResID[[#This Row],[Material]]</f>
        <v>Male White S Robe 02 Brown</v>
      </c>
    </row>
    <row r="1334" spans="1:9" x14ac:dyDescent="0.15">
      <c r="A1334" t="s">
        <v>454</v>
      </c>
      <c r="B1334" t="s">
        <v>1923</v>
      </c>
      <c r="C1334" t="s">
        <v>1723</v>
      </c>
      <c r="D1334">
        <v>664</v>
      </c>
      <c r="F1334">
        <f>OUTPUTAvatarMatResID[[#This Row],[AvatarPartID]]*10000+OUTPUTAvatarMatResID[[#This Row],[SexID]]*1000+AvatarMatResID[[#This Row],[CountIndex]]</f>
        <v>12664</v>
      </c>
      <c r="G1334">
        <f>VLOOKUP(AvatarMatResID[[#This Row],[AvatarPart]],AvatarPartID[],2,0)</f>
        <v>1</v>
      </c>
      <c r="H1334">
        <f>VLOOKUP(AvatarMatResID[[#This Row],[Sex]],SexID[],2,0)</f>
        <v>2</v>
      </c>
      <c r="I1334" t="str">
        <f>AvatarMatResID[[#This Row],[Material]]</f>
        <v>Male White S Robe 02 Green</v>
      </c>
    </row>
    <row r="1335" spans="1:9" x14ac:dyDescent="0.15">
      <c r="A1335" t="s">
        <v>454</v>
      </c>
      <c r="B1335" t="s">
        <v>1923</v>
      </c>
      <c r="C1335" t="s">
        <v>1724</v>
      </c>
      <c r="D1335">
        <v>665</v>
      </c>
      <c r="F1335">
        <f>OUTPUTAvatarMatResID[[#This Row],[AvatarPartID]]*10000+OUTPUTAvatarMatResID[[#This Row],[SexID]]*1000+AvatarMatResID[[#This Row],[CountIndex]]</f>
        <v>12665</v>
      </c>
      <c r="G1335">
        <f>VLOOKUP(AvatarMatResID[[#This Row],[AvatarPart]],AvatarPartID[],2,0)</f>
        <v>1</v>
      </c>
      <c r="H1335">
        <f>VLOOKUP(AvatarMatResID[[#This Row],[Sex]],SexID[],2,0)</f>
        <v>2</v>
      </c>
      <c r="I1335" t="str">
        <f>AvatarMatResID[[#This Row],[Material]]</f>
        <v>Male White S Robe 02 Purple</v>
      </c>
    </row>
    <row r="1336" spans="1:9" x14ac:dyDescent="0.15">
      <c r="A1336" t="s">
        <v>454</v>
      </c>
      <c r="B1336" t="s">
        <v>1923</v>
      </c>
      <c r="C1336" t="s">
        <v>1725</v>
      </c>
      <c r="D1336">
        <v>666</v>
      </c>
      <c r="F1336">
        <f>OUTPUTAvatarMatResID[[#This Row],[AvatarPartID]]*10000+OUTPUTAvatarMatResID[[#This Row],[SexID]]*1000+AvatarMatResID[[#This Row],[CountIndex]]</f>
        <v>12666</v>
      </c>
      <c r="G1336">
        <f>VLOOKUP(AvatarMatResID[[#This Row],[AvatarPart]],AvatarPartID[],2,0)</f>
        <v>1</v>
      </c>
      <c r="H1336">
        <f>VLOOKUP(AvatarMatResID[[#This Row],[Sex]],SexID[],2,0)</f>
        <v>2</v>
      </c>
      <c r="I1336" t="str">
        <f>AvatarMatResID[[#This Row],[Material]]</f>
        <v>Male White S Robe 02 Red</v>
      </c>
    </row>
    <row r="1337" spans="1:9" x14ac:dyDescent="0.15">
      <c r="A1337" t="s">
        <v>454</v>
      </c>
      <c r="B1337" t="s">
        <v>1923</v>
      </c>
      <c r="C1337" t="s">
        <v>1652</v>
      </c>
      <c r="D1337">
        <v>667</v>
      </c>
      <c r="F1337">
        <f>OUTPUTAvatarMatResID[[#This Row],[AvatarPartID]]*10000+OUTPUTAvatarMatResID[[#This Row],[SexID]]*1000+AvatarMatResID[[#This Row],[CountIndex]]</f>
        <v>12667</v>
      </c>
      <c r="G1337">
        <f>VLOOKUP(AvatarMatResID[[#This Row],[AvatarPart]],AvatarPartID[],2,0)</f>
        <v>1</v>
      </c>
      <c r="H1337">
        <f>VLOOKUP(AvatarMatResID[[#This Row],[Sex]],SexID[],2,0)</f>
        <v>2</v>
      </c>
      <c r="I1337" t="str">
        <f>AvatarMatResID[[#This Row],[Material]]</f>
        <v>Male White Santa 01</v>
      </c>
    </row>
    <row r="1338" spans="1:9" x14ac:dyDescent="0.15">
      <c r="A1338" t="s">
        <v>454</v>
      </c>
      <c r="B1338" t="s">
        <v>1923</v>
      </c>
      <c r="C1338" t="s">
        <v>1653</v>
      </c>
      <c r="D1338">
        <v>668</v>
      </c>
      <c r="F1338">
        <f>OUTPUTAvatarMatResID[[#This Row],[AvatarPartID]]*10000+OUTPUTAvatarMatResID[[#This Row],[SexID]]*1000+AvatarMatResID[[#This Row],[CountIndex]]</f>
        <v>12668</v>
      </c>
      <c r="G1338">
        <f>VLOOKUP(AvatarMatResID[[#This Row],[AvatarPart]],AvatarPartID[],2,0)</f>
        <v>1</v>
      </c>
      <c r="H1338">
        <f>VLOOKUP(AvatarMatResID[[#This Row],[Sex]],SexID[],2,0)</f>
        <v>2</v>
      </c>
      <c r="I1338" t="str">
        <f>AvatarMatResID[[#This Row],[Material]]</f>
        <v>Male White Wizard 01 Black</v>
      </c>
    </row>
    <row r="1339" spans="1:9" x14ac:dyDescent="0.15">
      <c r="A1339" t="s">
        <v>454</v>
      </c>
      <c r="B1339" t="s">
        <v>1923</v>
      </c>
      <c r="C1339" t="s">
        <v>1654</v>
      </c>
      <c r="D1339">
        <v>669</v>
      </c>
      <c r="F1339">
        <f>OUTPUTAvatarMatResID[[#This Row],[AvatarPartID]]*10000+OUTPUTAvatarMatResID[[#This Row],[SexID]]*1000+AvatarMatResID[[#This Row],[CountIndex]]</f>
        <v>12669</v>
      </c>
      <c r="G1339">
        <f>VLOOKUP(AvatarMatResID[[#This Row],[AvatarPart]],AvatarPartID[],2,0)</f>
        <v>1</v>
      </c>
      <c r="H1339">
        <f>VLOOKUP(AvatarMatResID[[#This Row],[Sex]],SexID[],2,0)</f>
        <v>2</v>
      </c>
      <c r="I1339" t="str">
        <f>AvatarMatResID[[#This Row],[Material]]</f>
        <v>Male White Wizard 01 Blue</v>
      </c>
    </row>
    <row r="1340" spans="1:9" x14ac:dyDescent="0.15">
      <c r="A1340" t="s">
        <v>454</v>
      </c>
      <c r="B1340" t="s">
        <v>1923</v>
      </c>
      <c r="C1340" t="s">
        <v>1655</v>
      </c>
      <c r="D1340">
        <v>670</v>
      </c>
      <c r="F1340">
        <f>OUTPUTAvatarMatResID[[#This Row],[AvatarPartID]]*10000+OUTPUTAvatarMatResID[[#This Row],[SexID]]*1000+AvatarMatResID[[#This Row],[CountIndex]]</f>
        <v>12670</v>
      </c>
      <c r="G1340">
        <f>VLOOKUP(AvatarMatResID[[#This Row],[AvatarPart]],AvatarPartID[],2,0)</f>
        <v>1</v>
      </c>
      <c r="H1340">
        <f>VLOOKUP(AvatarMatResID[[#This Row],[Sex]],SexID[],2,0)</f>
        <v>2</v>
      </c>
      <c r="I1340" t="str">
        <f>AvatarMatResID[[#This Row],[Material]]</f>
        <v>Male White Wizard 01 Green</v>
      </c>
    </row>
    <row r="1341" spans="1:9" x14ac:dyDescent="0.15">
      <c r="A1341" t="s">
        <v>454</v>
      </c>
      <c r="B1341" t="s">
        <v>1923</v>
      </c>
      <c r="C1341" t="s">
        <v>1656</v>
      </c>
      <c r="D1341">
        <v>671</v>
      </c>
      <c r="F1341">
        <f>OUTPUTAvatarMatResID[[#This Row],[AvatarPartID]]*10000+OUTPUTAvatarMatResID[[#This Row],[SexID]]*1000+AvatarMatResID[[#This Row],[CountIndex]]</f>
        <v>12671</v>
      </c>
      <c r="G1341">
        <f>VLOOKUP(AvatarMatResID[[#This Row],[AvatarPart]],AvatarPartID[],2,0)</f>
        <v>1</v>
      </c>
      <c r="H1341">
        <f>VLOOKUP(AvatarMatResID[[#This Row],[Sex]],SexID[],2,0)</f>
        <v>2</v>
      </c>
      <c r="I1341" t="str">
        <f>AvatarMatResID[[#This Row],[Material]]</f>
        <v>Male White Wizard 01 Purple</v>
      </c>
    </row>
    <row r="1342" spans="1:9" x14ac:dyDescent="0.15">
      <c r="A1342" t="s">
        <v>454</v>
      </c>
      <c r="B1342" t="s">
        <v>1923</v>
      </c>
      <c r="C1342" t="s">
        <v>1657</v>
      </c>
      <c r="D1342">
        <v>672</v>
      </c>
      <c r="F1342">
        <f>OUTPUTAvatarMatResID[[#This Row],[AvatarPartID]]*10000+OUTPUTAvatarMatResID[[#This Row],[SexID]]*1000+AvatarMatResID[[#This Row],[CountIndex]]</f>
        <v>12672</v>
      </c>
      <c r="G1342">
        <f>VLOOKUP(AvatarMatResID[[#This Row],[AvatarPart]],AvatarPartID[],2,0)</f>
        <v>1</v>
      </c>
      <c r="H1342">
        <f>VLOOKUP(AvatarMatResID[[#This Row],[Sex]],SexID[],2,0)</f>
        <v>2</v>
      </c>
      <c r="I1342" t="str">
        <f>AvatarMatResID[[#This Row],[Material]]</f>
        <v>Male White Wizard 01 Red</v>
      </c>
    </row>
    <row r="1343" spans="1:9" x14ac:dyDescent="0.15">
      <c r="A1343" t="s">
        <v>454</v>
      </c>
      <c r="B1343" t="s">
        <v>1923</v>
      </c>
      <c r="C1343" t="s">
        <v>1658</v>
      </c>
      <c r="D1343">
        <v>673</v>
      </c>
      <c r="F1343">
        <f>OUTPUTAvatarMatResID[[#This Row],[AvatarPartID]]*10000+OUTPUTAvatarMatResID[[#This Row],[SexID]]*1000+AvatarMatResID[[#This Row],[CountIndex]]</f>
        <v>12673</v>
      </c>
      <c r="G1343">
        <f>VLOOKUP(AvatarMatResID[[#This Row],[AvatarPart]],AvatarPartID[],2,0)</f>
        <v>1</v>
      </c>
      <c r="H1343">
        <f>VLOOKUP(AvatarMatResID[[#This Row],[Sex]],SexID[],2,0)</f>
        <v>2</v>
      </c>
      <c r="I1343" t="str">
        <f>AvatarMatResID[[#This Row],[Material]]</f>
        <v>Male White Wizard 01 White</v>
      </c>
    </row>
    <row r="1344" spans="1:9" x14ac:dyDescent="0.15">
      <c r="A1344" t="s">
        <v>454</v>
      </c>
      <c r="B1344" t="s">
        <v>1923</v>
      </c>
      <c r="C1344" t="s">
        <v>1659</v>
      </c>
      <c r="D1344">
        <v>674</v>
      </c>
      <c r="F1344">
        <f>OUTPUTAvatarMatResID[[#This Row],[AvatarPartID]]*10000+OUTPUTAvatarMatResID[[#This Row],[SexID]]*1000+AvatarMatResID[[#This Row],[CountIndex]]</f>
        <v>12674</v>
      </c>
      <c r="G1344">
        <f>VLOOKUP(AvatarMatResID[[#This Row],[AvatarPart]],AvatarPartID[],2,0)</f>
        <v>1</v>
      </c>
      <c r="H1344">
        <f>VLOOKUP(AvatarMatResID[[#This Row],[Sex]],SexID[],2,0)</f>
        <v>2</v>
      </c>
      <c r="I1344" t="str">
        <f>AvatarMatResID[[#This Row],[Material]]</f>
        <v>Male White Wizard 02 Black</v>
      </c>
    </row>
    <row r="1345" spans="1:9" x14ac:dyDescent="0.15">
      <c r="A1345" t="s">
        <v>454</v>
      </c>
      <c r="B1345" t="s">
        <v>1923</v>
      </c>
      <c r="C1345" t="s">
        <v>1660</v>
      </c>
      <c r="D1345">
        <v>675</v>
      </c>
      <c r="F1345">
        <f>OUTPUTAvatarMatResID[[#This Row],[AvatarPartID]]*10000+OUTPUTAvatarMatResID[[#This Row],[SexID]]*1000+AvatarMatResID[[#This Row],[CountIndex]]</f>
        <v>12675</v>
      </c>
      <c r="G1345">
        <f>VLOOKUP(AvatarMatResID[[#This Row],[AvatarPart]],AvatarPartID[],2,0)</f>
        <v>1</v>
      </c>
      <c r="H1345">
        <f>VLOOKUP(AvatarMatResID[[#This Row],[Sex]],SexID[],2,0)</f>
        <v>2</v>
      </c>
      <c r="I1345" t="str">
        <f>AvatarMatResID[[#This Row],[Material]]</f>
        <v>Male White Wizard 02 Blue</v>
      </c>
    </row>
    <row r="1346" spans="1:9" x14ac:dyDescent="0.15">
      <c r="A1346" t="s">
        <v>454</v>
      </c>
      <c r="B1346" t="s">
        <v>1923</v>
      </c>
      <c r="C1346" t="s">
        <v>1661</v>
      </c>
      <c r="D1346">
        <v>676</v>
      </c>
      <c r="F1346">
        <f>OUTPUTAvatarMatResID[[#This Row],[AvatarPartID]]*10000+OUTPUTAvatarMatResID[[#This Row],[SexID]]*1000+AvatarMatResID[[#This Row],[CountIndex]]</f>
        <v>12676</v>
      </c>
      <c r="G1346">
        <f>VLOOKUP(AvatarMatResID[[#This Row],[AvatarPart]],AvatarPartID[],2,0)</f>
        <v>1</v>
      </c>
      <c r="H1346">
        <f>VLOOKUP(AvatarMatResID[[#This Row],[Sex]],SexID[],2,0)</f>
        <v>2</v>
      </c>
      <c r="I1346" t="str">
        <f>AvatarMatResID[[#This Row],[Material]]</f>
        <v>Male White Wizard 02 Brown</v>
      </c>
    </row>
    <row r="1347" spans="1:9" x14ac:dyDescent="0.15">
      <c r="A1347" t="s">
        <v>454</v>
      </c>
      <c r="B1347" t="s">
        <v>1923</v>
      </c>
      <c r="C1347" t="s">
        <v>1662</v>
      </c>
      <c r="D1347">
        <v>677</v>
      </c>
      <c r="F1347">
        <f>OUTPUTAvatarMatResID[[#This Row],[AvatarPartID]]*10000+OUTPUTAvatarMatResID[[#This Row],[SexID]]*1000+AvatarMatResID[[#This Row],[CountIndex]]</f>
        <v>12677</v>
      </c>
      <c r="G1347">
        <f>VLOOKUP(AvatarMatResID[[#This Row],[AvatarPart]],AvatarPartID[],2,0)</f>
        <v>1</v>
      </c>
      <c r="H1347">
        <f>VLOOKUP(AvatarMatResID[[#This Row],[Sex]],SexID[],2,0)</f>
        <v>2</v>
      </c>
      <c r="I1347" t="str">
        <f>AvatarMatResID[[#This Row],[Material]]</f>
        <v>Male White Wizard 02 Green</v>
      </c>
    </row>
    <row r="1348" spans="1:9" x14ac:dyDescent="0.15">
      <c r="A1348" t="s">
        <v>454</v>
      </c>
      <c r="B1348" t="s">
        <v>1923</v>
      </c>
      <c r="C1348" t="s">
        <v>1663</v>
      </c>
      <c r="D1348">
        <v>678</v>
      </c>
      <c r="F1348">
        <f>OUTPUTAvatarMatResID[[#This Row],[AvatarPartID]]*10000+OUTPUTAvatarMatResID[[#This Row],[SexID]]*1000+AvatarMatResID[[#This Row],[CountIndex]]</f>
        <v>12678</v>
      </c>
      <c r="G1348">
        <f>VLOOKUP(AvatarMatResID[[#This Row],[AvatarPart]],AvatarPartID[],2,0)</f>
        <v>1</v>
      </c>
      <c r="H1348">
        <f>VLOOKUP(AvatarMatResID[[#This Row],[Sex]],SexID[],2,0)</f>
        <v>2</v>
      </c>
      <c r="I1348" t="str">
        <f>AvatarMatResID[[#This Row],[Material]]</f>
        <v>Male White Wizard 02 Purple</v>
      </c>
    </row>
    <row r="1349" spans="1:9" x14ac:dyDescent="0.15">
      <c r="A1349" t="s">
        <v>454</v>
      </c>
      <c r="B1349" t="s">
        <v>1923</v>
      </c>
      <c r="C1349" t="s">
        <v>1664</v>
      </c>
      <c r="D1349">
        <v>679</v>
      </c>
      <c r="F1349">
        <f>OUTPUTAvatarMatResID[[#This Row],[AvatarPartID]]*10000+OUTPUTAvatarMatResID[[#This Row],[SexID]]*1000+AvatarMatResID[[#This Row],[CountIndex]]</f>
        <v>12679</v>
      </c>
      <c r="G1349">
        <f>VLOOKUP(AvatarMatResID[[#This Row],[AvatarPart]],AvatarPartID[],2,0)</f>
        <v>1</v>
      </c>
      <c r="H1349">
        <f>VLOOKUP(AvatarMatResID[[#This Row],[Sex]],SexID[],2,0)</f>
        <v>2</v>
      </c>
      <c r="I1349" t="str">
        <f>AvatarMatResID[[#This Row],[Material]]</f>
        <v>Male White Wizard 02 Red</v>
      </c>
    </row>
    <row r="1350" spans="1:9" x14ac:dyDescent="0.15">
      <c r="A1350" t="s">
        <v>454</v>
      </c>
      <c r="B1350" t="s">
        <v>1923</v>
      </c>
      <c r="C1350" t="s">
        <v>1665</v>
      </c>
      <c r="D1350">
        <v>680</v>
      </c>
      <c r="F1350">
        <f>OUTPUTAvatarMatResID[[#This Row],[AvatarPartID]]*10000+OUTPUTAvatarMatResID[[#This Row],[SexID]]*1000+AvatarMatResID[[#This Row],[CountIndex]]</f>
        <v>12680</v>
      </c>
      <c r="G1350">
        <f>VLOOKUP(AvatarMatResID[[#This Row],[AvatarPart]],AvatarPartID[],2,0)</f>
        <v>1</v>
      </c>
      <c r="H1350">
        <f>VLOOKUP(AvatarMatResID[[#This Row],[Sex]],SexID[],2,0)</f>
        <v>2</v>
      </c>
      <c r="I1350" t="str">
        <f>AvatarMatResID[[#This Row],[Material]]</f>
        <v>Male White Wizard 02 White</v>
      </c>
    </row>
    <row r="1351" spans="1:9" x14ac:dyDescent="0.15">
      <c r="A1351" t="s">
        <v>454</v>
      </c>
      <c r="B1351" t="s">
        <v>1923</v>
      </c>
      <c r="C1351" t="s">
        <v>1666</v>
      </c>
      <c r="D1351">
        <v>681</v>
      </c>
      <c r="F1351">
        <f>OUTPUTAvatarMatResID[[#This Row],[AvatarPartID]]*10000+OUTPUTAvatarMatResID[[#This Row],[SexID]]*1000+AvatarMatResID[[#This Row],[CountIndex]]</f>
        <v>12681</v>
      </c>
      <c r="G1351">
        <f>VLOOKUP(AvatarMatResID[[#This Row],[AvatarPart]],AvatarPartID[],2,0)</f>
        <v>1</v>
      </c>
      <c r="H1351">
        <f>VLOOKUP(AvatarMatResID[[#This Row],[Sex]],SexID[],2,0)</f>
        <v>2</v>
      </c>
      <c r="I1351" t="str">
        <f>AvatarMatResID[[#This Row],[Material]]</f>
        <v>Male White Wizard 03 Black</v>
      </c>
    </row>
    <row r="1352" spans="1:9" x14ac:dyDescent="0.15">
      <c r="A1352" t="s">
        <v>454</v>
      </c>
      <c r="B1352" t="s">
        <v>1923</v>
      </c>
      <c r="C1352" t="s">
        <v>1667</v>
      </c>
      <c r="D1352">
        <v>682</v>
      </c>
      <c r="F1352">
        <f>OUTPUTAvatarMatResID[[#This Row],[AvatarPartID]]*10000+OUTPUTAvatarMatResID[[#This Row],[SexID]]*1000+AvatarMatResID[[#This Row],[CountIndex]]</f>
        <v>12682</v>
      </c>
      <c r="G1352">
        <f>VLOOKUP(AvatarMatResID[[#This Row],[AvatarPart]],AvatarPartID[],2,0)</f>
        <v>1</v>
      </c>
      <c r="H1352">
        <f>VLOOKUP(AvatarMatResID[[#This Row],[Sex]],SexID[],2,0)</f>
        <v>2</v>
      </c>
      <c r="I1352" t="str">
        <f>AvatarMatResID[[#This Row],[Material]]</f>
        <v>Male White Wizard 03 Blue</v>
      </c>
    </row>
    <row r="1353" spans="1:9" x14ac:dyDescent="0.15">
      <c r="A1353" t="s">
        <v>454</v>
      </c>
      <c r="B1353" t="s">
        <v>1923</v>
      </c>
      <c r="C1353" t="s">
        <v>1668</v>
      </c>
      <c r="D1353">
        <v>683</v>
      </c>
      <c r="F1353">
        <f>OUTPUTAvatarMatResID[[#This Row],[AvatarPartID]]*10000+OUTPUTAvatarMatResID[[#This Row],[SexID]]*1000+AvatarMatResID[[#This Row],[CountIndex]]</f>
        <v>12683</v>
      </c>
      <c r="G1353">
        <f>VLOOKUP(AvatarMatResID[[#This Row],[AvatarPart]],AvatarPartID[],2,0)</f>
        <v>1</v>
      </c>
      <c r="H1353">
        <f>VLOOKUP(AvatarMatResID[[#This Row],[Sex]],SexID[],2,0)</f>
        <v>2</v>
      </c>
      <c r="I1353" t="str">
        <f>AvatarMatResID[[#This Row],[Material]]</f>
        <v>Male White Wizard 03 Green</v>
      </c>
    </row>
    <row r="1354" spans="1:9" x14ac:dyDescent="0.15">
      <c r="A1354" t="s">
        <v>454</v>
      </c>
      <c r="B1354" t="s">
        <v>1923</v>
      </c>
      <c r="C1354" t="s">
        <v>1669</v>
      </c>
      <c r="D1354">
        <v>684</v>
      </c>
      <c r="F1354">
        <f>OUTPUTAvatarMatResID[[#This Row],[AvatarPartID]]*10000+OUTPUTAvatarMatResID[[#This Row],[SexID]]*1000+AvatarMatResID[[#This Row],[CountIndex]]</f>
        <v>12684</v>
      </c>
      <c r="G1354">
        <f>VLOOKUP(AvatarMatResID[[#This Row],[AvatarPart]],AvatarPartID[],2,0)</f>
        <v>1</v>
      </c>
      <c r="H1354">
        <f>VLOOKUP(AvatarMatResID[[#This Row],[Sex]],SexID[],2,0)</f>
        <v>2</v>
      </c>
      <c r="I1354" t="str">
        <f>AvatarMatResID[[#This Row],[Material]]</f>
        <v>Male White Wizard 03 Purple</v>
      </c>
    </row>
    <row r="1355" spans="1:9" x14ac:dyDescent="0.15">
      <c r="A1355" t="s">
        <v>454</v>
      </c>
      <c r="B1355" t="s">
        <v>1923</v>
      </c>
      <c r="C1355" t="s">
        <v>1670</v>
      </c>
      <c r="D1355">
        <v>685</v>
      </c>
      <c r="F1355">
        <f>OUTPUTAvatarMatResID[[#This Row],[AvatarPartID]]*10000+OUTPUTAvatarMatResID[[#This Row],[SexID]]*1000+AvatarMatResID[[#This Row],[CountIndex]]</f>
        <v>12685</v>
      </c>
      <c r="G1355">
        <f>VLOOKUP(AvatarMatResID[[#This Row],[AvatarPart]],AvatarPartID[],2,0)</f>
        <v>1</v>
      </c>
      <c r="H1355">
        <f>VLOOKUP(AvatarMatResID[[#This Row],[Sex]],SexID[],2,0)</f>
        <v>2</v>
      </c>
      <c r="I1355" t="str">
        <f>AvatarMatResID[[#This Row],[Material]]</f>
        <v>Male White Wizard 03 Red</v>
      </c>
    </row>
    <row r="1356" spans="1:9" x14ac:dyDescent="0.15">
      <c r="A1356" t="s">
        <v>454</v>
      </c>
      <c r="B1356" t="s">
        <v>1923</v>
      </c>
      <c r="C1356" t="s">
        <v>1671</v>
      </c>
      <c r="D1356">
        <v>686</v>
      </c>
      <c r="F1356">
        <f>OUTPUTAvatarMatResID[[#This Row],[AvatarPartID]]*10000+OUTPUTAvatarMatResID[[#This Row],[SexID]]*1000+AvatarMatResID[[#This Row],[CountIndex]]</f>
        <v>12686</v>
      </c>
      <c r="G1356">
        <f>VLOOKUP(AvatarMatResID[[#This Row],[AvatarPart]],AvatarPartID[],2,0)</f>
        <v>1</v>
      </c>
      <c r="H1356">
        <f>VLOOKUP(AvatarMatResID[[#This Row],[Sex]],SexID[],2,0)</f>
        <v>2</v>
      </c>
      <c r="I1356" t="str">
        <f>AvatarMatResID[[#This Row],[Material]]</f>
        <v>Male White Wizard 03 Yellow</v>
      </c>
    </row>
    <row r="1357" spans="1:9" x14ac:dyDescent="0.15">
      <c r="A1357" t="s">
        <v>454</v>
      </c>
      <c r="B1357" t="s">
        <v>1923</v>
      </c>
      <c r="C1357" t="s">
        <v>1672</v>
      </c>
      <c r="D1357">
        <v>687</v>
      </c>
      <c r="F1357">
        <f>OUTPUTAvatarMatResID[[#This Row],[AvatarPartID]]*10000+OUTPUTAvatarMatResID[[#This Row],[SexID]]*1000+AvatarMatResID[[#This Row],[CountIndex]]</f>
        <v>12687</v>
      </c>
      <c r="G1357">
        <f>VLOOKUP(AvatarMatResID[[#This Row],[AvatarPart]],AvatarPartID[],2,0)</f>
        <v>1</v>
      </c>
      <c r="H1357">
        <f>VLOOKUP(AvatarMatResID[[#This Row],[Sex]],SexID[],2,0)</f>
        <v>2</v>
      </c>
      <c r="I1357" t="str">
        <f>AvatarMatResID[[#This Row],[Material]]</f>
        <v>Male White Wizard 04 Black</v>
      </c>
    </row>
    <row r="1358" spans="1:9" x14ac:dyDescent="0.15">
      <c r="A1358" t="s">
        <v>454</v>
      </c>
      <c r="B1358" t="s">
        <v>1923</v>
      </c>
      <c r="C1358" t="s">
        <v>1673</v>
      </c>
      <c r="D1358">
        <v>688</v>
      </c>
      <c r="F1358">
        <f>OUTPUTAvatarMatResID[[#This Row],[AvatarPartID]]*10000+OUTPUTAvatarMatResID[[#This Row],[SexID]]*1000+AvatarMatResID[[#This Row],[CountIndex]]</f>
        <v>12688</v>
      </c>
      <c r="G1358">
        <f>VLOOKUP(AvatarMatResID[[#This Row],[AvatarPart]],AvatarPartID[],2,0)</f>
        <v>1</v>
      </c>
      <c r="H1358">
        <f>VLOOKUP(AvatarMatResID[[#This Row],[Sex]],SexID[],2,0)</f>
        <v>2</v>
      </c>
      <c r="I1358" t="str">
        <f>AvatarMatResID[[#This Row],[Material]]</f>
        <v>Male White Wizard 04 Blue</v>
      </c>
    </row>
    <row r="1359" spans="1:9" x14ac:dyDescent="0.15">
      <c r="A1359" t="s">
        <v>454</v>
      </c>
      <c r="B1359" t="s">
        <v>1923</v>
      </c>
      <c r="C1359" t="s">
        <v>1674</v>
      </c>
      <c r="D1359">
        <v>689</v>
      </c>
      <c r="F1359">
        <f>OUTPUTAvatarMatResID[[#This Row],[AvatarPartID]]*10000+OUTPUTAvatarMatResID[[#This Row],[SexID]]*1000+AvatarMatResID[[#This Row],[CountIndex]]</f>
        <v>12689</v>
      </c>
      <c r="G1359">
        <f>VLOOKUP(AvatarMatResID[[#This Row],[AvatarPart]],AvatarPartID[],2,0)</f>
        <v>1</v>
      </c>
      <c r="H1359">
        <f>VLOOKUP(AvatarMatResID[[#This Row],[Sex]],SexID[],2,0)</f>
        <v>2</v>
      </c>
      <c r="I1359" t="str">
        <f>AvatarMatResID[[#This Row],[Material]]</f>
        <v>Male White Wizard 04 Brown</v>
      </c>
    </row>
    <row r="1360" spans="1:9" x14ac:dyDescent="0.15">
      <c r="A1360" t="s">
        <v>454</v>
      </c>
      <c r="B1360" t="s">
        <v>1923</v>
      </c>
      <c r="C1360" t="s">
        <v>1675</v>
      </c>
      <c r="D1360">
        <v>690</v>
      </c>
      <c r="F1360">
        <f>OUTPUTAvatarMatResID[[#This Row],[AvatarPartID]]*10000+OUTPUTAvatarMatResID[[#This Row],[SexID]]*1000+AvatarMatResID[[#This Row],[CountIndex]]</f>
        <v>12690</v>
      </c>
      <c r="G1360">
        <f>VLOOKUP(AvatarMatResID[[#This Row],[AvatarPart]],AvatarPartID[],2,0)</f>
        <v>1</v>
      </c>
      <c r="H1360">
        <f>VLOOKUP(AvatarMatResID[[#This Row],[Sex]],SexID[],2,0)</f>
        <v>2</v>
      </c>
      <c r="I1360" t="str">
        <f>AvatarMatResID[[#This Row],[Material]]</f>
        <v>Male White Wizard 04 Green</v>
      </c>
    </row>
    <row r="1361" spans="1:9" x14ac:dyDescent="0.15">
      <c r="A1361" t="s">
        <v>454</v>
      </c>
      <c r="B1361" t="s">
        <v>1923</v>
      </c>
      <c r="C1361" t="s">
        <v>1676</v>
      </c>
      <c r="D1361">
        <v>691</v>
      </c>
      <c r="F1361">
        <f>OUTPUTAvatarMatResID[[#This Row],[AvatarPartID]]*10000+OUTPUTAvatarMatResID[[#This Row],[SexID]]*1000+AvatarMatResID[[#This Row],[CountIndex]]</f>
        <v>12691</v>
      </c>
      <c r="G1361">
        <f>VLOOKUP(AvatarMatResID[[#This Row],[AvatarPart]],AvatarPartID[],2,0)</f>
        <v>1</v>
      </c>
      <c r="H1361">
        <f>VLOOKUP(AvatarMatResID[[#This Row],[Sex]],SexID[],2,0)</f>
        <v>2</v>
      </c>
      <c r="I1361" t="str">
        <f>AvatarMatResID[[#This Row],[Material]]</f>
        <v>Male White Wizard 04 Magenta</v>
      </c>
    </row>
    <row r="1362" spans="1:9" x14ac:dyDescent="0.15">
      <c r="A1362" t="s">
        <v>454</v>
      </c>
      <c r="B1362" t="s">
        <v>1923</v>
      </c>
      <c r="C1362" t="s">
        <v>1677</v>
      </c>
      <c r="D1362">
        <v>692</v>
      </c>
      <c r="F1362">
        <f>OUTPUTAvatarMatResID[[#This Row],[AvatarPartID]]*10000+OUTPUTAvatarMatResID[[#This Row],[SexID]]*1000+AvatarMatResID[[#This Row],[CountIndex]]</f>
        <v>12692</v>
      </c>
      <c r="G1362">
        <f>VLOOKUP(AvatarMatResID[[#This Row],[AvatarPart]],AvatarPartID[],2,0)</f>
        <v>1</v>
      </c>
      <c r="H1362">
        <f>VLOOKUP(AvatarMatResID[[#This Row],[Sex]],SexID[],2,0)</f>
        <v>2</v>
      </c>
      <c r="I1362" t="str">
        <f>AvatarMatResID[[#This Row],[Material]]</f>
        <v>Male White Wizard 04 Purple</v>
      </c>
    </row>
    <row r="1363" spans="1:9" x14ac:dyDescent="0.15">
      <c r="A1363" t="s">
        <v>454</v>
      </c>
      <c r="B1363" t="s">
        <v>1923</v>
      </c>
      <c r="C1363" t="s">
        <v>1678</v>
      </c>
      <c r="D1363">
        <v>693</v>
      </c>
      <c r="F1363">
        <f>OUTPUTAvatarMatResID[[#This Row],[AvatarPartID]]*10000+OUTPUTAvatarMatResID[[#This Row],[SexID]]*1000+AvatarMatResID[[#This Row],[CountIndex]]</f>
        <v>12693</v>
      </c>
      <c r="G1363">
        <f>VLOOKUP(AvatarMatResID[[#This Row],[AvatarPart]],AvatarPartID[],2,0)</f>
        <v>1</v>
      </c>
      <c r="H1363">
        <f>VLOOKUP(AvatarMatResID[[#This Row],[Sex]],SexID[],2,0)</f>
        <v>2</v>
      </c>
      <c r="I1363" t="str">
        <f>AvatarMatResID[[#This Row],[Material]]</f>
        <v>Male White Wizard 04 Red</v>
      </c>
    </row>
    <row r="1364" spans="1:9" x14ac:dyDescent="0.15">
      <c r="A1364" t="s">
        <v>454</v>
      </c>
      <c r="B1364" t="s">
        <v>1923</v>
      </c>
      <c r="C1364" t="s">
        <v>1679</v>
      </c>
      <c r="D1364">
        <v>694</v>
      </c>
      <c r="F1364">
        <f>OUTPUTAvatarMatResID[[#This Row],[AvatarPartID]]*10000+OUTPUTAvatarMatResID[[#This Row],[SexID]]*1000+AvatarMatResID[[#This Row],[CountIndex]]</f>
        <v>12694</v>
      </c>
      <c r="G1364">
        <f>VLOOKUP(AvatarMatResID[[#This Row],[AvatarPart]],AvatarPartID[],2,0)</f>
        <v>1</v>
      </c>
      <c r="H1364">
        <f>VLOOKUP(AvatarMatResID[[#This Row],[Sex]],SexID[],2,0)</f>
        <v>2</v>
      </c>
      <c r="I1364" t="str">
        <f>AvatarMatResID[[#This Row],[Material]]</f>
        <v>Male White Wizard 04 White</v>
      </c>
    </row>
    <row r="1365" spans="1:9" x14ac:dyDescent="0.15">
      <c r="A1365" t="s">
        <v>454</v>
      </c>
      <c r="B1365" t="s">
        <v>1923</v>
      </c>
      <c r="C1365" t="s">
        <v>1680</v>
      </c>
      <c r="D1365">
        <v>695</v>
      </c>
      <c r="F1365">
        <f>OUTPUTAvatarMatResID[[#This Row],[AvatarPartID]]*10000+OUTPUTAvatarMatResID[[#This Row],[SexID]]*1000+AvatarMatResID[[#This Row],[CountIndex]]</f>
        <v>12695</v>
      </c>
      <c r="G1365">
        <f>VLOOKUP(AvatarMatResID[[#This Row],[AvatarPart]],AvatarPartID[],2,0)</f>
        <v>1</v>
      </c>
      <c r="H1365">
        <f>VLOOKUP(AvatarMatResID[[#This Row],[Sex]],SexID[],2,0)</f>
        <v>2</v>
      </c>
      <c r="I1365" t="str">
        <f>AvatarMatResID[[#This Row],[Material]]</f>
        <v>Male White Wizard 05 Black</v>
      </c>
    </row>
    <row r="1366" spans="1:9" x14ac:dyDescent="0.15">
      <c r="A1366" t="s">
        <v>454</v>
      </c>
      <c r="B1366" t="s">
        <v>1923</v>
      </c>
      <c r="C1366" t="s">
        <v>1681</v>
      </c>
      <c r="D1366">
        <v>696</v>
      </c>
      <c r="F1366">
        <f>OUTPUTAvatarMatResID[[#This Row],[AvatarPartID]]*10000+OUTPUTAvatarMatResID[[#This Row],[SexID]]*1000+AvatarMatResID[[#This Row],[CountIndex]]</f>
        <v>12696</v>
      </c>
      <c r="G1366">
        <f>VLOOKUP(AvatarMatResID[[#This Row],[AvatarPart]],AvatarPartID[],2,0)</f>
        <v>1</v>
      </c>
      <c r="H1366">
        <f>VLOOKUP(AvatarMatResID[[#This Row],[Sex]],SexID[],2,0)</f>
        <v>2</v>
      </c>
      <c r="I1366" t="str">
        <f>AvatarMatResID[[#This Row],[Material]]</f>
        <v>Male White Wizard 05 Blue</v>
      </c>
    </row>
    <row r="1367" spans="1:9" x14ac:dyDescent="0.15">
      <c r="A1367" t="s">
        <v>454</v>
      </c>
      <c r="B1367" t="s">
        <v>1923</v>
      </c>
      <c r="C1367" t="s">
        <v>1682</v>
      </c>
      <c r="D1367">
        <v>697</v>
      </c>
      <c r="F1367">
        <f>OUTPUTAvatarMatResID[[#This Row],[AvatarPartID]]*10000+OUTPUTAvatarMatResID[[#This Row],[SexID]]*1000+AvatarMatResID[[#This Row],[CountIndex]]</f>
        <v>12697</v>
      </c>
      <c r="G1367">
        <f>VLOOKUP(AvatarMatResID[[#This Row],[AvatarPart]],AvatarPartID[],2,0)</f>
        <v>1</v>
      </c>
      <c r="H1367">
        <f>VLOOKUP(AvatarMatResID[[#This Row],[Sex]],SexID[],2,0)</f>
        <v>2</v>
      </c>
      <c r="I1367" t="str">
        <f>AvatarMatResID[[#This Row],[Material]]</f>
        <v>Male White Wizard 05 Brown</v>
      </c>
    </row>
    <row r="1368" spans="1:9" x14ac:dyDescent="0.15">
      <c r="A1368" t="s">
        <v>454</v>
      </c>
      <c r="B1368" t="s">
        <v>1923</v>
      </c>
      <c r="C1368" t="s">
        <v>1683</v>
      </c>
      <c r="D1368">
        <v>698</v>
      </c>
      <c r="F1368">
        <f>OUTPUTAvatarMatResID[[#This Row],[AvatarPartID]]*10000+OUTPUTAvatarMatResID[[#This Row],[SexID]]*1000+AvatarMatResID[[#This Row],[CountIndex]]</f>
        <v>12698</v>
      </c>
      <c r="G1368">
        <f>VLOOKUP(AvatarMatResID[[#This Row],[AvatarPart]],AvatarPartID[],2,0)</f>
        <v>1</v>
      </c>
      <c r="H1368">
        <f>VLOOKUP(AvatarMatResID[[#This Row],[Sex]],SexID[],2,0)</f>
        <v>2</v>
      </c>
      <c r="I1368" t="str">
        <f>AvatarMatResID[[#This Row],[Material]]</f>
        <v>Male White Wizard 05 Green</v>
      </c>
    </row>
    <row r="1369" spans="1:9" x14ac:dyDescent="0.15">
      <c r="A1369" t="s">
        <v>454</v>
      </c>
      <c r="B1369" t="s">
        <v>1923</v>
      </c>
      <c r="C1369" t="s">
        <v>1684</v>
      </c>
      <c r="D1369">
        <v>699</v>
      </c>
      <c r="F1369">
        <f>OUTPUTAvatarMatResID[[#This Row],[AvatarPartID]]*10000+OUTPUTAvatarMatResID[[#This Row],[SexID]]*1000+AvatarMatResID[[#This Row],[CountIndex]]</f>
        <v>12699</v>
      </c>
      <c r="G1369">
        <f>VLOOKUP(AvatarMatResID[[#This Row],[AvatarPart]],AvatarPartID[],2,0)</f>
        <v>1</v>
      </c>
      <c r="H1369">
        <f>VLOOKUP(AvatarMatResID[[#This Row],[Sex]],SexID[],2,0)</f>
        <v>2</v>
      </c>
      <c r="I1369" t="str">
        <f>AvatarMatResID[[#This Row],[Material]]</f>
        <v>Male White Wizard 05 Magenta</v>
      </c>
    </row>
    <row r="1370" spans="1:9" x14ac:dyDescent="0.15">
      <c r="A1370" t="s">
        <v>454</v>
      </c>
      <c r="B1370" t="s">
        <v>1923</v>
      </c>
      <c r="C1370" t="s">
        <v>1685</v>
      </c>
      <c r="D1370">
        <v>700</v>
      </c>
      <c r="F1370">
        <f>OUTPUTAvatarMatResID[[#This Row],[AvatarPartID]]*10000+OUTPUTAvatarMatResID[[#This Row],[SexID]]*1000+AvatarMatResID[[#This Row],[CountIndex]]</f>
        <v>12700</v>
      </c>
      <c r="G1370">
        <f>VLOOKUP(AvatarMatResID[[#This Row],[AvatarPart]],AvatarPartID[],2,0)</f>
        <v>1</v>
      </c>
      <c r="H1370">
        <f>VLOOKUP(AvatarMatResID[[#This Row],[Sex]],SexID[],2,0)</f>
        <v>2</v>
      </c>
      <c r="I1370" t="str">
        <f>AvatarMatResID[[#This Row],[Material]]</f>
        <v>Male White Wizard 05 Purple</v>
      </c>
    </row>
    <row r="1371" spans="1:9" x14ac:dyDescent="0.15">
      <c r="A1371" t="s">
        <v>454</v>
      </c>
      <c r="B1371" t="s">
        <v>1923</v>
      </c>
      <c r="C1371" t="s">
        <v>1686</v>
      </c>
      <c r="D1371">
        <v>701</v>
      </c>
      <c r="F1371">
        <f>OUTPUTAvatarMatResID[[#This Row],[AvatarPartID]]*10000+OUTPUTAvatarMatResID[[#This Row],[SexID]]*1000+AvatarMatResID[[#This Row],[CountIndex]]</f>
        <v>12701</v>
      </c>
      <c r="G1371">
        <f>VLOOKUP(AvatarMatResID[[#This Row],[AvatarPart]],AvatarPartID[],2,0)</f>
        <v>1</v>
      </c>
      <c r="H1371">
        <f>VLOOKUP(AvatarMatResID[[#This Row],[Sex]],SexID[],2,0)</f>
        <v>2</v>
      </c>
      <c r="I1371" t="str">
        <f>AvatarMatResID[[#This Row],[Material]]</f>
        <v>Male White Wizard 05 Red</v>
      </c>
    </row>
    <row r="1372" spans="1:9" x14ac:dyDescent="0.15">
      <c r="A1372" t="s">
        <v>454</v>
      </c>
      <c r="B1372" t="s">
        <v>1923</v>
      </c>
      <c r="C1372" t="s">
        <v>1687</v>
      </c>
      <c r="D1372">
        <v>702</v>
      </c>
      <c r="F1372">
        <f>OUTPUTAvatarMatResID[[#This Row],[AvatarPartID]]*10000+OUTPUTAvatarMatResID[[#This Row],[SexID]]*1000+AvatarMatResID[[#This Row],[CountIndex]]</f>
        <v>12702</v>
      </c>
      <c r="G1372">
        <f>VLOOKUP(AvatarMatResID[[#This Row],[AvatarPart]],AvatarPartID[],2,0)</f>
        <v>1</v>
      </c>
      <c r="H1372">
        <f>VLOOKUP(AvatarMatResID[[#This Row],[Sex]],SexID[],2,0)</f>
        <v>2</v>
      </c>
      <c r="I1372" t="str">
        <f>AvatarMatResID[[#This Row],[Material]]</f>
        <v>Male White Wizard 05 White</v>
      </c>
    </row>
    <row r="1373" spans="1:9" x14ac:dyDescent="0.15">
      <c r="A1373" t="s">
        <v>454</v>
      </c>
      <c r="B1373" t="s">
        <v>1923</v>
      </c>
      <c r="C1373" t="s">
        <v>1688</v>
      </c>
      <c r="D1373">
        <v>703</v>
      </c>
      <c r="F1373">
        <f>OUTPUTAvatarMatResID[[#This Row],[AvatarPartID]]*10000+OUTPUTAvatarMatResID[[#This Row],[SexID]]*1000+AvatarMatResID[[#This Row],[CountIndex]]</f>
        <v>12703</v>
      </c>
      <c r="G1373">
        <f>VLOOKUP(AvatarMatResID[[#This Row],[AvatarPart]],AvatarPartID[],2,0)</f>
        <v>1</v>
      </c>
      <c r="H1373">
        <f>VLOOKUP(AvatarMatResID[[#This Row],[Sex]],SexID[],2,0)</f>
        <v>2</v>
      </c>
      <c r="I1373" t="str">
        <f>AvatarMatResID[[#This Row],[Material]]</f>
        <v>Male White Wizard 06 Black</v>
      </c>
    </row>
    <row r="1374" spans="1:9" x14ac:dyDescent="0.15">
      <c r="A1374" t="s">
        <v>454</v>
      </c>
      <c r="B1374" t="s">
        <v>1923</v>
      </c>
      <c r="C1374" t="s">
        <v>1689</v>
      </c>
      <c r="D1374">
        <v>704</v>
      </c>
      <c r="F1374">
        <f>OUTPUTAvatarMatResID[[#This Row],[AvatarPartID]]*10000+OUTPUTAvatarMatResID[[#This Row],[SexID]]*1000+AvatarMatResID[[#This Row],[CountIndex]]</f>
        <v>12704</v>
      </c>
      <c r="G1374">
        <f>VLOOKUP(AvatarMatResID[[#This Row],[AvatarPart]],AvatarPartID[],2,0)</f>
        <v>1</v>
      </c>
      <c r="H1374">
        <f>VLOOKUP(AvatarMatResID[[#This Row],[Sex]],SexID[],2,0)</f>
        <v>2</v>
      </c>
      <c r="I1374" t="str">
        <f>AvatarMatResID[[#This Row],[Material]]</f>
        <v>Male White Wizard 06 Blue</v>
      </c>
    </row>
    <row r="1375" spans="1:9" x14ac:dyDescent="0.15">
      <c r="A1375" t="s">
        <v>454</v>
      </c>
      <c r="B1375" t="s">
        <v>1923</v>
      </c>
      <c r="C1375" t="s">
        <v>1690</v>
      </c>
      <c r="D1375">
        <v>705</v>
      </c>
      <c r="F1375">
        <f>OUTPUTAvatarMatResID[[#This Row],[AvatarPartID]]*10000+OUTPUTAvatarMatResID[[#This Row],[SexID]]*1000+AvatarMatResID[[#This Row],[CountIndex]]</f>
        <v>12705</v>
      </c>
      <c r="G1375">
        <f>VLOOKUP(AvatarMatResID[[#This Row],[AvatarPart]],AvatarPartID[],2,0)</f>
        <v>1</v>
      </c>
      <c r="H1375">
        <f>VLOOKUP(AvatarMatResID[[#This Row],[Sex]],SexID[],2,0)</f>
        <v>2</v>
      </c>
      <c r="I1375" t="str">
        <f>AvatarMatResID[[#This Row],[Material]]</f>
        <v>Male White Wizard 06 Brown</v>
      </c>
    </row>
    <row r="1376" spans="1:9" x14ac:dyDescent="0.15">
      <c r="A1376" t="s">
        <v>454</v>
      </c>
      <c r="B1376" t="s">
        <v>1923</v>
      </c>
      <c r="C1376" t="s">
        <v>1691</v>
      </c>
      <c r="D1376">
        <v>706</v>
      </c>
      <c r="F1376">
        <f>OUTPUTAvatarMatResID[[#This Row],[AvatarPartID]]*10000+OUTPUTAvatarMatResID[[#This Row],[SexID]]*1000+AvatarMatResID[[#This Row],[CountIndex]]</f>
        <v>12706</v>
      </c>
      <c r="G1376">
        <f>VLOOKUP(AvatarMatResID[[#This Row],[AvatarPart]],AvatarPartID[],2,0)</f>
        <v>1</v>
      </c>
      <c r="H1376">
        <f>VLOOKUP(AvatarMatResID[[#This Row],[Sex]],SexID[],2,0)</f>
        <v>2</v>
      </c>
      <c r="I1376" t="str">
        <f>AvatarMatResID[[#This Row],[Material]]</f>
        <v>Male White Wizard 06 Green</v>
      </c>
    </row>
    <row r="1377" spans="1:9" x14ac:dyDescent="0.15">
      <c r="A1377" t="s">
        <v>454</v>
      </c>
      <c r="B1377" t="s">
        <v>1923</v>
      </c>
      <c r="C1377" t="s">
        <v>1692</v>
      </c>
      <c r="D1377">
        <v>707</v>
      </c>
      <c r="F1377">
        <f>OUTPUTAvatarMatResID[[#This Row],[AvatarPartID]]*10000+OUTPUTAvatarMatResID[[#This Row],[SexID]]*1000+AvatarMatResID[[#This Row],[CountIndex]]</f>
        <v>12707</v>
      </c>
      <c r="G1377">
        <f>VLOOKUP(AvatarMatResID[[#This Row],[AvatarPart]],AvatarPartID[],2,0)</f>
        <v>1</v>
      </c>
      <c r="H1377">
        <f>VLOOKUP(AvatarMatResID[[#This Row],[Sex]],SexID[],2,0)</f>
        <v>2</v>
      </c>
      <c r="I1377" t="str">
        <f>AvatarMatResID[[#This Row],[Material]]</f>
        <v>Male White Wizard 06 Magenta</v>
      </c>
    </row>
    <row r="1378" spans="1:9" x14ac:dyDescent="0.15">
      <c r="A1378" t="s">
        <v>454</v>
      </c>
      <c r="B1378" t="s">
        <v>1923</v>
      </c>
      <c r="C1378" t="s">
        <v>1693</v>
      </c>
      <c r="D1378">
        <v>708</v>
      </c>
      <c r="F1378">
        <f>OUTPUTAvatarMatResID[[#This Row],[AvatarPartID]]*10000+OUTPUTAvatarMatResID[[#This Row],[SexID]]*1000+AvatarMatResID[[#This Row],[CountIndex]]</f>
        <v>12708</v>
      </c>
      <c r="G1378">
        <f>VLOOKUP(AvatarMatResID[[#This Row],[AvatarPart]],AvatarPartID[],2,0)</f>
        <v>1</v>
      </c>
      <c r="H1378">
        <f>VLOOKUP(AvatarMatResID[[#This Row],[Sex]],SexID[],2,0)</f>
        <v>2</v>
      </c>
      <c r="I1378" t="str">
        <f>AvatarMatResID[[#This Row],[Material]]</f>
        <v>Male White Wizard 06 Purple</v>
      </c>
    </row>
    <row r="1379" spans="1:9" x14ac:dyDescent="0.15">
      <c r="A1379" t="s">
        <v>454</v>
      </c>
      <c r="B1379" t="s">
        <v>1923</v>
      </c>
      <c r="C1379" t="s">
        <v>1694</v>
      </c>
      <c r="D1379">
        <v>709</v>
      </c>
      <c r="F1379">
        <f>OUTPUTAvatarMatResID[[#This Row],[AvatarPartID]]*10000+OUTPUTAvatarMatResID[[#This Row],[SexID]]*1000+AvatarMatResID[[#This Row],[CountIndex]]</f>
        <v>12709</v>
      </c>
      <c r="G1379">
        <f>VLOOKUP(AvatarMatResID[[#This Row],[AvatarPart]],AvatarPartID[],2,0)</f>
        <v>1</v>
      </c>
      <c r="H1379">
        <f>VLOOKUP(AvatarMatResID[[#This Row],[Sex]],SexID[],2,0)</f>
        <v>2</v>
      </c>
      <c r="I1379" t="str">
        <f>AvatarMatResID[[#This Row],[Material]]</f>
        <v>Male White Wizard 06 Red</v>
      </c>
    </row>
    <row r="1380" spans="1:9" x14ac:dyDescent="0.15">
      <c r="A1380" t="s">
        <v>454</v>
      </c>
      <c r="B1380" t="s">
        <v>1923</v>
      </c>
      <c r="C1380" t="s">
        <v>1695</v>
      </c>
      <c r="D1380">
        <v>710</v>
      </c>
      <c r="F1380">
        <f>OUTPUTAvatarMatResID[[#This Row],[AvatarPartID]]*10000+OUTPUTAvatarMatResID[[#This Row],[SexID]]*1000+AvatarMatResID[[#This Row],[CountIndex]]</f>
        <v>12710</v>
      </c>
      <c r="G1380">
        <f>VLOOKUP(AvatarMatResID[[#This Row],[AvatarPart]],AvatarPartID[],2,0)</f>
        <v>1</v>
      </c>
      <c r="H1380">
        <f>VLOOKUP(AvatarMatResID[[#This Row],[Sex]],SexID[],2,0)</f>
        <v>2</v>
      </c>
      <c r="I1380" t="str">
        <f>AvatarMatResID[[#This Row],[Material]]</f>
        <v>Male White Wizard 06 White</v>
      </c>
    </row>
    <row r="1381" spans="1:9" x14ac:dyDescent="0.15">
      <c r="A1381" t="s">
        <v>292</v>
      </c>
      <c r="B1381" t="s">
        <v>1920</v>
      </c>
      <c r="C1381" t="s">
        <v>1836</v>
      </c>
      <c r="D1381">
        <v>1</v>
      </c>
      <c r="F1381">
        <f>OUTPUTAvatarMatResID[[#This Row],[AvatarPartID]]*10000+OUTPUTAvatarMatResID[[#This Row],[SexID]]*1000+AvatarMatResID[[#This Row],[CountIndex]]</f>
        <v>31001</v>
      </c>
      <c r="G1381">
        <f>VLOOKUP(AvatarMatResID[[#This Row],[AvatarPart]],AvatarPartID[],2,0)</f>
        <v>3</v>
      </c>
      <c r="H1381">
        <f>VLOOKUP(AvatarMatResID[[#This Row],[Sex]],SexID[],2,0)</f>
        <v>1</v>
      </c>
      <c r="I1381" t="str">
        <f>AvatarMatResID[[#This Row],[Material]]</f>
        <v>Bunny Ears Black Blue</v>
      </c>
    </row>
    <row r="1382" spans="1:9" x14ac:dyDescent="0.15">
      <c r="A1382" t="s">
        <v>292</v>
      </c>
      <c r="B1382" t="s">
        <v>1920</v>
      </c>
      <c r="C1382" t="s">
        <v>1837</v>
      </c>
      <c r="D1382">
        <v>2</v>
      </c>
      <c r="F1382">
        <f>OUTPUTAvatarMatResID[[#This Row],[AvatarPartID]]*10000+OUTPUTAvatarMatResID[[#This Row],[SexID]]*1000+AvatarMatResID[[#This Row],[CountIndex]]</f>
        <v>31002</v>
      </c>
      <c r="G1382">
        <f>VLOOKUP(AvatarMatResID[[#This Row],[AvatarPart]],AvatarPartID[],2,0)</f>
        <v>3</v>
      </c>
      <c r="H1382">
        <f>VLOOKUP(AvatarMatResID[[#This Row],[Sex]],SexID[],2,0)</f>
        <v>1</v>
      </c>
      <c r="I1382" t="str">
        <f>AvatarMatResID[[#This Row],[Material]]</f>
        <v>Bunny Ears Black Pink</v>
      </c>
    </row>
    <row r="1383" spans="1:9" x14ac:dyDescent="0.15">
      <c r="A1383" t="s">
        <v>292</v>
      </c>
      <c r="B1383" t="s">
        <v>1920</v>
      </c>
      <c r="C1383" t="s">
        <v>1838</v>
      </c>
      <c r="D1383">
        <v>3</v>
      </c>
      <c r="F1383">
        <f>OUTPUTAvatarMatResID[[#This Row],[AvatarPartID]]*10000+OUTPUTAvatarMatResID[[#This Row],[SexID]]*1000+AvatarMatResID[[#This Row],[CountIndex]]</f>
        <v>31003</v>
      </c>
      <c r="G1383">
        <f>VLOOKUP(AvatarMatResID[[#This Row],[AvatarPart]],AvatarPartID[],2,0)</f>
        <v>3</v>
      </c>
      <c r="H1383">
        <f>VLOOKUP(AvatarMatResID[[#This Row],[Sex]],SexID[],2,0)</f>
        <v>1</v>
      </c>
      <c r="I1383" t="str">
        <f>AvatarMatResID[[#This Row],[Material]]</f>
        <v>Bunny Ears Black Purple</v>
      </c>
    </row>
    <row r="1384" spans="1:9" x14ac:dyDescent="0.15">
      <c r="A1384" t="s">
        <v>292</v>
      </c>
      <c r="B1384" t="s">
        <v>1920</v>
      </c>
      <c r="C1384" t="s">
        <v>1839</v>
      </c>
      <c r="D1384">
        <v>4</v>
      </c>
      <c r="F1384">
        <f>OUTPUTAvatarMatResID[[#This Row],[AvatarPartID]]*10000+OUTPUTAvatarMatResID[[#This Row],[SexID]]*1000+AvatarMatResID[[#This Row],[CountIndex]]</f>
        <v>31004</v>
      </c>
      <c r="G1384">
        <f>VLOOKUP(AvatarMatResID[[#This Row],[AvatarPart]],AvatarPartID[],2,0)</f>
        <v>3</v>
      </c>
      <c r="H1384">
        <f>VLOOKUP(AvatarMatResID[[#This Row],[Sex]],SexID[],2,0)</f>
        <v>1</v>
      </c>
      <c r="I1384" t="str">
        <f>AvatarMatResID[[#This Row],[Material]]</f>
        <v>Bunny Ears Strips Black</v>
      </c>
    </row>
    <row r="1385" spans="1:9" x14ac:dyDescent="0.15">
      <c r="A1385" t="s">
        <v>292</v>
      </c>
      <c r="B1385" t="s">
        <v>1920</v>
      </c>
      <c r="C1385" t="s">
        <v>1840</v>
      </c>
      <c r="D1385">
        <v>5</v>
      </c>
      <c r="F1385">
        <f>OUTPUTAvatarMatResID[[#This Row],[AvatarPartID]]*10000+OUTPUTAvatarMatResID[[#This Row],[SexID]]*1000+AvatarMatResID[[#This Row],[CountIndex]]</f>
        <v>31005</v>
      </c>
      <c r="G1385">
        <f>VLOOKUP(AvatarMatResID[[#This Row],[AvatarPart]],AvatarPartID[],2,0)</f>
        <v>3</v>
      </c>
      <c r="H1385">
        <f>VLOOKUP(AvatarMatResID[[#This Row],[Sex]],SexID[],2,0)</f>
        <v>1</v>
      </c>
      <c r="I1385" t="str">
        <f>AvatarMatResID[[#This Row],[Material]]</f>
        <v>Bunny Ears Strips Blue</v>
      </c>
    </row>
    <row r="1386" spans="1:9" x14ac:dyDescent="0.15">
      <c r="A1386" t="s">
        <v>292</v>
      </c>
      <c r="B1386" t="s">
        <v>1920</v>
      </c>
      <c r="C1386" t="s">
        <v>1841</v>
      </c>
      <c r="D1386">
        <v>6</v>
      </c>
      <c r="F1386">
        <f>OUTPUTAvatarMatResID[[#This Row],[AvatarPartID]]*10000+OUTPUTAvatarMatResID[[#This Row],[SexID]]*1000+AvatarMatResID[[#This Row],[CountIndex]]</f>
        <v>31006</v>
      </c>
      <c r="G1386">
        <f>VLOOKUP(AvatarMatResID[[#This Row],[AvatarPart]],AvatarPartID[],2,0)</f>
        <v>3</v>
      </c>
      <c r="H1386">
        <f>VLOOKUP(AvatarMatResID[[#This Row],[Sex]],SexID[],2,0)</f>
        <v>1</v>
      </c>
      <c r="I1386" t="str">
        <f>AvatarMatResID[[#This Row],[Material]]</f>
        <v>Bunny Ears Strips Brown</v>
      </c>
    </row>
    <row r="1387" spans="1:9" x14ac:dyDescent="0.15">
      <c r="A1387" t="s">
        <v>292</v>
      </c>
      <c r="B1387" t="s">
        <v>1920</v>
      </c>
      <c r="C1387" t="s">
        <v>1842</v>
      </c>
      <c r="D1387">
        <v>7</v>
      </c>
      <c r="F1387">
        <f>OUTPUTAvatarMatResID[[#This Row],[AvatarPartID]]*10000+OUTPUTAvatarMatResID[[#This Row],[SexID]]*1000+AvatarMatResID[[#This Row],[CountIndex]]</f>
        <v>31007</v>
      </c>
      <c r="G1387">
        <f>VLOOKUP(AvatarMatResID[[#This Row],[AvatarPart]],AvatarPartID[],2,0)</f>
        <v>3</v>
      </c>
      <c r="H1387">
        <f>VLOOKUP(AvatarMatResID[[#This Row],[Sex]],SexID[],2,0)</f>
        <v>1</v>
      </c>
      <c r="I1387" t="str">
        <f>AvatarMatResID[[#This Row],[Material]]</f>
        <v>Bunny Ears Strips Purple</v>
      </c>
    </row>
    <row r="1388" spans="1:9" x14ac:dyDescent="0.15">
      <c r="A1388" t="s">
        <v>292</v>
      </c>
      <c r="B1388" t="s">
        <v>1920</v>
      </c>
      <c r="C1388" t="s">
        <v>1843</v>
      </c>
      <c r="D1388">
        <v>8</v>
      </c>
      <c r="F1388">
        <f>OUTPUTAvatarMatResID[[#This Row],[AvatarPartID]]*10000+OUTPUTAvatarMatResID[[#This Row],[SexID]]*1000+AvatarMatResID[[#This Row],[CountIndex]]</f>
        <v>31008</v>
      </c>
      <c r="G1388">
        <f>VLOOKUP(AvatarMatResID[[#This Row],[AvatarPart]],AvatarPartID[],2,0)</f>
        <v>3</v>
      </c>
      <c r="H1388">
        <f>VLOOKUP(AvatarMatResID[[#This Row],[Sex]],SexID[],2,0)</f>
        <v>1</v>
      </c>
      <c r="I1388" t="str">
        <f>AvatarMatResID[[#This Row],[Material]]</f>
        <v>Bunny Ears White Pink</v>
      </c>
    </row>
    <row r="1389" spans="1:9" x14ac:dyDescent="0.15">
      <c r="A1389" t="s">
        <v>292</v>
      </c>
      <c r="B1389" t="s">
        <v>1920</v>
      </c>
      <c r="C1389" t="s">
        <v>1844</v>
      </c>
      <c r="D1389">
        <v>9</v>
      </c>
      <c r="F1389">
        <f>OUTPUTAvatarMatResID[[#This Row],[AvatarPartID]]*10000+OUTPUTAvatarMatResID[[#This Row],[SexID]]*1000+AvatarMatResID[[#This Row],[CountIndex]]</f>
        <v>31009</v>
      </c>
      <c r="G1389">
        <f>VLOOKUP(AvatarMatResID[[#This Row],[AvatarPart]],AvatarPartID[],2,0)</f>
        <v>3</v>
      </c>
      <c r="H1389">
        <f>VLOOKUP(AvatarMatResID[[#This Row],[Sex]],SexID[],2,0)</f>
        <v>1</v>
      </c>
      <c r="I1389" t="str">
        <f>AvatarMatResID[[#This Row],[Material]]</f>
        <v>Bunny Ears White Purple</v>
      </c>
    </row>
    <row r="1390" spans="1:9" x14ac:dyDescent="0.15">
      <c r="A1390" t="s">
        <v>292</v>
      </c>
      <c r="B1390" t="s">
        <v>1920</v>
      </c>
      <c r="C1390" t="s">
        <v>1845</v>
      </c>
      <c r="D1390">
        <v>10</v>
      </c>
      <c r="F1390">
        <f>OUTPUTAvatarMatResID[[#This Row],[AvatarPartID]]*10000+OUTPUTAvatarMatResID[[#This Row],[SexID]]*1000+AvatarMatResID[[#This Row],[CountIndex]]</f>
        <v>31010</v>
      </c>
      <c r="G1390">
        <f>VLOOKUP(AvatarMatResID[[#This Row],[AvatarPart]],AvatarPartID[],2,0)</f>
        <v>3</v>
      </c>
      <c r="H1390">
        <f>VLOOKUP(AvatarMatResID[[#This Row],[Sex]],SexID[],2,0)</f>
        <v>1</v>
      </c>
      <c r="I1390" t="str">
        <f>AvatarMatResID[[#This Row],[Material]]</f>
        <v>Cat Ears Black Blue</v>
      </c>
    </row>
    <row r="1391" spans="1:9" x14ac:dyDescent="0.15">
      <c r="A1391" t="s">
        <v>292</v>
      </c>
      <c r="B1391" t="s">
        <v>1920</v>
      </c>
      <c r="C1391" t="s">
        <v>1846</v>
      </c>
      <c r="D1391">
        <v>11</v>
      </c>
      <c r="F1391">
        <f>OUTPUTAvatarMatResID[[#This Row],[AvatarPartID]]*10000+OUTPUTAvatarMatResID[[#This Row],[SexID]]*1000+AvatarMatResID[[#This Row],[CountIndex]]</f>
        <v>31011</v>
      </c>
      <c r="G1391">
        <f>VLOOKUP(AvatarMatResID[[#This Row],[AvatarPart]],AvatarPartID[],2,0)</f>
        <v>3</v>
      </c>
      <c r="H1391">
        <f>VLOOKUP(AvatarMatResID[[#This Row],[Sex]],SexID[],2,0)</f>
        <v>1</v>
      </c>
      <c r="I1391" t="str">
        <f>AvatarMatResID[[#This Row],[Material]]</f>
        <v>Cat Ears Black Green</v>
      </c>
    </row>
    <row r="1392" spans="1:9" x14ac:dyDescent="0.15">
      <c r="A1392" t="s">
        <v>292</v>
      </c>
      <c r="B1392" t="s">
        <v>1920</v>
      </c>
      <c r="C1392" t="s">
        <v>1847</v>
      </c>
      <c r="D1392">
        <v>12</v>
      </c>
      <c r="F1392">
        <f>OUTPUTAvatarMatResID[[#This Row],[AvatarPartID]]*10000+OUTPUTAvatarMatResID[[#This Row],[SexID]]*1000+AvatarMatResID[[#This Row],[CountIndex]]</f>
        <v>31012</v>
      </c>
      <c r="G1392">
        <f>VLOOKUP(AvatarMatResID[[#This Row],[AvatarPart]],AvatarPartID[],2,0)</f>
        <v>3</v>
      </c>
      <c r="H1392">
        <f>VLOOKUP(AvatarMatResID[[#This Row],[Sex]],SexID[],2,0)</f>
        <v>1</v>
      </c>
      <c r="I1392" t="str">
        <f>AvatarMatResID[[#This Row],[Material]]</f>
        <v>Cat Ears Black Pink</v>
      </c>
    </row>
    <row r="1393" spans="1:9" x14ac:dyDescent="0.15">
      <c r="A1393" t="s">
        <v>292</v>
      </c>
      <c r="B1393" t="s">
        <v>1920</v>
      </c>
      <c r="C1393" t="s">
        <v>1848</v>
      </c>
      <c r="D1393">
        <v>13</v>
      </c>
      <c r="F1393">
        <f>OUTPUTAvatarMatResID[[#This Row],[AvatarPartID]]*10000+OUTPUTAvatarMatResID[[#This Row],[SexID]]*1000+AvatarMatResID[[#This Row],[CountIndex]]</f>
        <v>31013</v>
      </c>
      <c r="G1393">
        <f>VLOOKUP(AvatarMatResID[[#This Row],[AvatarPart]],AvatarPartID[],2,0)</f>
        <v>3</v>
      </c>
      <c r="H1393">
        <f>VLOOKUP(AvatarMatResID[[#This Row],[Sex]],SexID[],2,0)</f>
        <v>1</v>
      </c>
      <c r="I1393" t="str">
        <f>AvatarMatResID[[#This Row],[Material]]</f>
        <v>Cat Ears Black Purple</v>
      </c>
    </row>
    <row r="1394" spans="1:9" x14ac:dyDescent="0.15">
      <c r="A1394" t="s">
        <v>292</v>
      </c>
      <c r="B1394" t="s">
        <v>1920</v>
      </c>
      <c r="C1394" t="s">
        <v>1849</v>
      </c>
      <c r="D1394">
        <v>14</v>
      </c>
      <c r="F1394">
        <f>OUTPUTAvatarMatResID[[#This Row],[AvatarPartID]]*10000+OUTPUTAvatarMatResID[[#This Row],[SexID]]*1000+AvatarMatResID[[#This Row],[CountIndex]]</f>
        <v>31014</v>
      </c>
      <c r="G1394">
        <f>VLOOKUP(AvatarMatResID[[#This Row],[AvatarPart]],AvatarPartID[],2,0)</f>
        <v>3</v>
      </c>
      <c r="H1394">
        <f>VLOOKUP(AvatarMatResID[[#This Row],[Sex]],SexID[],2,0)</f>
        <v>1</v>
      </c>
      <c r="I1394" t="str">
        <f>AvatarMatResID[[#This Row],[Material]]</f>
        <v>Cat Ears Black Red</v>
      </c>
    </row>
    <row r="1395" spans="1:9" x14ac:dyDescent="0.15">
      <c r="A1395" t="s">
        <v>292</v>
      </c>
      <c r="B1395" t="s">
        <v>1920</v>
      </c>
      <c r="C1395" t="s">
        <v>1850</v>
      </c>
      <c r="D1395">
        <v>15</v>
      </c>
      <c r="F1395">
        <f>OUTPUTAvatarMatResID[[#This Row],[AvatarPartID]]*10000+OUTPUTAvatarMatResID[[#This Row],[SexID]]*1000+AvatarMatResID[[#This Row],[CountIndex]]</f>
        <v>31015</v>
      </c>
      <c r="G1395">
        <f>VLOOKUP(AvatarMatResID[[#This Row],[AvatarPart]],AvatarPartID[],2,0)</f>
        <v>3</v>
      </c>
      <c r="H1395">
        <f>VLOOKUP(AvatarMatResID[[#This Row],[Sex]],SexID[],2,0)</f>
        <v>1</v>
      </c>
      <c r="I1395" t="str">
        <f>AvatarMatResID[[#This Row],[Material]]</f>
        <v>Cat Ears Black Yellow</v>
      </c>
    </row>
    <row r="1396" spans="1:9" x14ac:dyDescent="0.15">
      <c r="A1396" t="s">
        <v>292</v>
      </c>
      <c r="B1396" t="s">
        <v>1920</v>
      </c>
      <c r="C1396" t="s">
        <v>1851</v>
      </c>
      <c r="D1396">
        <v>16</v>
      </c>
      <c r="F1396">
        <f>OUTPUTAvatarMatResID[[#This Row],[AvatarPartID]]*10000+OUTPUTAvatarMatResID[[#This Row],[SexID]]*1000+AvatarMatResID[[#This Row],[CountIndex]]</f>
        <v>31016</v>
      </c>
      <c r="G1396">
        <f>VLOOKUP(AvatarMatResID[[#This Row],[AvatarPart]],AvatarPartID[],2,0)</f>
        <v>3</v>
      </c>
      <c r="H1396">
        <f>VLOOKUP(AvatarMatResID[[#This Row],[Sex]],SexID[],2,0)</f>
        <v>1</v>
      </c>
      <c r="I1396" t="str">
        <f>AvatarMatResID[[#This Row],[Material]]</f>
        <v>Cat Ears White Blue</v>
      </c>
    </row>
    <row r="1397" spans="1:9" x14ac:dyDescent="0.15">
      <c r="A1397" t="s">
        <v>292</v>
      </c>
      <c r="B1397" t="s">
        <v>1920</v>
      </c>
      <c r="C1397" t="s">
        <v>1852</v>
      </c>
      <c r="D1397">
        <v>17</v>
      </c>
      <c r="F1397">
        <f>OUTPUTAvatarMatResID[[#This Row],[AvatarPartID]]*10000+OUTPUTAvatarMatResID[[#This Row],[SexID]]*1000+AvatarMatResID[[#This Row],[CountIndex]]</f>
        <v>31017</v>
      </c>
      <c r="G1397">
        <f>VLOOKUP(AvatarMatResID[[#This Row],[AvatarPart]],AvatarPartID[],2,0)</f>
        <v>3</v>
      </c>
      <c r="H1397">
        <f>VLOOKUP(AvatarMatResID[[#This Row],[Sex]],SexID[],2,0)</f>
        <v>1</v>
      </c>
      <c r="I1397" t="str">
        <f>AvatarMatResID[[#This Row],[Material]]</f>
        <v>Cat Ears White Purple</v>
      </c>
    </row>
    <row r="1398" spans="1:9" x14ac:dyDescent="0.15">
      <c r="A1398" t="s">
        <v>292</v>
      </c>
      <c r="B1398" t="s">
        <v>1920</v>
      </c>
      <c r="C1398" t="s">
        <v>1853</v>
      </c>
      <c r="D1398">
        <v>18</v>
      </c>
      <c r="F1398">
        <f>OUTPUTAvatarMatResID[[#This Row],[AvatarPartID]]*10000+OUTPUTAvatarMatResID[[#This Row],[SexID]]*1000+AvatarMatResID[[#This Row],[CountIndex]]</f>
        <v>31018</v>
      </c>
      <c r="G1398">
        <f>VLOOKUP(AvatarMatResID[[#This Row],[AvatarPart]],AvatarPartID[],2,0)</f>
        <v>3</v>
      </c>
      <c r="H1398">
        <f>VLOOKUP(AvatarMatResID[[#This Row],[Sex]],SexID[],2,0)</f>
        <v>1</v>
      </c>
      <c r="I1398" t="str">
        <f>AvatarMatResID[[#This Row],[Material]]</f>
        <v>Cat Ears White Red</v>
      </c>
    </row>
    <row r="1399" spans="1:9" x14ac:dyDescent="0.15">
      <c r="A1399" t="s">
        <v>292</v>
      </c>
      <c r="B1399" t="s">
        <v>1920</v>
      </c>
      <c r="C1399" t="s">
        <v>1854</v>
      </c>
      <c r="D1399">
        <v>19</v>
      </c>
      <c r="F1399">
        <f>OUTPUTAvatarMatResID[[#This Row],[AvatarPartID]]*10000+OUTPUTAvatarMatResID[[#This Row],[SexID]]*1000+AvatarMatResID[[#This Row],[CountIndex]]</f>
        <v>31019</v>
      </c>
      <c r="G1399">
        <f>VLOOKUP(AvatarMatResID[[#This Row],[AvatarPart]],AvatarPartID[],2,0)</f>
        <v>3</v>
      </c>
      <c r="H1399">
        <f>VLOOKUP(AvatarMatResID[[#This Row],[Sex]],SexID[],2,0)</f>
        <v>1</v>
      </c>
      <c r="I1399" t="str">
        <f>AvatarMatResID[[#This Row],[Material]]</f>
        <v>Cat Ears White Yellow</v>
      </c>
    </row>
    <row r="1400" spans="1:9" x14ac:dyDescent="0.15">
      <c r="A1400" t="s">
        <v>292</v>
      </c>
      <c r="B1400" t="s">
        <v>1920</v>
      </c>
      <c r="C1400" t="s">
        <v>1855</v>
      </c>
      <c r="D1400">
        <v>20</v>
      </c>
      <c r="F1400">
        <f>OUTPUTAvatarMatResID[[#This Row],[AvatarPartID]]*10000+OUTPUTAvatarMatResID[[#This Row],[SexID]]*1000+AvatarMatResID[[#This Row],[CountIndex]]</f>
        <v>31020</v>
      </c>
      <c r="G1400">
        <f>VLOOKUP(AvatarMatResID[[#This Row],[AvatarPart]],AvatarPartID[],2,0)</f>
        <v>3</v>
      </c>
      <c r="H1400">
        <f>VLOOKUP(AvatarMatResID[[#This Row],[Sex]],SexID[],2,0)</f>
        <v>1</v>
      </c>
      <c r="I1400" t="str">
        <f>AvatarMatResID[[#This Row],[Material]]</f>
        <v>Elf Ears Black 01</v>
      </c>
    </row>
    <row r="1401" spans="1:9" x14ac:dyDescent="0.15">
      <c r="A1401" t="s">
        <v>292</v>
      </c>
      <c r="B1401" t="s">
        <v>1920</v>
      </c>
      <c r="C1401" t="s">
        <v>1856</v>
      </c>
      <c r="D1401">
        <v>21</v>
      </c>
      <c r="F1401">
        <f>OUTPUTAvatarMatResID[[#This Row],[AvatarPartID]]*10000+OUTPUTAvatarMatResID[[#This Row],[SexID]]*1000+AvatarMatResID[[#This Row],[CountIndex]]</f>
        <v>31021</v>
      </c>
      <c r="G1401">
        <f>VLOOKUP(AvatarMatResID[[#This Row],[AvatarPart]],AvatarPartID[],2,0)</f>
        <v>3</v>
      </c>
      <c r="H1401">
        <f>VLOOKUP(AvatarMatResID[[#This Row],[Sex]],SexID[],2,0)</f>
        <v>1</v>
      </c>
      <c r="I1401" t="str">
        <f>AvatarMatResID[[#This Row],[Material]]</f>
        <v>Elf Ears Brown 01</v>
      </c>
    </row>
    <row r="1402" spans="1:9" x14ac:dyDescent="0.15">
      <c r="A1402" t="s">
        <v>292</v>
      </c>
      <c r="B1402" t="s">
        <v>1920</v>
      </c>
      <c r="C1402" t="s">
        <v>1857</v>
      </c>
      <c r="D1402">
        <v>22</v>
      </c>
      <c r="F1402">
        <f>OUTPUTAvatarMatResID[[#This Row],[AvatarPartID]]*10000+OUTPUTAvatarMatResID[[#This Row],[SexID]]*1000+AvatarMatResID[[#This Row],[CountIndex]]</f>
        <v>31022</v>
      </c>
      <c r="G1402">
        <f>VLOOKUP(AvatarMatResID[[#This Row],[AvatarPart]],AvatarPartID[],2,0)</f>
        <v>3</v>
      </c>
      <c r="H1402">
        <f>VLOOKUP(AvatarMatResID[[#This Row],[Sex]],SexID[],2,0)</f>
        <v>1</v>
      </c>
      <c r="I1402" t="str">
        <f>AvatarMatResID[[#This Row],[Material]]</f>
        <v>Elf Ears White 01</v>
      </c>
    </row>
    <row r="1403" spans="1:9" x14ac:dyDescent="0.15">
      <c r="A1403" t="s">
        <v>297</v>
      </c>
      <c r="B1403" t="s">
        <v>1921</v>
      </c>
      <c r="C1403" t="s">
        <v>1860</v>
      </c>
      <c r="D1403">
        <v>1</v>
      </c>
      <c r="F1403">
        <f>OUTPUTAvatarMatResID[[#This Row],[AvatarPartID]]*10000+OUTPUTAvatarMatResID[[#This Row],[SexID]]*1000+AvatarMatResID[[#This Row],[CountIndex]]</f>
        <v>40001</v>
      </c>
      <c r="G1403">
        <f>VLOOKUP(AvatarMatResID[[#This Row],[AvatarPart]],AvatarPartID[],2,0)</f>
        <v>4</v>
      </c>
      <c r="H1403">
        <f>VLOOKUP(AvatarMatResID[[#This Row],[Sex]],SexID[],2,0)</f>
        <v>0</v>
      </c>
      <c r="I1403" t="str">
        <f>AvatarMatResID[[#This Row],[Material]]</f>
        <v>Hair Black</v>
      </c>
    </row>
    <row r="1404" spans="1:9" x14ac:dyDescent="0.15">
      <c r="A1404" t="s">
        <v>297</v>
      </c>
      <c r="B1404" t="s">
        <v>1921</v>
      </c>
      <c r="C1404" t="s">
        <v>1861</v>
      </c>
      <c r="D1404">
        <v>2</v>
      </c>
      <c r="F1404">
        <f>OUTPUTAvatarMatResID[[#This Row],[AvatarPartID]]*10000+OUTPUTAvatarMatResID[[#This Row],[SexID]]*1000+AvatarMatResID[[#This Row],[CountIndex]]</f>
        <v>40002</v>
      </c>
      <c r="G1404">
        <f>VLOOKUP(AvatarMatResID[[#This Row],[AvatarPart]],AvatarPartID[],2,0)</f>
        <v>4</v>
      </c>
      <c r="H1404">
        <f>VLOOKUP(AvatarMatResID[[#This Row],[Sex]],SexID[],2,0)</f>
        <v>0</v>
      </c>
      <c r="I1404" t="str">
        <f>AvatarMatResID[[#This Row],[Material]]</f>
        <v>Hair Blonde</v>
      </c>
    </row>
    <row r="1405" spans="1:9" x14ac:dyDescent="0.15">
      <c r="A1405" t="s">
        <v>297</v>
      </c>
      <c r="B1405" t="s">
        <v>1921</v>
      </c>
      <c r="C1405" t="s">
        <v>1862</v>
      </c>
      <c r="D1405">
        <v>3</v>
      </c>
      <c r="F1405">
        <f>OUTPUTAvatarMatResID[[#This Row],[AvatarPartID]]*10000+OUTPUTAvatarMatResID[[#This Row],[SexID]]*1000+AvatarMatResID[[#This Row],[CountIndex]]</f>
        <v>40003</v>
      </c>
      <c r="G1405">
        <f>VLOOKUP(AvatarMatResID[[#This Row],[AvatarPart]],AvatarPartID[],2,0)</f>
        <v>4</v>
      </c>
      <c r="H1405">
        <f>VLOOKUP(AvatarMatResID[[#This Row],[Sex]],SexID[],2,0)</f>
        <v>0</v>
      </c>
      <c r="I1405" t="str">
        <f>AvatarMatResID[[#This Row],[Material]]</f>
        <v>Hair Brown</v>
      </c>
    </row>
    <row r="1406" spans="1:9" x14ac:dyDescent="0.15">
      <c r="A1406" t="s">
        <v>297</v>
      </c>
      <c r="B1406" t="s">
        <v>1921</v>
      </c>
      <c r="C1406" t="s">
        <v>1863</v>
      </c>
      <c r="D1406">
        <v>4</v>
      </c>
      <c r="F1406">
        <f>OUTPUTAvatarMatResID[[#This Row],[AvatarPartID]]*10000+OUTPUTAvatarMatResID[[#This Row],[SexID]]*1000+AvatarMatResID[[#This Row],[CountIndex]]</f>
        <v>40004</v>
      </c>
      <c r="G1406">
        <f>VLOOKUP(AvatarMatResID[[#This Row],[AvatarPart]],AvatarPartID[],2,0)</f>
        <v>4</v>
      </c>
      <c r="H1406">
        <f>VLOOKUP(AvatarMatResID[[#This Row],[Sex]],SexID[],2,0)</f>
        <v>0</v>
      </c>
      <c r="I1406" t="str">
        <f>AvatarMatResID[[#This Row],[Material]]</f>
        <v>Hair Cyan</v>
      </c>
    </row>
    <row r="1407" spans="1:9" x14ac:dyDescent="0.15">
      <c r="A1407" t="s">
        <v>297</v>
      </c>
      <c r="B1407" t="s">
        <v>1920</v>
      </c>
      <c r="C1407" t="s">
        <v>1864</v>
      </c>
      <c r="D1407">
        <v>5</v>
      </c>
      <c r="F1407">
        <f>OUTPUTAvatarMatResID[[#This Row],[AvatarPartID]]*10000+OUTPUTAvatarMatResID[[#This Row],[SexID]]*1000+AvatarMatResID[[#This Row],[CountIndex]]</f>
        <v>41005</v>
      </c>
      <c r="G1407">
        <f>VLOOKUP(AvatarMatResID[[#This Row],[AvatarPart]],AvatarPartID[],2,0)</f>
        <v>4</v>
      </c>
      <c r="H1407">
        <f>VLOOKUP(AvatarMatResID[[#This Row],[Sex]],SexID[],2,0)</f>
        <v>1</v>
      </c>
      <c r="I1407" t="str">
        <f>AvatarMatResID[[#This Row],[Material]]</f>
        <v>Hair Female 17 Fire</v>
      </c>
    </row>
    <row r="1408" spans="1:9" x14ac:dyDescent="0.15">
      <c r="A1408" t="s">
        <v>297</v>
      </c>
      <c r="B1408" t="s">
        <v>1920</v>
      </c>
      <c r="C1408" t="s">
        <v>1865</v>
      </c>
      <c r="D1408">
        <v>6</v>
      </c>
      <c r="F1408">
        <f>OUTPUTAvatarMatResID[[#This Row],[AvatarPartID]]*10000+OUTPUTAvatarMatResID[[#This Row],[SexID]]*1000+AvatarMatResID[[#This Row],[CountIndex]]</f>
        <v>41006</v>
      </c>
      <c r="G1408">
        <f>VLOOKUP(AvatarMatResID[[#This Row],[AvatarPart]],AvatarPartID[],2,0)</f>
        <v>4</v>
      </c>
      <c r="H1408">
        <f>VLOOKUP(AvatarMatResID[[#This Row],[Sex]],SexID[],2,0)</f>
        <v>1</v>
      </c>
      <c r="I1408" t="str">
        <f>AvatarMatResID[[#This Row],[Material]]</f>
        <v>Hair Female 18 Black</v>
      </c>
    </row>
    <row r="1409" spans="1:9" x14ac:dyDescent="0.15">
      <c r="A1409" t="s">
        <v>297</v>
      </c>
      <c r="B1409" t="s">
        <v>1920</v>
      </c>
      <c r="C1409" t="s">
        <v>1866</v>
      </c>
      <c r="D1409">
        <v>7</v>
      </c>
      <c r="F1409">
        <f>OUTPUTAvatarMatResID[[#This Row],[AvatarPartID]]*10000+OUTPUTAvatarMatResID[[#This Row],[SexID]]*1000+AvatarMatResID[[#This Row],[CountIndex]]</f>
        <v>41007</v>
      </c>
      <c r="G1409">
        <f>VLOOKUP(AvatarMatResID[[#This Row],[AvatarPart]],AvatarPartID[],2,0)</f>
        <v>4</v>
      </c>
      <c r="H1409">
        <f>VLOOKUP(AvatarMatResID[[#This Row],[Sex]],SexID[],2,0)</f>
        <v>1</v>
      </c>
      <c r="I1409" t="str">
        <f>AvatarMatResID[[#This Row],[Material]]</f>
        <v>Hair Female 18 Blue</v>
      </c>
    </row>
    <row r="1410" spans="1:9" x14ac:dyDescent="0.15">
      <c r="A1410" t="s">
        <v>297</v>
      </c>
      <c r="B1410" t="s">
        <v>1920</v>
      </c>
      <c r="C1410" t="s">
        <v>1867</v>
      </c>
      <c r="D1410">
        <v>8</v>
      </c>
      <c r="F1410">
        <f>OUTPUTAvatarMatResID[[#This Row],[AvatarPartID]]*10000+OUTPUTAvatarMatResID[[#This Row],[SexID]]*1000+AvatarMatResID[[#This Row],[CountIndex]]</f>
        <v>41008</v>
      </c>
      <c r="G1410">
        <f>VLOOKUP(AvatarMatResID[[#This Row],[AvatarPart]],AvatarPartID[],2,0)</f>
        <v>4</v>
      </c>
      <c r="H1410">
        <f>VLOOKUP(AvatarMatResID[[#This Row],[Sex]],SexID[],2,0)</f>
        <v>1</v>
      </c>
      <c r="I1410" t="str">
        <f>AvatarMatResID[[#This Row],[Material]]</f>
        <v>Hair Female 18 Green</v>
      </c>
    </row>
    <row r="1411" spans="1:9" x14ac:dyDescent="0.15">
      <c r="A1411" t="s">
        <v>297</v>
      </c>
      <c r="B1411" t="s">
        <v>1920</v>
      </c>
      <c r="C1411" t="s">
        <v>1868</v>
      </c>
      <c r="D1411">
        <v>9</v>
      </c>
      <c r="F1411">
        <f>OUTPUTAvatarMatResID[[#This Row],[AvatarPartID]]*10000+OUTPUTAvatarMatResID[[#This Row],[SexID]]*1000+AvatarMatResID[[#This Row],[CountIndex]]</f>
        <v>41009</v>
      </c>
      <c r="G1411">
        <f>VLOOKUP(AvatarMatResID[[#This Row],[AvatarPart]],AvatarPartID[],2,0)</f>
        <v>4</v>
      </c>
      <c r="H1411">
        <f>VLOOKUP(AvatarMatResID[[#This Row],[Sex]],SexID[],2,0)</f>
        <v>1</v>
      </c>
      <c r="I1411" t="str">
        <f>AvatarMatResID[[#This Row],[Material]]</f>
        <v>Hair Female 18 Magenta</v>
      </c>
    </row>
    <row r="1412" spans="1:9" x14ac:dyDescent="0.15">
      <c r="A1412" t="s">
        <v>297</v>
      </c>
      <c r="B1412" t="s">
        <v>1920</v>
      </c>
      <c r="C1412" t="s">
        <v>1869</v>
      </c>
      <c r="D1412">
        <v>10</v>
      </c>
      <c r="F1412">
        <f>OUTPUTAvatarMatResID[[#This Row],[AvatarPartID]]*10000+OUTPUTAvatarMatResID[[#This Row],[SexID]]*1000+AvatarMatResID[[#This Row],[CountIndex]]</f>
        <v>41010</v>
      </c>
      <c r="G1412">
        <f>VLOOKUP(AvatarMatResID[[#This Row],[AvatarPart]],AvatarPartID[],2,0)</f>
        <v>4</v>
      </c>
      <c r="H1412">
        <f>VLOOKUP(AvatarMatResID[[#This Row],[Sex]],SexID[],2,0)</f>
        <v>1</v>
      </c>
      <c r="I1412" t="str">
        <f>AvatarMatResID[[#This Row],[Material]]</f>
        <v>Hair Female 18 Purple</v>
      </c>
    </row>
    <row r="1413" spans="1:9" x14ac:dyDescent="0.15">
      <c r="A1413" t="s">
        <v>297</v>
      </c>
      <c r="B1413" t="s">
        <v>1920</v>
      </c>
      <c r="C1413" t="s">
        <v>1870</v>
      </c>
      <c r="D1413">
        <v>11</v>
      </c>
      <c r="F1413">
        <f>OUTPUTAvatarMatResID[[#This Row],[AvatarPartID]]*10000+OUTPUTAvatarMatResID[[#This Row],[SexID]]*1000+AvatarMatResID[[#This Row],[CountIndex]]</f>
        <v>41011</v>
      </c>
      <c r="G1413">
        <f>VLOOKUP(AvatarMatResID[[#This Row],[AvatarPart]],AvatarPartID[],2,0)</f>
        <v>4</v>
      </c>
      <c r="H1413">
        <f>VLOOKUP(AvatarMatResID[[#This Row],[Sex]],SexID[],2,0)</f>
        <v>1</v>
      </c>
      <c r="I1413" t="str">
        <f>AvatarMatResID[[#This Row],[Material]]</f>
        <v>Hair Female 18 Red</v>
      </c>
    </row>
    <row r="1414" spans="1:9" x14ac:dyDescent="0.15">
      <c r="A1414" t="s">
        <v>297</v>
      </c>
      <c r="B1414" t="s">
        <v>1920</v>
      </c>
      <c r="C1414" t="s">
        <v>1871</v>
      </c>
      <c r="D1414">
        <v>12</v>
      </c>
      <c r="F1414">
        <f>OUTPUTAvatarMatResID[[#This Row],[AvatarPartID]]*10000+OUTPUTAvatarMatResID[[#This Row],[SexID]]*1000+AvatarMatResID[[#This Row],[CountIndex]]</f>
        <v>41012</v>
      </c>
      <c r="G1414">
        <f>VLOOKUP(AvatarMatResID[[#This Row],[AvatarPart]],AvatarPartID[],2,0)</f>
        <v>4</v>
      </c>
      <c r="H1414">
        <f>VLOOKUP(AvatarMatResID[[#This Row],[Sex]],SexID[],2,0)</f>
        <v>1</v>
      </c>
      <c r="I1414" t="str">
        <f>AvatarMatResID[[#This Row],[Material]]</f>
        <v>Hair Female 18 White</v>
      </c>
    </row>
    <row r="1415" spans="1:9" x14ac:dyDescent="0.15">
      <c r="A1415" t="s">
        <v>297</v>
      </c>
      <c r="B1415" t="s">
        <v>1920</v>
      </c>
      <c r="C1415" t="s">
        <v>1872</v>
      </c>
      <c r="D1415">
        <v>13</v>
      </c>
      <c r="F1415">
        <f>OUTPUTAvatarMatResID[[#This Row],[AvatarPartID]]*10000+OUTPUTAvatarMatResID[[#This Row],[SexID]]*1000+AvatarMatResID[[#This Row],[CountIndex]]</f>
        <v>41013</v>
      </c>
      <c r="G1415">
        <f>VLOOKUP(AvatarMatResID[[#This Row],[AvatarPart]],AvatarPartID[],2,0)</f>
        <v>4</v>
      </c>
      <c r="H1415">
        <f>VLOOKUP(AvatarMatResID[[#This Row],[Sex]],SexID[],2,0)</f>
        <v>1</v>
      </c>
      <c r="I1415" t="str">
        <f>AvatarMatResID[[#This Row],[Material]]</f>
        <v>Hair Female 18 Yellow</v>
      </c>
    </row>
    <row r="1416" spans="1:9" x14ac:dyDescent="0.15">
      <c r="A1416" t="s">
        <v>297</v>
      </c>
      <c r="B1416" t="s">
        <v>1921</v>
      </c>
      <c r="C1416" t="s">
        <v>1873</v>
      </c>
      <c r="D1416">
        <v>14</v>
      </c>
      <c r="F1416">
        <f>OUTPUTAvatarMatResID[[#This Row],[AvatarPartID]]*10000+OUTPUTAvatarMatResID[[#This Row],[SexID]]*1000+AvatarMatResID[[#This Row],[CountIndex]]</f>
        <v>40014</v>
      </c>
      <c r="G1416">
        <f>VLOOKUP(AvatarMatResID[[#This Row],[AvatarPart]],AvatarPartID[],2,0)</f>
        <v>4</v>
      </c>
      <c r="H1416">
        <f>VLOOKUP(AvatarMatResID[[#This Row],[Sex]],SexID[],2,0)</f>
        <v>0</v>
      </c>
      <c r="I1416" t="str">
        <f>AvatarMatResID[[#This Row],[Material]]</f>
        <v>Hair Grey</v>
      </c>
    </row>
    <row r="1417" spans="1:9" x14ac:dyDescent="0.15">
      <c r="A1417" t="s">
        <v>297</v>
      </c>
      <c r="B1417" t="s">
        <v>1923</v>
      </c>
      <c r="C1417" t="s">
        <v>1874</v>
      </c>
      <c r="D1417">
        <v>15</v>
      </c>
      <c r="F1417">
        <f>OUTPUTAvatarMatResID[[#This Row],[AvatarPartID]]*10000+OUTPUTAvatarMatResID[[#This Row],[SexID]]*1000+AvatarMatResID[[#This Row],[CountIndex]]</f>
        <v>42015</v>
      </c>
      <c r="G1417">
        <f>VLOOKUP(AvatarMatResID[[#This Row],[AvatarPart]],AvatarPartID[],2,0)</f>
        <v>4</v>
      </c>
      <c r="H1417">
        <f>VLOOKUP(AvatarMatResID[[#This Row],[Sex]],SexID[],2,0)</f>
        <v>2</v>
      </c>
      <c r="I1417" t="str">
        <f>AvatarMatResID[[#This Row],[Material]]</f>
        <v>Hair Male 17 Aqua</v>
      </c>
    </row>
    <row r="1418" spans="1:9" x14ac:dyDescent="0.15">
      <c r="A1418" t="s">
        <v>297</v>
      </c>
      <c r="B1418" t="s">
        <v>1923</v>
      </c>
      <c r="C1418" t="s">
        <v>1875</v>
      </c>
      <c r="D1418">
        <v>16</v>
      </c>
      <c r="F1418">
        <f>OUTPUTAvatarMatResID[[#This Row],[AvatarPartID]]*10000+OUTPUTAvatarMatResID[[#This Row],[SexID]]*1000+AvatarMatResID[[#This Row],[CountIndex]]</f>
        <v>42016</v>
      </c>
      <c r="G1418">
        <f>VLOOKUP(AvatarMatResID[[#This Row],[AvatarPart]],AvatarPartID[],2,0)</f>
        <v>4</v>
      </c>
      <c r="H1418">
        <f>VLOOKUP(AvatarMatResID[[#This Row],[Sex]],SexID[],2,0)</f>
        <v>2</v>
      </c>
      <c r="I1418" t="str">
        <f>AvatarMatResID[[#This Row],[Material]]</f>
        <v>Hair Male 17 Fire</v>
      </c>
    </row>
    <row r="1419" spans="1:9" x14ac:dyDescent="0.15">
      <c r="A1419" t="s">
        <v>297</v>
      </c>
      <c r="B1419" t="s">
        <v>1921</v>
      </c>
      <c r="C1419" t="s">
        <v>1876</v>
      </c>
      <c r="D1419">
        <v>17</v>
      </c>
      <c r="F1419">
        <f>OUTPUTAvatarMatResID[[#This Row],[AvatarPartID]]*10000+OUTPUTAvatarMatResID[[#This Row],[SexID]]*1000+AvatarMatResID[[#This Row],[CountIndex]]</f>
        <v>40017</v>
      </c>
      <c r="G1419">
        <f>VLOOKUP(AvatarMatResID[[#This Row],[AvatarPart]],AvatarPartID[],2,0)</f>
        <v>4</v>
      </c>
      <c r="H1419">
        <f>VLOOKUP(AvatarMatResID[[#This Row],[Sex]],SexID[],2,0)</f>
        <v>0</v>
      </c>
      <c r="I1419" t="str">
        <f>AvatarMatResID[[#This Row],[Material]]</f>
        <v>Hair Purple</v>
      </c>
    </row>
    <row r="1420" spans="1:9" x14ac:dyDescent="0.15">
      <c r="A1420" t="s">
        <v>297</v>
      </c>
      <c r="B1420" t="s">
        <v>1921</v>
      </c>
      <c r="C1420" t="s">
        <v>1877</v>
      </c>
      <c r="D1420">
        <v>18</v>
      </c>
      <c r="F1420">
        <f>OUTPUTAvatarMatResID[[#This Row],[AvatarPartID]]*10000+OUTPUTAvatarMatResID[[#This Row],[SexID]]*1000+AvatarMatResID[[#This Row],[CountIndex]]</f>
        <v>40018</v>
      </c>
      <c r="G1420">
        <f>VLOOKUP(AvatarMatResID[[#This Row],[AvatarPart]],AvatarPartID[],2,0)</f>
        <v>4</v>
      </c>
      <c r="H1420">
        <f>VLOOKUP(AvatarMatResID[[#This Row],[Sex]],SexID[],2,0)</f>
        <v>0</v>
      </c>
      <c r="I1420" t="str">
        <f>AvatarMatResID[[#This Row],[Material]]</f>
        <v>Hair Red</v>
      </c>
    </row>
    <row r="1421" spans="1:9" x14ac:dyDescent="0.15">
      <c r="A1421" t="s">
        <v>309</v>
      </c>
      <c r="B1421" t="s">
        <v>1921</v>
      </c>
      <c r="C1421" t="s">
        <v>1880</v>
      </c>
      <c r="D1421">
        <v>1</v>
      </c>
      <c r="F1421">
        <f>OUTPUTAvatarMatResID[[#This Row],[AvatarPartID]]*10000+OUTPUTAvatarMatResID[[#This Row],[SexID]]*1000+AvatarMatResID[[#This Row],[CountIndex]]</f>
        <v>50001</v>
      </c>
      <c r="G1421">
        <f>VLOOKUP(AvatarMatResID[[#This Row],[AvatarPart]],AvatarPartID[],2,0)</f>
        <v>5</v>
      </c>
      <c r="H1421">
        <f>VLOOKUP(AvatarMatResID[[#This Row],[Sex]],SexID[],2,0)</f>
        <v>0</v>
      </c>
      <c r="I1421" t="str">
        <f>AvatarMatResID[[#This Row],[Material]]</f>
        <v>Antlers Blue</v>
      </c>
    </row>
    <row r="1422" spans="1:9" x14ac:dyDescent="0.15">
      <c r="A1422" t="s">
        <v>309</v>
      </c>
      <c r="B1422" t="s">
        <v>1921</v>
      </c>
      <c r="C1422" t="s">
        <v>1881</v>
      </c>
      <c r="D1422">
        <v>2</v>
      </c>
      <c r="F1422">
        <f>OUTPUTAvatarMatResID[[#This Row],[AvatarPartID]]*10000+OUTPUTAvatarMatResID[[#This Row],[SexID]]*1000+AvatarMatResID[[#This Row],[CountIndex]]</f>
        <v>50002</v>
      </c>
      <c r="G1422">
        <f>VLOOKUP(AvatarMatResID[[#This Row],[AvatarPart]],AvatarPartID[],2,0)</f>
        <v>5</v>
      </c>
      <c r="H1422">
        <f>VLOOKUP(AvatarMatResID[[#This Row],[Sex]],SexID[],2,0)</f>
        <v>0</v>
      </c>
      <c r="I1422" t="str">
        <f>AvatarMatResID[[#This Row],[Material]]</f>
        <v>Antlers Dark</v>
      </c>
    </row>
    <row r="1423" spans="1:9" x14ac:dyDescent="0.15">
      <c r="A1423" t="s">
        <v>309</v>
      </c>
      <c r="B1423" t="s">
        <v>1921</v>
      </c>
      <c r="C1423" t="s">
        <v>1882</v>
      </c>
      <c r="D1423">
        <v>3</v>
      </c>
      <c r="F1423">
        <f>OUTPUTAvatarMatResID[[#This Row],[AvatarPartID]]*10000+OUTPUTAvatarMatResID[[#This Row],[SexID]]*1000+AvatarMatResID[[#This Row],[CountIndex]]</f>
        <v>50003</v>
      </c>
      <c r="G1423">
        <f>VLOOKUP(AvatarMatResID[[#This Row],[AvatarPart]],AvatarPartID[],2,0)</f>
        <v>5</v>
      </c>
      <c r="H1423">
        <f>VLOOKUP(AvatarMatResID[[#This Row],[Sex]],SexID[],2,0)</f>
        <v>0</v>
      </c>
      <c r="I1423" t="str">
        <f>AvatarMatResID[[#This Row],[Material]]</f>
        <v>Antlers Green</v>
      </c>
    </row>
    <row r="1424" spans="1:9" x14ac:dyDescent="0.15">
      <c r="A1424" t="s">
        <v>309</v>
      </c>
      <c r="B1424" t="s">
        <v>1921</v>
      </c>
      <c r="C1424" t="s">
        <v>1883</v>
      </c>
      <c r="D1424">
        <v>4</v>
      </c>
      <c r="F1424">
        <f>OUTPUTAvatarMatResID[[#This Row],[AvatarPartID]]*10000+OUTPUTAvatarMatResID[[#This Row],[SexID]]*1000+AvatarMatResID[[#This Row],[CountIndex]]</f>
        <v>50004</v>
      </c>
      <c r="G1424">
        <f>VLOOKUP(AvatarMatResID[[#This Row],[AvatarPart]],AvatarPartID[],2,0)</f>
        <v>5</v>
      </c>
      <c r="H1424">
        <f>VLOOKUP(AvatarMatResID[[#This Row],[Sex]],SexID[],2,0)</f>
        <v>0</v>
      </c>
      <c r="I1424" t="str">
        <f>AvatarMatResID[[#This Row],[Material]]</f>
        <v>Antlers Light</v>
      </c>
    </row>
    <row r="1425" spans="1:9" x14ac:dyDescent="0.15">
      <c r="A1425" t="s">
        <v>309</v>
      </c>
      <c r="B1425" t="s">
        <v>1921</v>
      </c>
      <c r="C1425" t="s">
        <v>1884</v>
      </c>
      <c r="D1425">
        <v>5</v>
      </c>
      <c r="F1425">
        <f>OUTPUTAvatarMatResID[[#This Row],[AvatarPartID]]*10000+OUTPUTAvatarMatResID[[#This Row],[SexID]]*1000+AvatarMatResID[[#This Row],[CountIndex]]</f>
        <v>50005</v>
      </c>
      <c r="G1425">
        <f>VLOOKUP(AvatarMatResID[[#This Row],[AvatarPart]],AvatarPartID[],2,0)</f>
        <v>5</v>
      </c>
      <c r="H1425">
        <f>VLOOKUP(AvatarMatResID[[#This Row],[Sex]],SexID[],2,0)</f>
        <v>0</v>
      </c>
      <c r="I1425" t="str">
        <f>AvatarMatResID[[#This Row],[Material]]</f>
        <v>Antlers Purple</v>
      </c>
    </row>
    <row r="1426" spans="1:9" x14ac:dyDescent="0.15">
      <c r="A1426" t="s">
        <v>309</v>
      </c>
      <c r="B1426" t="s">
        <v>1921</v>
      </c>
      <c r="C1426" t="s">
        <v>1885</v>
      </c>
      <c r="D1426">
        <v>6</v>
      </c>
      <c r="F1426">
        <f>OUTPUTAvatarMatResID[[#This Row],[AvatarPartID]]*10000+OUTPUTAvatarMatResID[[#This Row],[SexID]]*1000+AvatarMatResID[[#This Row],[CountIndex]]</f>
        <v>50006</v>
      </c>
      <c r="G1426">
        <f>VLOOKUP(AvatarMatResID[[#This Row],[AvatarPart]],AvatarPartID[],2,0)</f>
        <v>5</v>
      </c>
      <c r="H1426">
        <f>VLOOKUP(AvatarMatResID[[#This Row],[Sex]],SexID[],2,0)</f>
        <v>0</v>
      </c>
      <c r="I1426" t="str">
        <f>AvatarMatResID[[#This Row],[Material]]</f>
        <v>Antlers Red</v>
      </c>
    </row>
    <row r="1427" spans="1:9" x14ac:dyDescent="0.15">
      <c r="A1427" t="s">
        <v>309</v>
      </c>
      <c r="B1427" t="s">
        <v>1921</v>
      </c>
      <c r="C1427" t="s">
        <v>1889</v>
      </c>
      <c r="D1427">
        <v>7</v>
      </c>
      <c r="F1427">
        <f>OUTPUTAvatarMatResID[[#This Row],[AvatarPartID]]*10000+OUTPUTAvatarMatResID[[#This Row],[SexID]]*1000+AvatarMatResID[[#This Row],[CountIndex]]</f>
        <v>50007</v>
      </c>
      <c r="G1427">
        <f>VLOOKUP(AvatarMatResID[[#This Row],[AvatarPart]],AvatarPartID[],2,0)</f>
        <v>5</v>
      </c>
      <c r="H1427">
        <f>VLOOKUP(AvatarMatResID[[#This Row],[Sex]],SexID[],2,0)</f>
        <v>0</v>
      </c>
      <c r="I1427" t="str">
        <f>AvatarMatResID[[#This Row],[Material]]</f>
        <v>Horn 02 Side Black Blue</v>
      </c>
    </row>
    <row r="1428" spans="1:9" x14ac:dyDescent="0.15">
      <c r="A1428" t="s">
        <v>309</v>
      </c>
      <c r="B1428" t="s">
        <v>1921</v>
      </c>
      <c r="C1428" t="s">
        <v>1890</v>
      </c>
      <c r="D1428">
        <v>8</v>
      </c>
      <c r="F1428">
        <f>OUTPUTAvatarMatResID[[#This Row],[AvatarPartID]]*10000+OUTPUTAvatarMatResID[[#This Row],[SexID]]*1000+AvatarMatResID[[#This Row],[CountIndex]]</f>
        <v>50008</v>
      </c>
      <c r="G1428">
        <f>VLOOKUP(AvatarMatResID[[#This Row],[AvatarPart]],AvatarPartID[],2,0)</f>
        <v>5</v>
      </c>
      <c r="H1428">
        <f>VLOOKUP(AvatarMatResID[[#This Row],[Sex]],SexID[],2,0)</f>
        <v>0</v>
      </c>
      <c r="I1428" t="str">
        <f>AvatarMatResID[[#This Row],[Material]]</f>
        <v>Horn 02 Side Black Green</v>
      </c>
    </row>
    <row r="1429" spans="1:9" x14ac:dyDescent="0.15">
      <c r="A1429" t="s">
        <v>309</v>
      </c>
      <c r="B1429" t="s">
        <v>1921</v>
      </c>
      <c r="C1429" t="s">
        <v>1891</v>
      </c>
      <c r="D1429">
        <v>9</v>
      </c>
      <c r="F1429">
        <f>OUTPUTAvatarMatResID[[#This Row],[AvatarPartID]]*10000+OUTPUTAvatarMatResID[[#This Row],[SexID]]*1000+AvatarMatResID[[#This Row],[CountIndex]]</f>
        <v>50009</v>
      </c>
      <c r="G1429">
        <f>VLOOKUP(AvatarMatResID[[#This Row],[AvatarPart]],AvatarPartID[],2,0)</f>
        <v>5</v>
      </c>
      <c r="H1429">
        <f>VLOOKUP(AvatarMatResID[[#This Row],[Sex]],SexID[],2,0)</f>
        <v>0</v>
      </c>
      <c r="I1429" t="str">
        <f>AvatarMatResID[[#This Row],[Material]]</f>
        <v>Horn 02 Side Black Orange</v>
      </c>
    </row>
    <row r="1430" spans="1:9" x14ac:dyDescent="0.15">
      <c r="A1430" t="s">
        <v>309</v>
      </c>
      <c r="B1430" t="s">
        <v>1921</v>
      </c>
      <c r="C1430" t="s">
        <v>1892</v>
      </c>
      <c r="D1430">
        <v>10</v>
      </c>
      <c r="F1430">
        <f>OUTPUTAvatarMatResID[[#This Row],[AvatarPartID]]*10000+OUTPUTAvatarMatResID[[#This Row],[SexID]]*1000+AvatarMatResID[[#This Row],[CountIndex]]</f>
        <v>50010</v>
      </c>
      <c r="G1430">
        <f>VLOOKUP(AvatarMatResID[[#This Row],[AvatarPart]],AvatarPartID[],2,0)</f>
        <v>5</v>
      </c>
      <c r="H1430">
        <f>VLOOKUP(AvatarMatResID[[#This Row],[Sex]],SexID[],2,0)</f>
        <v>0</v>
      </c>
      <c r="I1430" t="str">
        <f>AvatarMatResID[[#This Row],[Material]]</f>
        <v>Horn 02 Side Black Purple</v>
      </c>
    </row>
    <row r="1431" spans="1:9" x14ac:dyDescent="0.15">
      <c r="A1431" t="s">
        <v>309</v>
      </c>
      <c r="B1431" t="s">
        <v>1921</v>
      </c>
      <c r="C1431" t="s">
        <v>1893</v>
      </c>
      <c r="D1431">
        <v>11</v>
      </c>
      <c r="F1431">
        <f>OUTPUTAvatarMatResID[[#This Row],[AvatarPartID]]*10000+OUTPUTAvatarMatResID[[#This Row],[SexID]]*1000+AvatarMatResID[[#This Row],[CountIndex]]</f>
        <v>50011</v>
      </c>
      <c r="G1431">
        <f>VLOOKUP(AvatarMatResID[[#This Row],[AvatarPart]],AvatarPartID[],2,0)</f>
        <v>5</v>
      </c>
      <c r="H1431">
        <f>VLOOKUP(AvatarMatResID[[#This Row],[Sex]],SexID[],2,0)</f>
        <v>0</v>
      </c>
      <c r="I1431" t="str">
        <f>AvatarMatResID[[#This Row],[Material]]</f>
        <v>Horn 02 Side Black Red</v>
      </c>
    </row>
    <row r="1432" spans="1:9" x14ac:dyDescent="0.15">
      <c r="A1432" t="s">
        <v>309</v>
      </c>
      <c r="B1432" t="s">
        <v>1921</v>
      </c>
      <c r="C1432" t="s">
        <v>1894</v>
      </c>
      <c r="D1432">
        <v>12</v>
      </c>
      <c r="F1432">
        <f>OUTPUTAvatarMatResID[[#This Row],[AvatarPartID]]*10000+OUTPUTAvatarMatResID[[#This Row],[SexID]]*1000+AvatarMatResID[[#This Row],[CountIndex]]</f>
        <v>50012</v>
      </c>
      <c r="G1432">
        <f>VLOOKUP(AvatarMatResID[[#This Row],[AvatarPart]],AvatarPartID[],2,0)</f>
        <v>5</v>
      </c>
      <c r="H1432">
        <f>VLOOKUP(AvatarMatResID[[#This Row],[Sex]],SexID[],2,0)</f>
        <v>0</v>
      </c>
      <c r="I1432" t="str">
        <f>AvatarMatResID[[#This Row],[Material]]</f>
        <v>Horn 02 Side Green Green</v>
      </c>
    </row>
    <row r="1433" spans="1:9" x14ac:dyDescent="0.15">
      <c r="A1433" t="s">
        <v>309</v>
      </c>
      <c r="B1433" t="s">
        <v>1921</v>
      </c>
      <c r="C1433" t="s">
        <v>1895</v>
      </c>
      <c r="D1433">
        <v>13</v>
      </c>
      <c r="F1433">
        <f>OUTPUTAvatarMatResID[[#This Row],[AvatarPartID]]*10000+OUTPUTAvatarMatResID[[#This Row],[SexID]]*1000+AvatarMatResID[[#This Row],[CountIndex]]</f>
        <v>50013</v>
      </c>
      <c r="G1433">
        <f>VLOOKUP(AvatarMatResID[[#This Row],[AvatarPart]],AvatarPartID[],2,0)</f>
        <v>5</v>
      </c>
      <c r="H1433">
        <f>VLOOKUP(AvatarMatResID[[#This Row],[Sex]],SexID[],2,0)</f>
        <v>0</v>
      </c>
      <c r="I1433" t="str">
        <f>AvatarMatResID[[#This Row],[Material]]</f>
        <v>Horn 02 Side Red Yellow</v>
      </c>
    </row>
    <row r="1434" spans="1:9" x14ac:dyDescent="0.15">
      <c r="A1434" t="s">
        <v>309</v>
      </c>
      <c r="B1434" t="s">
        <v>1921</v>
      </c>
      <c r="C1434" t="s">
        <v>1896</v>
      </c>
      <c r="D1434">
        <v>14</v>
      </c>
      <c r="F1434">
        <f>OUTPUTAvatarMatResID[[#This Row],[AvatarPartID]]*10000+OUTPUTAvatarMatResID[[#This Row],[SexID]]*1000+AvatarMatResID[[#This Row],[CountIndex]]</f>
        <v>50014</v>
      </c>
      <c r="G1434">
        <f>VLOOKUP(AvatarMatResID[[#This Row],[AvatarPart]],AvatarPartID[],2,0)</f>
        <v>5</v>
      </c>
      <c r="H1434">
        <f>VLOOKUP(AvatarMatResID[[#This Row],[Sex]],SexID[],2,0)</f>
        <v>0</v>
      </c>
      <c r="I1434" t="str">
        <f>AvatarMatResID[[#This Row],[Material]]</f>
        <v>Horn 02 Side White</v>
      </c>
    </row>
    <row r="1435" spans="1:9" x14ac:dyDescent="0.15">
      <c r="A1435" t="s">
        <v>309</v>
      </c>
      <c r="B1435" t="s">
        <v>1921</v>
      </c>
      <c r="C1435" t="s">
        <v>1897</v>
      </c>
      <c r="D1435">
        <v>15</v>
      </c>
      <c r="F1435">
        <f>OUTPUTAvatarMatResID[[#This Row],[AvatarPartID]]*10000+OUTPUTAvatarMatResID[[#This Row],[SexID]]*1000+AvatarMatResID[[#This Row],[CountIndex]]</f>
        <v>50015</v>
      </c>
      <c r="G1435">
        <f>VLOOKUP(AvatarMatResID[[#This Row],[AvatarPart]],AvatarPartID[],2,0)</f>
        <v>5</v>
      </c>
      <c r="H1435">
        <f>VLOOKUP(AvatarMatResID[[#This Row],[Sex]],SexID[],2,0)</f>
        <v>0</v>
      </c>
      <c r="I1435" t="str">
        <f>AvatarMatResID[[#This Row],[Material]]</f>
        <v>Horn 02 Side Yellow</v>
      </c>
    </row>
    <row r="1436" spans="1:9" x14ac:dyDescent="0.15">
      <c r="A1436" t="s">
        <v>309</v>
      </c>
      <c r="B1436" t="s">
        <v>1921</v>
      </c>
      <c r="C1436" t="s">
        <v>1898</v>
      </c>
      <c r="D1436">
        <v>16</v>
      </c>
      <c r="F1436">
        <f>OUTPUTAvatarMatResID[[#This Row],[AvatarPartID]]*10000+OUTPUTAvatarMatResID[[#This Row],[SexID]]*1000+AvatarMatResID[[#This Row],[CountIndex]]</f>
        <v>50016</v>
      </c>
      <c r="G1436">
        <f>VLOOKUP(AvatarMatResID[[#This Row],[AvatarPart]],AvatarPartID[],2,0)</f>
        <v>5</v>
      </c>
      <c r="H1436">
        <f>VLOOKUP(AvatarMatResID[[#This Row],[Sex]],SexID[],2,0)</f>
        <v>0</v>
      </c>
      <c r="I1436" t="str">
        <f>AvatarMatResID[[#This Row],[Material]]</f>
        <v>Horn 03 Blue</v>
      </c>
    </row>
    <row r="1437" spans="1:9" x14ac:dyDescent="0.15">
      <c r="A1437" t="s">
        <v>309</v>
      </c>
      <c r="B1437" t="s">
        <v>1921</v>
      </c>
      <c r="C1437" t="s">
        <v>1899</v>
      </c>
      <c r="D1437">
        <v>17</v>
      </c>
      <c r="F1437">
        <f>OUTPUTAvatarMatResID[[#This Row],[AvatarPartID]]*10000+OUTPUTAvatarMatResID[[#This Row],[SexID]]*1000+AvatarMatResID[[#This Row],[CountIndex]]</f>
        <v>50017</v>
      </c>
      <c r="G1437">
        <f>VLOOKUP(AvatarMatResID[[#This Row],[AvatarPart]],AvatarPartID[],2,0)</f>
        <v>5</v>
      </c>
      <c r="H1437">
        <f>VLOOKUP(AvatarMatResID[[#This Row],[Sex]],SexID[],2,0)</f>
        <v>0</v>
      </c>
      <c r="I1437" t="str">
        <f>AvatarMatResID[[#This Row],[Material]]</f>
        <v>Horn 03 Green</v>
      </c>
    </row>
    <row r="1438" spans="1:9" x14ac:dyDescent="0.15">
      <c r="A1438" t="s">
        <v>309</v>
      </c>
      <c r="B1438" t="s">
        <v>1921</v>
      </c>
      <c r="C1438" t="s">
        <v>1900</v>
      </c>
      <c r="D1438">
        <v>18</v>
      </c>
      <c r="F1438">
        <f>OUTPUTAvatarMatResID[[#This Row],[AvatarPartID]]*10000+OUTPUTAvatarMatResID[[#This Row],[SexID]]*1000+AvatarMatResID[[#This Row],[CountIndex]]</f>
        <v>50018</v>
      </c>
      <c r="G1438">
        <f>VLOOKUP(AvatarMatResID[[#This Row],[AvatarPart]],AvatarPartID[],2,0)</f>
        <v>5</v>
      </c>
      <c r="H1438">
        <f>VLOOKUP(AvatarMatResID[[#This Row],[Sex]],SexID[],2,0)</f>
        <v>0</v>
      </c>
      <c r="I1438" t="str">
        <f>AvatarMatResID[[#This Row],[Material]]</f>
        <v>Horn 03 Purple</v>
      </c>
    </row>
    <row r="1439" spans="1:9" x14ac:dyDescent="0.15">
      <c r="A1439" t="s">
        <v>309</v>
      </c>
      <c r="B1439" t="s">
        <v>1921</v>
      </c>
      <c r="C1439" t="s">
        <v>1901</v>
      </c>
      <c r="D1439">
        <v>19</v>
      </c>
      <c r="F1439">
        <f>OUTPUTAvatarMatResID[[#This Row],[AvatarPartID]]*10000+OUTPUTAvatarMatResID[[#This Row],[SexID]]*1000+AvatarMatResID[[#This Row],[CountIndex]]</f>
        <v>50019</v>
      </c>
      <c r="G1439">
        <f>VLOOKUP(AvatarMatResID[[#This Row],[AvatarPart]],AvatarPartID[],2,0)</f>
        <v>5</v>
      </c>
      <c r="H1439">
        <f>VLOOKUP(AvatarMatResID[[#This Row],[Sex]],SexID[],2,0)</f>
        <v>0</v>
      </c>
      <c r="I1439" t="str">
        <f>AvatarMatResID[[#This Row],[Material]]</f>
        <v>Horn 03 Red</v>
      </c>
    </row>
    <row r="1440" spans="1:9" x14ac:dyDescent="0.15">
      <c r="A1440" t="s">
        <v>309</v>
      </c>
      <c r="B1440" t="s">
        <v>1921</v>
      </c>
      <c r="C1440" t="s">
        <v>1902</v>
      </c>
      <c r="D1440">
        <v>20</v>
      </c>
      <c r="F1440">
        <f>OUTPUTAvatarMatResID[[#This Row],[AvatarPartID]]*10000+OUTPUTAvatarMatResID[[#This Row],[SexID]]*1000+AvatarMatResID[[#This Row],[CountIndex]]</f>
        <v>50020</v>
      </c>
      <c r="G1440">
        <f>VLOOKUP(AvatarMatResID[[#This Row],[AvatarPart]],AvatarPartID[],2,0)</f>
        <v>5</v>
      </c>
      <c r="H1440">
        <f>VLOOKUP(AvatarMatResID[[#This Row],[Sex]],SexID[],2,0)</f>
        <v>0</v>
      </c>
      <c r="I1440" t="str">
        <f>AvatarMatResID[[#This Row],[Material]]</f>
        <v>Horn 03 Yellow</v>
      </c>
    </row>
    <row r="1441" spans="1:9" x14ac:dyDescent="0.15">
      <c r="A1441" t="s">
        <v>309</v>
      </c>
      <c r="B1441" t="s">
        <v>1921</v>
      </c>
      <c r="C1441" t="s">
        <v>1886</v>
      </c>
      <c r="D1441">
        <v>21</v>
      </c>
      <c r="F1441">
        <f>OUTPUTAvatarMatResID[[#This Row],[AvatarPartID]]*10000+OUTPUTAvatarMatResID[[#This Row],[SexID]]*1000+AvatarMatResID[[#This Row],[CountIndex]]</f>
        <v>50021</v>
      </c>
      <c r="G1441">
        <f>VLOOKUP(AvatarMatResID[[#This Row],[AvatarPart]],AvatarPartID[],2,0)</f>
        <v>5</v>
      </c>
      <c r="H1441">
        <f>VLOOKUP(AvatarMatResID[[#This Row],[Sex]],SexID[],2,0)</f>
        <v>0</v>
      </c>
      <c r="I1441" t="str">
        <f>AvatarMatResID[[#This Row],[Material]]</f>
        <v>Horn Black</v>
      </c>
    </row>
    <row r="1442" spans="1:9" x14ac:dyDescent="0.15">
      <c r="A1442" t="s">
        <v>309</v>
      </c>
      <c r="B1442" t="s">
        <v>1921</v>
      </c>
      <c r="C1442" t="s">
        <v>1887</v>
      </c>
      <c r="D1442">
        <v>22</v>
      </c>
      <c r="F1442">
        <f>OUTPUTAvatarMatResID[[#This Row],[AvatarPartID]]*10000+OUTPUTAvatarMatResID[[#This Row],[SexID]]*1000+AvatarMatResID[[#This Row],[CountIndex]]</f>
        <v>50022</v>
      </c>
      <c r="G1442">
        <f>VLOOKUP(AvatarMatResID[[#This Row],[AvatarPart]],AvatarPartID[],2,0)</f>
        <v>5</v>
      </c>
      <c r="H1442">
        <f>VLOOKUP(AvatarMatResID[[#This Row],[Sex]],SexID[],2,0)</f>
        <v>0</v>
      </c>
      <c r="I1442" t="str">
        <f>AvatarMatResID[[#This Row],[Material]]</f>
        <v>Horn Red</v>
      </c>
    </row>
    <row r="1443" spans="1:9" x14ac:dyDescent="0.15">
      <c r="A1443" t="s">
        <v>309</v>
      </c>
      <c r="B1443" t="s">
        <v>1921</v>
      </c>
      <c r="C1443" t="s">
        <v>1888</v>
      </c>
      <c r="D1443">
        <v>23</v>
      </c>
      <c r="F1443">
        <f>OUTPUTAvatarMatResID[[#This Row],[AvatarPartID]]*10000+OUTPUTAvatarMatResID[[#This Row],[SexID]]*1000+AvatarMatResID[[#This Row],[CountIndex]]</f>
        <v>50023</v>
      </c>
      <c r="G1443">
        <f>VLOOKUP(AvatarMatResID[[#This Row],[AvatarPart]],AvatarPartID[],2,0)</f>
        <v>5</v>
      </c>
      <c r="H1443">
        <f>VLOOKUP(AvatarMatResID[[#This Row],[Sex]],SexID[],2,0)</f>
        <v>0</v>
      </c>
      <c r="I1443" t="str">
        <f>AvatarMatResID[[#This Row],[Material]]</f>
        <v>Horn White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换装思路</vt:lpstr>
      <vt:lpstr>游戏系统</vt:lpstr>
      <vt:lpstr>资源表</vt:lpstr>
      <vt:lpstr>动作资源</vt:lpstr>
      <vt:lpstr>AvatarMeshTable</vt:lpstr>
      <vt:lpstr>TblAvatarPart</vt:lpstr>
      <vt:lpstr>TblAvatarPartType</vt:lpstr>
      <vt:lpstr>Mesh表</vt:lpstr>
      <vt:lpstr>Mat表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big</dc:creator>
  <cp:lastModifiedBy>wan big</cp:lastModifiedBy>
  <dcterms:created xsi:type="dcterms:W3CDTF">2018-09-04T07:54:18Z</dcterms:created>
  <dcterms:modified xsi:type="dcterms:W3CDTF">2018-09-11T08:22:36Z</dcterms:modified>
</cp:coreProperties>
</file>